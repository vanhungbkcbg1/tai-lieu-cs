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6.xml"/>
  <Override ContentType="application/vnd.openxmlformats-officedocument.drawing+xml" PartName="/xl/drawings/worksheetdrawing1.xml"/>
  <Override ContentType="application/vnd.openxmlformats-officedocument.drawing+xml" PartName="/xl/drawings/worksheetdrawing4.xml"/>
  <Override ContentType="application/vnd.openxmlformats-officedocument.drawing+xml" PartName="/xl/drawings/worksheetdrawing3.xml"/>
  <Override ContentType="application/vnd.openxmlformats-officedocument.drawing+xml" PartName="/xl/drawings/worksheetdrawing5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  <sheet state="visible" name="Comment" sheetId="2" r:id="rId4"/>
    <sheet state="visible" name="Sheet2" sheetId="3" r:id="rId5"/>
    <sheet state="visible" name="Sheet4" sheetId="4" r:id="rId6"/>
    <sheet state="visible" name="Sheet5" sheetId="5" r:id="rId7"/>
    <sheet state="visible" name="Sheet3" sheetId="6" r:id="rId8"/>
  </sheets>
  <definedNames>
    <definedName hidden="1" localSheetId="5" name="_xlnm._FilterDatabase">Sheet3!$A$2:$S$1127</definedName>
  </definedNames>
  <calcPr/>
</workbook>
</file>

<file path=xl/sharedStrings.xml><?xml version="1.0" encoding="utf-8"?>
<sst xmlns="http://schemas.openxmlformats.org/spreadsheetml/2006/main" count="6901" uniqueCount="1319">
  <si>
    <t>SOFT24H</t>
  </si>
  <si>
    <t>BẢNG LIỆT KÊ CHỨC NĂNG</t>
  </si>
  <si>
    <t>PHẦN MỀM CASHIER TRÊN ANDROID</t>
  </si>
  <si>
    <t>STT</t>
  </si>
  <si>
    <t>Chức năng</t>
  </si>
  <si>
    <t>Mô tả</t>
  </si>
  <si>
    <t>Ghi chú</t>
  </si>
  <si>
    <t>A</t>
  </si>
  <si>
    <t>Yêu cầu chung</t>
  </si>
  <si>
    <t>Hiển thị trên nhiều kích thước màn hình, phù hợp với cả máy tính bảng và điện thoại</t>
  </si>
  <si>
    <t>Kích thước ưu tiền là màn 7inch độ phân giải 1024 x 600</t>
  </si>
  <si>
    <t>Hoạt động tốt trên cả lan và 3g</t>
  </si>
  <si>
    <t>Phù hợp với việc không ổn định của kết nối không dây</t>
  </si>
  <si>
    <t>Có khả năng tự cập nhật phiên bản mới (trong config có biến autoupdate)</t>
  </si>
  <si>
    <t>B</t>
  </si>
  <si>
    <t>Chi tiết</t>
  </si>
  <si>
    <t>I</t>
  </si>
  <si>
    <t>Kết nối CSDL</t>
  </si>
  <si>
    <t xml:space="preserve"> - User / Pass: Đặt ngầm trong code hoặc file có mã hóa </t>
  </si>
  <si>
    <t xml:space="preserve"> - IP, tên CSDL, Port: Dùng file config</t>
  </si>
  <si>
    <t>II</t>
  </si>
  <si>
    <t>Login</t>
  </si>
  <si>
    <t>Giao diện</t>
  </si>
  <si>
    <t>Sử dụng tông màu giống phần mềm</t>
  </si>
  <si>
    <t>Kiểm tra tính hợp lệ của user/pass</t>
  </si>
  <si>
    <t>Function của CSDL sẽ trả về thông tin phân quyền</t>
  </si>
  <si>
    <t>Tắt/mở chức năng chương trình theo phân quyền</t>
  </si>
  <si>
    <t>Ghi nhận thông tin ca làm việc</t>
  </si>
  <si>
    <t>Ghi vào bảng Đóng ca</t>
  </si>
  <si>
    <t>Thông báo các chương trình khuyến mãi, giảm giá hiện hành</t>
  </si>
  <si>
    <t>Phần này làm sau</t>
  </si>
  <si>
    <t xml:space="preserve"> </t>
  </si>
  <si>
    <t>Hiển thị các note của quản lý (danh sách các món cần đẩy mạnh, món bị hết, …..</t>
  </si>
  <si>
    <t>III</t>
  </si>
  <si>
    <t>Sơ đồ bàn</t>
  </si>
  <si>
    <t>Hiển thị theo dạng ô bàn cờ</t>
  </si>
  <si>
    <t>Chia làm 2 tab (bàn trống, bàn đang sử dụng)</t>
  </si>
  <si>
    <t xml:space="preserve"> * Bàn trống</t>
  </si>
  <si>
    <t xml:space="preserve"> - Danh sách bàn (nếu có dữ liệu trong dmban)</t>
  </si>
  <si>
    <t xml:space="preserve">    + Chia tab theo khu vực</t>
  </si>
  <si>
    <t>Theo DMkhuvuc</t>
  </si>
  <si>
    <t xml:space="preserve">    + Chức năng Thêm bàn</t>
  </si>
  <si>
    <t>Khi người dùng Click vào bào bàn thì thực hiện chức năng tạo bàn mới</t>
  </si>
  <si>
    <t xml:space="preserve"> - Tạo bàn: dùng ô text để nhập số bàn và thực hiện chức năng tạo bàn mới</t>
  </si>
  <si>
    <t xml:space="preserve"> * Bàn đang sử dụng</t>
  </si>
  <si>
    <t xml:space="preserve">    + Chia tab theo cashier</t>
  </si>
  <si>
    <t>Select trong bkxuatban lấy số bàn và cs</t>
  </si>
  <si>
    <t xml:space="preserve">    + Hiển thị mầu theo trạng thái (đã in bill và chưa in bill)</t>
  </si>
  <si>
    <t>Trạng thái 1: đã in bill, 2: chưa in bill (trong bkxuatban)</t>
  </si>
  <si>
    <t>a</t>
  </si>
  <si>
    <t>Tạo bàn mới</t>
  </si>
  <si>
    <t>Tạo 1 bàn trong bkxuatban</t>
  </si>
  <si>
    <t>b</t>
  </si>
  <si>
    <t>Xem bàn đang sử dụng</t>
  </si>
  <si>
    <t>Khi người dùng chọn 1 bàn đang sử dụng thì hiển thị các chức năng liên quan</t>
  </si>
  <si>
    <t>Hiển thị thông tin bàn đang xem: Doanh thu, giảm giá, thanh toán ..</t>
  </si>
  <si>
    <t xml:space="preserve"> - Xem chi tiết bill</t>
  </si>
  <si>
    <t xml:space="preserve"> - Thêm món mới trong menu</t>
  </si>
  <si>
    <t xml:space="preserve"> - Thêm món mới ngoài danh mục</t>
  </si>
  <si>
    <t xml:space="preserve"> - Trừ món</t>
  </si>
  <si>
    <t xml:space="preserve"> - Giảm giá</t>
  </si>
  <si>
    <t xml:space="preserve"> - Tính thêm phí</t>
  </si>
  <si>
    <t>Trao đổi thêm</t>
  </si>
  <si>
    <t xml:space="preserve"> - In Order</t>
  </si>
  <si>
    <t xml:space="preserve"> - In Bill</t>
  </si>
  <si>
    <t xml:space="preserve"> - Thanh toán</t>
  </si>
  <si>
    <t>IV</t>
  </si>
  <si>
    <t>Chi tiết Bill</t>
  </si>
  <si>
    <t>Hiển thị chi tiết món theo bàn đã chọn:</t>
  </si>
  <si>
    <t>Select trong bkchitietban theo mact</t>
  </si>
  <si>
    <t>Hiển thị màu theo trang thái của món:</t>
  </si>
  <si>
    <t>1. Chưa order</t>
  </si>
  <si>
    <t>2. Order không thành công</t>
  </si>
  <si>
    <t>3. Đã order</t>
  </si>
  <si>
    <t>4. Bị từ chối</t>
  </si>
  <si>
    <t>5. Món trừ</t>
  </si>
  <si>
    <t>6. Đã ra đồ</t>
  </si>
  <si>
    <t>7. Đã in bill</t>
  </si>
  <si>
    <t>Hiển thị các chức năng liên quan</t>
  </si>
  <si>
    <t xml:space="preserve"> - Xóa món chưa order</t>
  </si>
  <si>
    <t xml:space="preserve"> - Sửa thông tin món: số lượng, ghi chú (món chưa order)</t>
  </si>
  <si>
    <t xml:space="preserve"> - Trừ món (món đã order)</t>
  </si>
  <si>
    <t>Làm sau</t>
  </si>
  <si>
    <t xml:space="preserve"> - Danh sách bàn trống</t>
  </si>
  <si>
    <t xml:space="preserve"> - Danh sách bàn đang sử dụng</t>
  </si>
  <si>
    <t>V</t>
  </si>
  <si>
    <t>Các chức năng khác</t>
  </si>
  <si>
    <t>Thêm món trong menu</t>
  </si>
  <si>
    <t>Phân chia làm 2 phần</t>
  </si>
  <si>
    <t xml:space="preserve"> - Danh sách nhóm món</t>
  </si>
  <si>
    <t xml:space="preserve"> - Danh sách món: hiển thị theo 2 dạng</t>
  </si>
  <si>
    <t>Quy định trong dmPC</t>
  </si>
  <si>
    <t xml:space="preserve">       + Menu điện tử: mục đích để khách hàng có thể tự lựa chọn nên có đầy đủ thông tin</t>
  </si>
  <si>
    <t xml:space="preserve">       + Menu thường: mục đích để nhận viên order lựa chọn chỉ cần có tên món, đơn giá, số lượng, giảm giá</t>
  </si>
  <si>
    <t>Menu thường</t>
  </si>
  <si>
    <t>Procedure CSDL sẽ hỗ trợ</t>
  </si>
  <si>
    <t xml:space="preserve">    + Hiển thị theo dang lưới sắp xếp theo thứ tự nhóm món, abc (có dòng tên nhóm phân cách các nhóm)</t>
  </si>
  <si>
    <t xml:space="preserve">    + Ô số lượng có nút tăng, giảm, kích đúp vào thì gọi bàn phím để nhập trực tiếp</t>
  </si>
  <si>
    <t xml:space="preserve">    + Đổi mầu các món đã chọn (số lượng &lt;&gt;0)</t>
  </si>
  <si>
    <t xml:space="preserve">    + Số lượng các món đã chọn phải cùng dấu ( + or - )</t>
  </si>
  <si>
    <t xml:space="preserve">    + Giảm giá theo món ( quy tắc: &lt;=100 là giảm theo %)</t>
  </si>
  <si>
    <t xml:space="preserve">    + Có nút ghi chú để chuyển sang giao diện ghi chú cho món đang chọn</t>
  </si>
  <si>
    <t>Menu điện tử</t>
  </si>
  <si>
    <t xml:space="preserve">    + Hiển thị đầy đủ ảnh, thông tin món giống kiểu menu in, khách hàng có thể chọn món trực tiếp</t>
  </si>
  <si>
    <t>Trao đổi thêm về cơ chế lưu ảnh</t>
  </si>
  <si>
    <t>Thêm món ngoài danh mục</t>
  </si>
  <si>
    <t xml:space="preserve"> - Text nhập tên món, đvt, đơn giá, số lượng</t>
  </si>
  <si>
    <t xml:space="preserve"> - Nút ghi chú</t>
  </si>
  <si>
    <t>Tạo món mới ngoài danh mục lưu vào bkchitietban</t>
  </si>
  <si>
    <t>Xóa món</t>
  </si>
  <si>
    <t>Xóa dòng trong bkchitietban khi người dùng chọn 1 món chưa order trong list món của bàn đang sử dụng</t>
  </si>
  <si>
    <t>Trạng thái 1,2</t>
  </si>
  <si>
    <t>Sửa món</t>
  </si>
  <si>
    <t>Cho phép sửa số lượng, ghi chú, giảm giá ngay trên list món của các món chưa order</t>
  </si>
  <si>
    <t>Trừ món</t>
  </si>
  <si>
    <t>Chọn món đã order, nhập số lượng trừ (&lt;= tổng số lượng được trừ), gửi lênh in order trừ về server</t>
  </si>
  <si>
    <t>Món được trừ ở trạng thái 3,4. Món trừ mạng trạng thái 5</t>
  </si>
  <si>
    <t>Giảm giá</t>
  </si>
  <si>
    <t xml:space="preserve"> - Text mã thẻ, tên chủ thẻ, hạng thẻ, % giảm giá, điểm tích lũy, số tiền giảm giá theo thẻ</t>
  </si>
  <si>
    <t xml:space="preserve"> - Text giảm giá theo chương trình</t>
  </si>
  <si>
    <t xml:space="preserve"> - Text giảm giá tay trên toàn bill: ( quy tắc: &lt;=100 là giảm theo %)</t>
  </si>
  <si>
    <t xml:space="preserve"> - Text tổng giảm giá</t>
  </si>
  <si>
    <t>Nhập số thẻ để xác định giảm giá theo thẻ</t>
  </si>
  <si>
    <t>Nhập số tiền giảm giá tay trên tòan bill</t>
  </si>
  <si>
    <t>Ghi dữ liệu vào bkxuatban</t>
  </si>
  <si>
    <t>Tính phí</t>
  </si>
  <si>
    <t xml:space="preserve"> - Tính phí bổ xung cho từng món, ghi chú</t>
  </si>
  <si>
    <t xml:space="preserve"> - Tính phí bổ xung cho toàn bill, ghi chú</t>
  </si>
  <si>
    <t>In order</t>
  </si>
  <si>
    <t>Chuyển lênh in order cho server</t>
  </si>
  <si>
    <t>Khi có trạng thái 1,2 trong bill</t>
  </si>
  <si>
    <t>In Bill</t>
  </si>
  <si>
    <t>Chuyển lệnh in bill cho server</t>
  </si>
  <si>
    <t>Khi không còn trạng thái 1,2,5 trong bill</t>
  </si>
  <si>
    <t>Thanh toán</t>
  </si>
  <si>
    <t>Chuyển lệnh thanh toán cho server</t>
  </si>
  <si>
    <t>Báo cáo</t>
  </si>
  <si>
    <t xml:space="preserve"> - Báo cáo nhanh: hiển thị báo cáo nhanh theo người sử dụng</t>
  </si>
  <si>
    <t xml:space="preserve"> - Báo cáo ca: Chuyển lênh in BC ca về server</t>
  </si>
  <si>
    <t>Sau khi kết thúc ca</t>
  </si>
  <si>
    <t>Kết thúc ca</t>
  </si>
  <si>
    <t>Ghi vào dongca, ca chỉ đươc đóng khi đã thanh toán hết bill đã in (không còn trang thái 2 trong bkxuatban)</t>
  </si>
  <si>
    <t>Bàn đặt</t>
  </si>
  <si>
    <t>1. Danh sách bàn đặt</t>
  </si>
  <si>
    <t xml:space="preserve"> - Hiển thị danh sách bàn đặt trong ca hiện tại</t>
  </si>
  <si>
    <t xml:space="preserve"> - Cập nhật thông tin bàn đặt</t>
  </si>
  <si>
    <t xml:space="preserve"> - Tạo bào đặt mới</t>
  </si>
  <si>
    <t xml:space="preserve"> - Chuyển bàn đặt sang bàn sử dụng</t>
  </si>
  <si>
    <t>2. Cập nhật thông tin đặt bàn, đặt trước bàn</t>
  </si>
  <si>
    <t>Ghi thông tin vào bandat</t>
  </si>
  <si>
    <t xml:space="preserve"> - Số bàn: nhập số bàn dự kiến cho khách, có thể nhập hoặc không</t>
  </si>
  <si>
    <t xml:space="preserve"> - Tên khách</t>
  </si>
  <si>
    <t xml:space="preserve"> - Điện thoại</t>
  </si>
  <si>
    <t xml:space="preserve"> - Giờ đặt</t>
  </si>
  <si>
    <t xml:space="preserve"> - Số người</t>
  </si>
  <si>
    <t xml:space="preserve"> - Ghi chú</t>
  </si>
  <si>
    <t xml:space="preserve">3. Đặt trước món ăn: </t>
  </si>
  <si>
    <t xml:space="preserve"> - Nhập món đặt trước</t>
  </si>
  <si>
    <t>Ghi thông tin vào bkchitietdatmon</t>
  </si>
  <si>
    <t xml:space="preserve"> - Sử dụng chức năng thêm món, thêm món ngoài danh mục cho phần này</t>
  </si>
  <si>
    <t xml:space="preserve"> - Có chức năng thêm, xóa, sửa món</t>
  </si>
  <si>
    <t>Mời món</t>
  </si>
  <si>
    <t>Mời bàn khác dùng món, tính tiền vào bàn mời</t>
  </si>
  <si>
    <t>Thêm ghi chú số bàn mời, số bàn nhận vào order</t>
  </si>
  <si>
    <t>1400003006-997</t>
  </si>
  <si>
    <t>Quan kaki nam 123 TH595</t>
  </si>
  <si>
    <t>ChiÕc</t>
  </si>
  <si>
    <t>HN004</t>
  </si>
  <si>
    <t>1400003006-5399</t>
  </si>
  <si>
    <t>QuÇn ©u nam ATN1159 335</t>
  </si>
  <si>
    <t>1400003006-7298</t>
  </si>
  <si>
    <t>Ao somi Owen 420</t>
  </si>
  <si>
    <t>1400003006-7358</t>
  </si>
  <si>
    <t>Ao so mi owen 420</t>
  </si>
  <si>
    <t>1400003006-7422</t>
  </si>
  <si>
    <t>SMOW DT 386</t>
  </si>
  <si>
    <t>1400003006-8015</t>
  </si>
  <si>
    <t>QUAN KAKI 590</t>
  </si>
  <si>
    <t>1400003006-8077</t>
  </si>
  <si>
    <t>QUAN AU OW480</t>
  </si>
  <si>
    <t>1400003006-11862</t>
  </si>
  <si>
    <t>SMDT n?n tr?ng s?c ghi 395</t>
  </si>
  <si>
    <t>1400003006-11883</t>
  </si>
  <si>
    <t>Ao so mi nam dai tay VT470</t>
  </si>
  <si>
    <t>1400003006-11973</t>
  </si>
  <si>
    <t>Ao so mi CT VT395</t>
  </si>
  <si>
    <t>1400003006-12583</t>
  </si>
  <si>
    <t>smdt caro xanh nâu VL 288</t>
  </si>
  <si>
    <t>1400003006-12652</t>
  </si>
  <si>
    <t>S¬ mi nam VT-465</t>
  </si>
  <si>
    <t>1400003006-12745</t>
  </si>
  <si>
    <t>Ao so mi CT VT315</t>
  </si>
  <si>
    <t>1400003006-12832</t>
  </si>
  <si>
    <t>Ao so mi nam CT395</t>
  </si>
  <si>
    <t>1400003006-12864</t>
  </si>
  <si>
    <t>Ao so mi coc tay VT425</t>
  </si>
  <si>
    <t>1400003006-12865</t>
  </si>
  <si>
    <t>Ao so mi coc tay VT399</t>
  </si>
  <si>
    <t>1400003006-13736</t>
  </si>
  <si>
    <t>Ao SMCT VT425</t>
  </si>
  <si>
    <t>1400003006-13737</t>
  </si>
  <si>
    <t>Ao SMCT VT320</t>
  </si>
  <si>
    <t>1400003006-14066</t>
  </si>
  <si>
    <t>Quan au QS15312L0 KCS  495</t>
  </si>
  <si>
    <t>1400003006-14112</t>
  </si>
  <si>
    <t>Ao so mi owen dai tay 425</t>
  </si>
  <si>
    <t>1400003006-14784</t>
  </si>
  <si>
    <t>Ao so mi dai tay OW386</t>
  </si>
  <si>
    <t>1400003006-15882</t>
  </si>
  <si>
    <t>Ao so mi dai tay OW425</t>
  </si>
  <si>
    <t>1400003006-16365</t>
  </si>
  <si>
    <t>Ao so mi dai tay VT489</t>
  </si>
  <si>
    <t>1400003006-16458</t>
  </si>
  <si>
    <t>Ao so mi DT  KCS  425</t>
  </si>
  <si>
    <t>1400003006-16780</t>
  </si>
  <si>
    <t>Ao so mi dai tay  KCS  422</t>
  </si>
  <si>
    <t>1400003006-16787</t>
  </si>
  <si>
    <t>Ao so mi dai tay  KCS  425</t>
  </si>
  <si>
    <t>1400003006-14000037</t>
  </si>
  <si>
    <t>Quan au ATN355</t>
  </si>
  <si>
    <t>1400003017-7547</t>
  </si>
  <si>
    <t>Ao so mi owen KW330</t>
  </si>
  <si>
    <t>1400003017-7548</t>
  </si>
  <si>
    <t>S¬Mi Owen 330</t>
  </si>
  <si>
    <t>1400003017-11863</t>
  </si>
  <si>
    <t>AO SM VT 380</t>
  </si>
  <si>
    <t>1400003017-11923</t>
  </si>
  <si>
    <t>Ao SM VT293</t>
  </si>
  <si>
    <t>1400003017-13687</t>
  </si>
  <si>
    <t>Somi DT  VTI293</t>
  </si>
  <si>
    <t>1400003017-13721</t>
  </si>
  <si>
    <t>Ao SMCT VT435</t>
  </si>
  <si>
    <t>1400003017-13724</t>
  </si>
  <si>
    <t>1400003017-14113</t>
  </si>
  <si>
    <t>1400003017-15070</t>
  </si>
  <si>
    <t>Ao so mi dai tay OW422</t>
  </si>
  <si>
    <t>1400003017-15125</t>
  </si>
  <si>
    <t>Quan tay  VTI  630</t>
  </si>
  <si>
    <t>1400003017-15952</t>
  </si>
  <si>
    <t>Quan tay 1F5027BT5 VTI  595</t>
  </si>
  <si>
    <t>1400003017-15990</t>
  </si>
  <si>
    <t>Ao so mi dai tay VT385</t>
  </si>
  <si>
    <t>1400003017-16130</t>
  </si>
  <si>
    <t>Ao SM dai tay VTI 293</t>
  </si>
  <si>
    <t>1400003017-16237</t>
  </si>
  <si>
    <t>Ao so mi dai tay VT293</t>
  </si>
  <si>
    <t>1400003017-16345</t>
  </si>
  <si>
    <t>Ao so mi DT  VTI  395</t>
  </si>
  <si>
    <t>1400003017-16779</t>
  </si>
  <si>
    <t>1400003017-16780</t>
  </si>
  <si>
    <t>1400003017-16787</t>
  </si>
  <si>
    <t>1400003017-16789</t>
  </si>
  <si>
    <t>Ao so mi dai tay  KCS  426</t>
  </si>
  <si>
    <t>1400003017-14000049</t>
  </si>
  <si>
    <t>Quan au OW495</t>
  </si>
  <si>
    <t>1400003094-5279</t>
  </si>
  <si>
    <t>Quan au  ATN365</t>
  </si>
  <si>
    <t>1400003094-5369</t>
  </si>
  <si>
    <t>Quan au ATN365</t>
  </si>
  <si>
    <t>1400003094-5397</t>
  </si>
  <si>
    <t>QuÇn ©u ATN14115 335</t>
  </si>
  <si>
    <t>1400003094-6292</t>
  </si>
  <si>
    <t>Kavat - 45</t>
  </si>
  <si>
    <t>1400003094-6312</t>
  </si>
  <si>
    <t>Cravat  -120</t>
  </si>
  <si>
    <t>1400003094-6316</t>
  </si>
  <si>
    <t>Cravat  - 60</t>
  </si>
  <si>
    <t>1400003094-7396</t>
  </si>
  <si>
    <t>Ao somi nam CT ow455</t>
  </si>
  <si>
    <t>1400003094-7421</t>
  </si>
  <si>
    <t>AO SOMI OWEN XANH LO 1 MAU 386</t>
  </si>
  <si>
    <t>1400003094-7422</t>
  </si>
  <si>
    <t>1400003094-7547</t>
  </si>
  <si>
    <t>1400003094-7548</t>
  </si>
  <si>
    <t>1400003094-7698</t>
  </si>
  <si>
    <t>Ao Somi CT 388</t>
  </si>
  <si>
    <t>1400003094-8626</t>
  </si>
  <si>
    <t>Quan au XQ395</t>
  </si>
  <si>
    <t>1400003094-11688</t>
  </si>
  <si>
    <t>Ao so mi nam CT 370</t>
  </si>
  <si>
    <t>1400003094-13316</t>
  </si>
  <si>
    <t>SMNT MAT 545</t>
  </si>
  <si>
    <t>1400003094-13737</t>
  </si>
  <si>
    <t>1400003094-14110</t>
  </si>
  <si>
    <t>Ao so mi ngan tay KCS386</t>
  </si>
  <si>
    <t>1400003094-14127</t>
  </si>
  <si>
    <t>Quan tay 0 ly  VTI  595</t>
  </si>
  <si>
    <t>1400003094-14712</t>
  </si>
  <si>
    <t>Ao so mi dai tay X28-420</t>
  </si>
  <si>
    <t>1400003094-14944</t>
  </si>
  <si>
    <t>Ao so mi coc tay OW386</t>
  </si>
  <si>
    <t>1400003094-15987</t>
  </si>
  <si>
    <t>Ao so mi coc tay VT251</t>
  </si>
  <si>
    <t>1400003094-16096</t>
  </si>
  <si>
    <t>Ao so mi coc tay OW388</t>
  </si>
  <si>
    <t>1400003094-16345</t>
  </si>
  <si>
    <t>1400003094-16353</t>
  </si>
  <si>
    <t>Ao so mi DT  VTI  370</t>
  </si>
  <si>
    <t>1400003094-16356</t>
  </si>
  <si>
    <t>Ao so mi CT  VTI  425</t>
  </si>
  <si>
    <t>1400003094-16755</t>
  </si>
  <si>
    <t>Ao so mi ngan tay MTN585</t>
  </si>
  <si>
    <t>1400003094-16757</t>
  </si>
  <si>
    <t>Ao so mi dai tay MTN615</t>
  </si>
  <si>
    <t>1400003094-16792</t>
  </si>
  <si>
    <t>Ao so mi dai tay  KCS  495</t>
  </si>
  <si>
    <t>1400003094-16794</t>
  </si>
  <si>
    <t>Ao so mi dai tay  X28  440</t>
  </si>
  <si>
    <t>1400003094-16800</t>
  </si>
  <si>
    <t>Ao so mi dai tay  KCS  590</t>
  </si>
  <si>
    <t>1400003095-7547</t>
  </si>
  <si>
    <t>1400003095-7548</t>
  </si>
  <si>
    <t>1400003095-16353</t>
  </si>
  <si>
    <t>1400003095-16712</t>
  </si>
  <si>
    <t>Ao so mi dai tay VT515</t>
  </si>
  <si>
    <t>1400003095-16848</t>
  </si>
  <si>
    <t>So mi dai tay VTI 385</t>
  </si>
  <si>
    <t>1400003095-16857</t>
  </si>
  <si>
    <t>So mi dai tay KCS 495</t>
  </si>
  <si>
    <t>1400003095-16866</t>
  </si>
  <si>
    <t>1400003096-8942</t>
  </si>
  <si>
    <t>QuÇn Nhµ BÌ 340</t>
  </si>
  <si>
    <t>1400003096-8943</t>
  </si>
  <si>
    <t>QuÇn Nhµ BÌ 370</t>
  </si>
  <si>
    <t>1400003096-15125</t>
  </si>
  <si>
    <t>1400003096-15951</t>
  </si>
  <si>
    <t>Quan tay 1F5026BT5 VTI  595</t>
  </si>
  <si>
    <t>1400003097-6343</t>
  </si>
  <si>
    <t>Day lung 1365</t>
  </si>
  <si>
    <t>1400003097-15869</t>
  </si>
  <si>
    <t>Ao dai tay KTO324</t>
  </si>
  <si>
    <t>1400003097-16237</t>
  </si>
  <si>
    <t>1400003097-16344</t>
  </si>
  <si>
    <t>Ao so mi DT  VTI  515</t>
  </si>
  <si>
    <t>1400003097-16346</t>
  </si>
  <si>
    <t>Ao so mi DT  VTI  335</t>
  </si>
  <si>
    <t>1400003097-16348</t>
  </si>
  <si>
    <t>Ao so mi DT  VTI  375</t>
  </si>
  <si>
    <t>1400003097-16866</t>
  </si>
  <si>
    <t>1400003098-16130</t>
  </si>
  <si>
    <t>1400003098-16237</t>
  </si>
  <si>
    <t>1400003098-16866</t>
  </si>
  <si>
    <t>1400003103-12122</t>
  </si>
  <si>
    <t>Quan tay VTI630</t>
  </si>
  <si>
    <t>1400003103-12524</t>
  </si>
  <si>
    <t>Ao lot 3 lo VT91</t>
  </si>
  <si>
    <t>1400003103-13686</t>
  </si>
  <si>
    <t>Ao lot nam  VTI91</t>
  </si>
  <si>
    <t>1400003103-15125</t>
  </si>
  <si>
    <t>1400003103-15951</t>
  </si>
  <si>
    <t>1400003104-7738</t>
  </si>
  <si>
    <t>Ao SM455</t>
  </si>
  <si>
    <t>1400003104-11878</t>
  </si>
  <si>
    <t>AO SMI TRANG 293</t>
  </si>
  <si>
    <t>1400003104-12494</t>
  </si>
  <si>
    <t>Ao Somi CT 435</t>
  </si>
  <si>
    <t>1400003104-12731</t>
  </si>
  <si>
    <t>1400003104-15869</t>
  </si>
  <si>
    <t>1400003104-16130</t>
  </si>
  <si>
    <t>1400003104-16353</t>
  </si>
  <si>
    <t>1400003104-16357</t>
  </si>
  <si>
    <t>Ao so mi CT  VTI  399</t>
  </si>
  <si>
    <t>1400003104-16790</t>
  </si>
  <si>
    <t>Ao so mi dai tay  KCS  423</t>
  </si>
  <si>
    <t>1400003104-16845</t>
  </si>
  <si>
    <t>1400003104-16867</t>
  </si>
  <si>
    <t>1400003104-14000045</t>
  </si>
  <si>
    <t>Ao so mi coc tay OW455</t>
  </si>
  <si>
    <t>1400003110-7269</t>
  </si>
  <si>
    <t>Ao so mi owen 418</t>
  </si>
  <si>
    <t>1400003110-16342</t>
  </si>
  <si>
    <t>1400003110-16867</t>
  </si>
  <si>
    <t>1400003111-11978</t>
  </si>
  <si>
    <t>Ao so mi nam DT VT640</t>
  </si>
  <si>
    <t>1400003111-16347</t>
  </si>
  <si>
    <t>Ao so mi DT  VTI  489</t>
  </si>
  <si>
    <t>1400003111-16348</t>
  </si>
  <si>
    <t>1400003111-16352</t>
  </si>
  <si>
    <t>Ao so mi DT  VTI  385</t>
  </si>
  <si>
    <t>1400003111-16353</t>
  </si>
  <si>
    <t>1400003111-16354</t>
  </si>
  <si>
    <t>Ao so mi CT  VTI  385</t>
  </si>
  <si>
    <t>1400003111-16850</t>
  </si>
  <si>
    <t>So mi dai tay VTI 515</t>
  </si>
  <si>
    <t>1400003112-6324</t>
  </si>
  <si>
    <t>Day Lung D215</t>
  </si>
  <si>
    <t>1400003112-6326</t>
  </si>
  <si>
    <t>Day lung 245</t>
  </si>
  <si>
    <t>1400003112-7269</t>
  </si>
  <si>
    <t>1400003112-7301</t>
  </si>
  <si>
    <t>SMDT CRO KEP TO XANH DO 420</t>
  </si>
  <si>
    <t>1400003112-7420</t>
  </si>
  <si>
    <t>Somi dai tay OW386</t>
  </si>
  <si>
    <t>1400003112-7422</t>
  </si>
  <si>
    <t>1400003112-7548</t>
  </si>
  <si>
    <t>1400003112-11946</t>
  </si>
  <si>
    <t>ASM390</t>
  </si>
  <si>
    <t>1400003112-12668</t>
  </si>
  <si>
    <t>Ao so mi nam DT465</t>
  </si>
  <si>
    <t>1400003112-15689</t>
  </si>
  <si>
    <t>Ao so mi dai tay OW418</t>
  </si>
  <si>
    <t>1400003112-16344</t>
  </si>
  <si>
    <t>1400003112-16359</t>
  </si>
  <si>
    <t>1400003112-16362</t>
  </si>
  <si>
    <t>1400003112-16439</t>
  </si>
  <si>
    <t>Ao so mi DT  VTI  301</t>
  </si>
  <si>
    <t>1400003112-16630</t>
  </si>
  <si>
    <t>Ao so mi dai tay VT470</t>
  </si>
  <si>
    <t>1400003112-16845</t>
  </si>
  <si>
    <t>1400003112-16855</t>
  </si>
  <si>
    <t>1400003115-16349</t>
  </si>
  <si>
    <t>Quan KK  VTI  565</t>
  </si>
  <si>
    <t>1400003115-16640</t>
  </si>
  <si>
    <t>So mi dai tay  VTI  480</t>
  </si>
  <si>
    <t>1400003120-7269</t>
  </si>
  <si>
    <t>1400003120-16342</t>
  </si>
  <si>
    <t>1400003120-16867</t>
  </si>
  <si>
    <t>1400003123-11923</t>
  </si>
  <si>
    <t>1400003123-11935</t>
  </si>
  <si>
    <t>AO SO MI TRANG 293</t>
  </si>
  <si>
    <t>1400003123-16237</t>
  </si>
  <si>
    <t>1400003123-16238</t>
  </si>
  <si>
    <t>Ao so mi dai tay VT365</t>
  </si>
  <si>
    <t>1400003132-14060</t>
  </si>
  <si>
    <t>Quan au  ATN020 ATN445</t>
  </si>
  <si>
    <t>1400003132-14916</t>
  </si>
  <si>
    <t>1400003132-16336</t>
  </si>
  <si>
    <t>Ao so mi coc tay MTN697</t>
  </si>
  <si>
    <t>1400003132-16340</t>
  </si>
  <si>
    <t>Ao so mi dai tay MTN565</t>
  </si>
  <si>
    <t>1400003132-16779</t>
  </si>
  <si>
    <t>1400003132-16800</t>
  </si>
  <si>
    <t>2000003462-14814</t>
  </si>
  <si>
    <t>Quan sooc HV151011 TKG  245</t>
  </si>
  <si>
    <t>HP002</t>
  </si>
  <si>
    <t>2000003473-7004</t>
  </si>
  <si>
    <t>Ao so mi KTO335</t>
  </si>
  <si>
    <t>2000003473-14047</t>
  </si>
  <si>
    <t>Ao so mi nam ngan tay KT2  470</t>
  </si>
  <si>
    <t>2000003473-14212</t>
  </si>
  <si>
    <t>Quan sooc HNG85</t>
  </si>
  <si>
    <t>2000003473-15084</t>
  </si>
  <si>
    <t>Ao phong nam  TQT  240</t>
  </si>
  <si>
    <t>2000003777-1009</t>
  </si>
  <si>
    <t>Quan Sooc nam 210</t>
  </si>
  <si>
    <t>2000003777-6316</t>
  </si>
  <si>
    <t>2000003777-8524</t>
  </si>
  <si>
    <t>Ao so  mi dai tay X695</t>
  </si>
  <si>
    <t>2000003777-15678</t>
  </si>
  <si>
    <t>Ao phong nam UNIQLO vien le 149</t>
  </si>
  <si>
    <t>2000003833-14000039</t>
  </si>
  <si>
    <t>Quan sooc nam KTO288</t>
  </si>
  <si>
    <t>2000003838-6402</t>
  </si>
  <si>
    <t>Ao 3 lo 79</t>
  </si>
  <si>
    <t>2000003838-14000039</t>
  </si>
  <si>
    <t>2000003839-9733</t>
  </si>
  <si>
    <t>Ao phong nam 343</t>
  </si>
  <si>
    <t>2000003841-1009</t>
  </si>
  <si>
    <t>2000003841-1013</t>
  </si>
  <si>
    <t>QUAN SOC 230</t>
  </si>
  <si>
    <t>2000003846-1013</t>
  </si>
  <si>
    <t>2000003846-16006</t>
  </si>
  <si>
    <t>Quan sooc HCA 265</t>
  </si>
  <si>
    <t>2000003848-3253</t>
  </si>
  <si>
    <t>QuÇn SÞp M- Ngäc CK 35% - 69</t>
  </si>
  <si>
    <t>2000003848-6388</t>
  </si>
  <si>
    <t>QuÇn sip D2603</t>
  </si>
  <si>
    <t>2000003848-13047</t>
  </si>
  <si>
    <t>QUAN SIP ON OFF 119</t>
  </si>
  <si>
    <t>2000003848-15119</t>
  </si>
  <si>
    <t>Ao so mi  HTH  530</t>
  </si>
  <si>
    <t>2000003848-15212</t>
  </si>
  <si>
    <t>Quan au 1ly  HTH  470</t>
  </si>
  <si>
    <t>2000003850-65</t>
  </si>
  <si>
    <t>Quan sooc ADU220</t>
  </si>
  <si>
    <t>2000003850-13041</t>
  </si>
  <si>
    <t>TÊt On - Off  - 39</t>
  </si>
  <si>
    <t>2000003853-5426</t>
  </si>
  <si>
    <t>Quan au ATN325</t>
  </si>
  <si>
    <t>2000003854-14831</t>
  </si>
  <si>
    <t>Quan sooc ADU 195</t>
  </si>
  <si>
    <t>2000003854-15238</t>
  </si>
  <si>
    <t>Ao phong nam  TLA  315</t>
  </si>
  <si>
    <t>2000003900-8509</t>
  </si>
  <si>
    <t>Ao Somi Coc Tay X375</t>
  </si>
  <si>
    <t>2000003900-13814</t>
  </si>
  <si>
    <t>Ao phong Tomy NCG 195</t>
  </si>
  <si>
    <t>2000003931-975</t>
  </si>
  <si>
    <t>QuÇn kaki nam TH - 495</t>
  </si>
  <si>
    <t>2000003931-1008</t>
  </si>
  <si>
    <t>Quan sooc QS1_05.13</t>
  </si>
  <si>
    <t>2000003931-1009</t>
  </si>
  <si>
    <t>2000003931-1013</t>
  </si>
  <si>
    <t>2000003931-3856</t>
  </si>
  <si>
    <t>Ao vec TS2150-1720</t>
  </si>
  <si>
    <t>2000003931-3876</t>
  </si>
  <si>
    <t>Quan vec TS2150-430</t>
  </si>
  <si>
    <t>2000003931-5466</t>
  </si>
  <si>
    <t>Quan KK HC445</t>
  </si>
  <si>
    <t>2000003931-8504</t>
  </si>
  <si>
    <t>Somi CT225</t>
  </si>
  <si>
    <t>2000003931-8506</t>
  </si>
  <si>
    <t>Ao Somi Coc Tay X315</t>
  </si>
  <si>
    <t>2000003931-8508</t>
  </si>
  <si>
    <t>Ao coc tay XCT345</t>
  </si>
  <si>
    <t>2000003931-8518</t>
  </si>
  <si>
    <t>Ao dai tay XDT335</t>
  </si>
  <si>
    <t>2000003931-8519</t>
  </si>
  <si>
    <t>Ao so mi dai tay X395</t>
  </si>
  <si>
    <t>2000003931-8540</t>
  </si>
  <si>
    <t>HPXDT275</t>
  </si>
  <si>
    <t>2000003931-8544</t>
  </si>
  <si>
    <t>HPXDT365</t>
  </si>
  <si>
    <t>2000003931-8596</t>
  </si>
  <si>
    <t>Ao so mi nam DT390</t>
  </si>
  <si>
    <t>2000003931-9736</t>
  </si>
  <si>
    <t>Ao phong nam 371</t>
  </si>
  <si>
    <t>2000003932-13814</t>
  </si>
  <si>
    <t>2000003933-3243</t>
  </si>
  <si>
    <t>Ao T-Shirt sports 295</t>
  </si>
  <si>
    <t>2000003933-6329</t>
  </si>
  <si>
    <t>Day lung D300</t>
  </si>
  <si>
    <t>2000003933-13681</t>
  </si>
  <si>
    <t>Quan sooc 893 VDN215</t>
  </si>
  <si>
    <t>2000003933-15679</t>
  </si>
  <si>
    <t>Ao phong phoi suon nam TAH 125</t>
  </si>
  <si>
    <t>2000003934-8599</t>
  </si>
  <si>
    <t>So mi DT 450</t>
  </si>
  <si>
    <t>2000003934-14436</t>
  </si>
  <si>
    <t>Ao somi nam NTSF KTO430</t>
  </si>
  <si>
    <t>2000003935-8528</t>
  </si>
  <si>
    <t>Quan dui X55</t>
  </si>
  <si>
    <t>2000003936-5310</t>
  </si>
  <si>
    <t>Quan ATN 355</t>
  </si>
  <si>
    <t>2000003937-8509</t>
  </si>
  <si>
    <t>2000003937-8528</t>
  </si>
  <si>
    <t>2000003938-7005</t>
  </si>
  <si>
    <t>Ao so mi nam ngan tay 350</t>
  </si>
  <si>
    <t>2000003938-7053</t>
  </si>
  <si>
    <t>¸o somi nam CT KTO378</t>
  </si>
  <si>
    <t>2000003939-3846</t>
  </si>
  <si>
    <t>Ao vec TS2250-1800</t>
  </si>
  <si>
    <t>2000003939-5305</t>
  </si>
  <si>
    <t>QuÇn ¢u ATN 220 - 340</t>
  </si>
  <si>
    <t>2000003939-5447</t>
  </si>
  <si>
    <t>¸o vÐc m· AVX-2200</t>
  </si>
  <si>
    <t>2000003939-5449</t>
  </si>
  <si>
    <t>QuÇn vÐc  X20  440</t>
  </si>
  <si>
    <t>2000003939-6312</t>
  </si>
  <si>
    <t>2000003939-6990</t>
  </si>
  <si>
    <t>QuÇn ©u-395</t>
  </si>
  <si>
    <t>2000003939-8520</t>
  </si>
  <si>
    <t>Ao dai tay XDT435</t>
  </si>
  <si>
    <t>2000003939-8521</t>
  </si>
  <si>
    <t>Ao dai tay XDT475</t>
  </si>
  <si>
    <t>2000003939-8528</t>
  </si>
  <si>
    <t>2000003939-13041</t>
  </si>
  <si>
    <t>2000003940-1002</t>
  </si>
  <si>
    <t>QUAN SOC 240</t>
  </si>
  <si>
    <t>2000003940-3148</t>
  </si>
  <si>
    <t>Quan dui QD15 MHN40</t>
  </si>
  <si>
    <t>2000003940-5305</t>
  </si>
  <si>
    <t>2000003940-5326</t>
  </si>
  <si>
    <t>QuÇn ©u nam ATN0159-335</t>
  </si>
  <si>
    <t>2000003940-6316</t>
  </si>
  <si>
    <t>2000003940-6402</t>
  </si>
  <si>
    <t>2000003940-8528</t>
  </si>
  <si>
    <t>2000003940-13041</t>
  </si>
  <si>
    <t>2000003941-1003</t>
  </si>
  <si>
    <t>Quan sooc nam 195</t>
  </si>
  <si>
    <t>2000003941-3243</t>
  </si>
  <si>
    <t>2000003941-3249</t>
  </si>
  <si>
    <t>Sip nam Amado  MNG99</t>
  </si>
  <si>
    <t>2000003941-5344</t>
  </si>
  <si>
    <t>QuÇn ©u nam ATN0176-335</t>
  </si>
  <si>
    <t>2000003941-15678</t>
  </si>
  <si>
    <t>2000003942-8515</t>
  </si>
  <si>
    <t>Ao coc tay XCT635</t>
  </si>
  <si>
    <t>2000003944-3361</t>
  </si>
  <si>
    <t>Day Lung NM300</t>
  </si>
  <si>
    <t>2000003944-6385</t>
  </si>
  <si>
    <t>QuÇn sip D2506</t>
  </si>
  <si>
    <t>2000003944-6400</t>
  </si>
  <si>
    <t>QuÇn sÞp D2623</t>
  </si>
  <si>
    <t>2000003944-6610</t>
  </si>
  <si>
    <t>Ao phong nam 8038 HHA257</t>
  </si>
  <si>
    <t>2000003944-9736</t>
  </si>
  <si>
    <t>2000003979-12524</t>
  </si>
  <si>
    <t>2000003979-13049</t>
  </si>
  <si>
    <t>Tat nam  99</t>
  </si>
  <si>
    <t>2000003980-991</t>
  </si>
  <si>
    <t>QuÇn kaki namTH - 590</t>
  </si>
  <si>
    <t>2000003982-8509</t>
  </si>
  <si>
    <t>2000003982-8512</t>
  </si>
  <si>
    <t>Ao so mi coc tay X495</t>
  </si>
  <si>
    <t>2000003982-8513</t>
  </si>
  <si>
    <t>Ao coc tay XCT535</t>
  </si>
  <si>
    <t>2000003982-8515</t>
  </si>
  <si>
    <t>2000003982-8516</t>
  </si>
  <si>
    <t>Ao so mi coc tay X675</t>
  </si>
  <si>
    <t>2000003982-8544</t>
  </si>
  <si>
    <t>2000003982-8603</t>
  </si>
  <si>
    <t>Ao dai tay XDT555</t>
  </si>
  <si>
    <t>2000003987-997</t>
  </si>
  <si>
    <t>2000003988-1013</t>
  </si>
  <si>
    <t>2000003988-8528</t>
  </si>
  <si>
    <t>2000003988-14813</t>
  </si>
  <si>
    <t>Ao phong HV15107 TKG  165</t>
  </si>
  <si>
    <t>2000003989-8521</t>
  </si>
  <si>
    <t>2000003990-8508</t>
  </si>
  <si>
    <t>2000003990-8544</t>
  </si>
  <si>
    <t>2000003993-14434</t>
  </si>
  <si>
    <t>Ao somi nam DTSL KTO430</t>
  </si>
  <si>
    <t>2000003995-6402</t>
  </si>
  <si>
    <t>2000003995-12524</t>
  </si>
  <si>
    <t>2000003997-5319</t>
  </si>
  <si>
    <t>QuÇn ©u nam ATN0149-335</t>
  </si>
  <si>
    <t>2000003998-13232</t>
  </si>
  <si>
    <t>Ao so mi coc tay M10 - 390</t>
  </si>
  <si>
    <t>2000003999-6583</t>
  </si>
  <si>
    <t>Ao phong nam 250</t>
  </si>
  <si>
    <t>2000004000-5327</t>
  </si>
  <si>
    <t>Quan ATN 395</t>
  </si>
  <si>
    <t>2000004001-936</t>
  </si>
  <si>
    <t>QuÇn KK QK1-07</t>
  </si>
  <si>
    <t>2000004001-14645</t>
  </si>
  <si>
    <t>Quan sooc 711406 HCA 275</t>
  </si>
  <si>
    <t>2000004002-5286</t>
  </si>
  <si>
    <t>Quan ATN 365</t>
  </si>
  <si>
    <t>2000004002-14060</t>
  </si>
  <si>
    <t>2000004003-8629</t>
  </si>
  <si>
    <t>Quan kaki 655</t>
  </si>
  <si>
    <t>2000004003-14047</t>
  </si>
  <si>
    <t>2000004003-14000035</t>
  </si>
  <si>
    <t>Ao so mi ngan tay KTO538</t>
  </si>
  <si>
    <t>2000004004-8544</t>
  </si>
  <si>
    <t>2000004005-5310</t>
  </si>
  <si>
    <t>2000004006-936</t>
  </si>
  <si>
    <t>2000004006-8526</t>
  </si>
  <si>
    <t>Quan au XQ545</t>
  </si>
  <si>
    <t>2000004007-5456</t>
  </si>
  <si>
    <t>Quan vec nam VV2750-550</t>
  </si>
  <si>
    <t>2000004007-14000038</t>
  </si>
  <si>
    <t>2000004008-1013</t>
  </si>
  <si>
    <t>2000004009-5310</t>
  </si>
  <si>
    <t>2000004009-8514</t>
  </si>
  <si>
    <t>Ao so mi coc tay X575</t>
  </si>
  <si>
    <t>2000004009-8515</t>
  </si>
  <si>
    <t>2000004009-16049</t>
  </si>
  <si>
    <t>Quan KK 0ly MP019 HTH  470</t>
  </si>
  <si>
    <t>2000004010-1013</t>
  </si>
  <si>
    <t>2000004012-1008</t>
  </si>
  <si>
    <t>2000004012-1013</t>
  </si>
  <si>
    <t>2000004012-15982</t>
  </si>
  <si>
    <t>Quan KK 0ly MK008 HTH  560</t>
  </si>
  <si>
    <t>2000004013-15175</t>
  </si>
  <si>
    <t>Ao so mi CT KTO 618</t>
  </si>
  <si>
    <t>2000004014-8544</t>
  </si>
  <si>
    <t>2000004015-8528</t>
  </si>
  <si>
    <t>2000004015-13814</t>
  </si>
  <si>
    <t>2000004016-8520</t>
  </si>
  <si>
    <t>2000004017-3148</t>
  </si>
  <si>
    <t>2000004017-14114</t>
  </si>
  <si>
    <t>Quan sooc nam TH 255</t>
  </si>
  <si>
    <t>2000004017-14645</t>
  </si>
  <si>
    <t>2000004018-14813</t>
  </si>
  <si>
    <t>2000004019-1007</t>
  </si>
  <si>
    <t>QUAN SOC 245</t>
  </si>
  <si>
    <t>2000004020-5327</t>
  </si>
  <si>
    <t>2000004020-14000038</t>
  </si>
  <si>
    <t>2000004021-8544</t>
  </si>
  <si>
    <t>2000004022-991</t>
  </si>
  <si>
    <t>2000004023-15714</t>
  </si>
  <si>
    <t>Quan au 035 RVI  385</t>
  </si>
  <si>
    <t>2000004024-975</t>
  </si>
  <si>
    <t>2000004024-991</t>
  </si>
  <si>
    <t>2000004025-3148</t>
  </si>
  <si>
    <t>2000004025-9736</t>
  </si>
  <si>
    <t>2000004026-996</t>
  </si>
  <si>
    <t>Quan KK nam TH535</t>
  </si>
  <si>
    <t>2000004026-6600</t>
  </si>
  <si>
    <t>Ao phong nam 150</t>
  </si>
  <si>
    <t>2000004027-9728</t>
  </si>
  <si>
    <t>Ao phong nam 257</t>
  </si>
  <si>
    <t>2000004028-14000039</t>
  </si>
  <si>
    <t>2000004029-8513</t>
  </si>
  <si>
    <t>2000004030-14437</t>
  </si>
  <si>
    <t>Ao somi nam NTSF KTO470</t>
  </si>
  <si>
    <t>2000004030-15211</t>
  </si>
  <si>
    <t>Quan KK 1ly  HTH  560</t>
  </si>
  <si>
    <t>2000004031-3259</t>
  </si>
  <si>
    <t>QuÇn SÞp M- Ngäc CK 35% - 58</t>
  </si>
  <si>
    <t>2000004031-3260</t>
  </si>
  <si>
    <t>Sip nam Amado  MNG74</t>
  </si>
  <si>
    <t>2000004031-7004</t>
  </si>
  <si>
    <t>2000004031-8509</t>
  </si>
  <si>
    <t>2000004031-8516</t>
  </si>
  <si>
    <t>2000004031-14114</t>
  </si>
  <si>
    <t>2000004031-15211</t>
  </si>
  <si>
    <t>2000004031-15982</t>
  </si>
  <si>
    <t>2000004032-8592</t>
  </si>
  <si>
    <t>Ao somi dai tay X329</t>
  </si>
  <si>
    <t>2000004033-14436</t>
  </si>
  <si>
    <t>2000004036-6406</t>
  </si>
  <si>
    <t>¸o s¸t n¸ch GS - 145</t>
  </si>
  <si>
    <t>2000004036-13041</t>
  </si>
  <si>
    <t>2000004036-13990</t>
  </si>
  <si>
    <t>Ao somi coc tay HTH 530</t>
  </si>
  <si>
    <t>2000004036-15212</t>
  </si>
  <si>
    <t>2000004041-3148</t>
  </si>
  <si>
    <t>2000004041-6384</t>
  </si>
  <si>
    <t>QuÇn sip D2505</t>
  </si>
  <si>
    <t>2000004041-8528</t>
  </si>
  <si>
    <t>2000004042-6381</t>
  </si>
  <si>
    <t>QuÇn sÞp D2007</t>
  </si>
  <si>
    <t>2000004042-6390</t>
  </si>
  <si>
    <t>QuÇn sip D2605</t>
  </si>
  <si>
    <t>2000004042-6600</t>
  </si>
  <si>
    <t>2000004042-8528</t>
  </si>
  <si>
    <t>2000004042-8631</t>
  </si>
  <si>
    <t>Quan dui XQD45</t>
  </si>
  <si>
    <t>2000004046-996</t>
  </si>
  <si>
    <t>2000004046-8821</t>
  </si>
  <si>
    <t>Ao so mi NH275</t>
  </si>
  <si>
    <t>2000004047-8521</t>
  </si>
  <si>
    <t>2000004047-12524</t>
  </si>
  <si>
    <t>2000004049-6289</t>
  </si>
  <si>
    <t>D©y Lung-470</t>
  </si>
  <si>
    <t>2000004049-8592</t>
  </si>
  <si>
    <t>2000004049-8606</t>
  </si>
  <si>
    <t>Ao so mi nam dai tay M10 850</t>
  </si>
  <si>
    <t>2000004049-8986</t>
  </si>
  <si>
    <t>Ao dai tay CN305</t>
  </si>
  <si>
    <t>2000004050-15211</t>
  </si>
  <si>
    <t>2000004050-15212</t>
  </si>
  <si>
    <t>2000004053-8569</t>
  </si>
  <si>
    <t>Ao somi coc tay X255</t>
  </si>
  <si>
    <t>2000004054-991</t>
  </si>
  <si>
    <t>2000004055-6329</t>
  </si>
  <si>
    <t>2000004055-6402</t>
  </si>
  <si>
    <t>2000004063-8528</t>
  </si>
  <si>
    <t>2000004064-8521</t>
  </si>
  <si>
    <t>2000004064-8603</t>
  </si>
  <si>
    <t>2000004067-92</t>
  </si>
  <si>
    <t>QuÇn sãc nam 195</t>
  </si>
  <si>
    <t>2000004067-3364</t>
  </si>
  <si>
    <t>Day Lung NM350</t>
  </si>
  <si>
    <t>2000004067-8520</t>
  </si>
  <si>
    <t>2000004067-12546</t>
  </si>
  <si>
    <t>ASM497</t>
  </si>
  <si>
    <t>2000004067-15119</t>
  </si>
  <si>
    <t>2000004070-8518</t>
  </si>
  <si>
    <t>2000004070-14122</t>
  </si>
  <si>
    <t>Ao so mi CT KTO 538</t>
  </si>
  <si>
    <t>2000004070-15119</t>
  </si>
  <si>
    <t>2000004070-14000035</t>
  </si>
  <si>
    <t>2000004079-991</t>
  </si>
  <si>
    <t>2000004079-996</t>
  </si>
  <si>
    <t>2000004079-6996</t>
  </si>
  <si>
    <t>Ao Dai tay KTO360</t>
  </si>
  <si>
    <t>2000004091-8528</t>
  </si>
  <si>
    <t>2000004092-8520</t>
  </si>
  <si>
    <t>2000004092-15175</t>
  </si>
  <si>
    <t>2000004101-6606</t>
  </si>
  <si>
    <t>Ao phong Nam 229</t>
  </si>
  <si>
    <t>2000004101-9731</t>
  </si>
  <si>
    <t>Ao phong nam 314</t>
  </si>
  <si>
    <t>2000004115-8544</t>
  </si>
  <si>
    <t>2000004115-8986</t>
  </si>
  <si>
    <t>2000004119-6391</t>
  </si>
  <si>
    <t>QuÇn sip D2606</t>
  </si>
  <si>
    <t>2000004124-8518</t>
  </si>
  <si>
    <t>2000004124-8519</t>
  </si>
  <si>
    <t>2000004129-65</t>
  </si>
  <si>
    <t>2000004130-4985</t>
  </si>
  <si>
    <t>Quan soc TPH125</t>
  </si>
  <si>
    <t>2000004132-5399</t>
  </si>
  <si>
    <t>2000004132-9733</t>
  </si>
  <si>
    <t>2000004132-15120</t>
  </si>
  <si>
    <t>2000004133-8518</t>
  </si>
  <si>
    <t>2000004133-8599</t>
  </si>
  <si>
    <t>2000004136-6409</t>
  </si>
  <si>
    <t>Ao tay ng¾n cæ trßn 198</t>
  </si>
  <si>
    <t>2000004137-8519</t>
  </si>
  <si>
    <t>2000004137-8520</t>
  </si>
  <si>
    <t>2000004160-8519</t>
  </si>
  <si>
    <t>2000004164-8544</t>
  </si>
  <si>
    <t>2000004164-8569</t>
  </si>
  <si>
    <t>2000004166-65</t>
  </si>
  <si>
    <t>2000004172-8629</t>
  </si>
  <si>
    <t>2000004172-15119</t>
  </si>
  <si>
    <t>2000004175-3363</t>
  </si>
  <si>
    <t>Vi da NM300</t>
  </si>
  <si>
    <t>2000004175-5421</t>
  </si>
  <si>
    <t>QuÇn ©u nam ATN395</t>
  </si>
  <si>
    <t>2000004175-6312</t>
  </si>
  <si>
    <t>2000004175-8569</t>
  </si>
  <si>
    <t>2000004205-9735</t>
  </si>
  <si>
    <t>Ao phong TNU370</t>
  </si>
  <si>
    <t>2000004208-8512</t>
  </si>
  <si>
    <t>2000004208-8516</t>
  </si>
  <si>
    <t>2000004209-980</t>
  </si>
  <si>
    <t>QuÇn kaki nam TH - 550</t>
  </si>
  <si>
    <t>2000004209-13934</t>
  </si>
  <si>
    <t>Quan au M10 585</t>
  </si>
  <si>
    <t>2000004210-8512</t>
  </si>
  <si>
    <t>2000004211-3854</t>
  </si>
  <si>
    <t>Ao vec TS1950-1560</t>
  </si>
  <si>
    <t>2000004211-3874</t>
  </si>
  <si>
    <t>Quan vec TS1950-390</t>
  </si>
  <si>
    <t>2000004211-6316</t>
  </si>
  <si>
    <t>2000004213-14895</t>
  </si>
  <si>
    <t>Quan au 045 RVI  385</t>
  </si>
  <si>
    <t>2000004214-16127</t>
  </si>
  <si>
    <t>Vi nam 235</t>
  </si>
  <si>
    <t>2000004218-8603</t>
  </si>
  <si>
    <t>2000004219-4675</t>
  </si>
  <si>
    <t>Quan ngo  210</t>
  </si>
  <si>
    <t>2000004220-1003</t>
  </si>
  <si>
    <t>2000004220-8510</t>
  </si>
  <si>
    <t>Ao Somi Coc Tay X415</t>
  </si>
  <si>
    <t>2000004220-14114</t>
  </si>
  <si>
    <t>2000004220-14572</t>
  </si>
  <si>
    <t>Ao so mi ngan tay KTO 390</t>
  </si>
  <si>
    <t>2000004223-16006</t>
  </si>
  <si>
    <t>2000004229-13041</t>
  </si>
  <si>
    <t>2000004231-5417</t>
  </si>
  <si>
    <t>QuÇn ©u nam ATN1184 395</t>
  </si>
  <si>
    <t>2000004231-6402</t>
  </si>
  <si>
    <t>2000004231-8629</t>
  </si>
  <si>
    <t>2000004231-14000039</t>
  </si>
  <si>
    <t>2000004232-7131</t>
  </si>
  <si>
    <t>Ao coc tay CK245</t>
  </si>
  <si>
    <t>2000004232-14433</t>
  </si>
  <si>
    <t>Quan Kaki nam 1L KTO375</t>
  </si>
  <si>
    <t>2000004232-15747</t>
  </si>
  <si>
    <t>Quan kaki QKK340316 VTG  400</t>
  </si>
  <si>
    <t>2000004236-15175</t>
  </si>
  <si>
    <t>2000004237-8528</t>
  </si>
  <si>
    <t>2000004239-8518</t>
  </si>
  <si>
    <t>2000004283-8603</t>
  </si>
  <si>
    <t>2000004283-8606</t>
  </si>
  <si>
    <t>2000004286-7048</t>
  </si>
  <si>
    <t>Somi nam ngan tay vat bang-KTO330</t>
  </si>
  <si>
    <t>2000004462-8519</t>
  </si>
  <si>
    <t>2000004462-8544</t>
  </si>
  <si>
    <t>2500000568-6165</t>
  </si>
  <si>
    <t>Hang tre em TC98</t>
  </si>
  <si>
    <t>TH001</t>
  </si>
  <si>
    <t>2500000568-6604</t>
  </si>
  <si>
    <t>Ao phong nam 193</t>
  </si>
  <si>
    <t>2500000568-8626</t>
  </si>
  <si>
    <t>2500000568-8855</t>
  </si>
  <si>
    <t>Ao so mi coc tay NBE520</t>
  </si>
  <si>
    <t>2500000581-9738</t>
  </si>
  <si>
    <t>Ao phong nam KG TNU800</t>
  </si>
  <si>
    <t>2500000657-4974</t>
  </si>
  <si>
    <t>QuÇn sooc PH 205</t>
  </si>
  <si>
    <t>2500000662-4974</t>
  </si>
  <si>
    <t>2500000662-8528</t>
  </si>
  <si>
    <t>2500000668-6409</t>
  </si>
  <si>
    <t>2500000671-6999</t>
  </si>
  <si>
    <t>Ao so mi nam ngan tay 270</t>
  </si>
  <si>
    <t>2500000701-4808</t>
  </si>
  <si>
    <t>Ao thun be gai NT TMI86</t>
  </si>
  <si>
    <t>2500000701-6600</t>
  </si>
  <si>
    <t>2500000710-7419</t>
  </si>
  <si>
    <t>SMCT tr¾ng 320</t>
  </si>
  <si>
    <t>2500000710-7652</t>
  </si>
  <si>
    <t>SMCT tr¾ng ko tói 320</t>
  </si>
  <si>
    <t>2500000732-7645</t>
  </si>
  <si>
    <t>Ao Somi DT 416</t>
  </si>
  <si>
    <t>2500000785-3258</t>
  </si>
  <si>
    <t>2500000785-4676</t>
  </si>
  <si>
    <t>Quan sooc cap 220</t>
  </si>
  <si>
    <t>2500000785-6275</t>
  </si>
  <si>
    <t>Quan Lot Nam TQ68</t>
  </si>
  <si>
    <t>2500000785-6391</t>
  </si>
  <si>
    <t>2500000785-10231</t>
  </si>
  <si>
    <t>Ao ACN12-VTX65</t>
  </si>
  <si>
    <t>2500000789-13041</t>
  </si>
  <si>
    <t>2500000789-13043</t>
  </si>
  <si>
    <t>TÊt On - Off  - 50</t>
  </si>
  <si>
    <t>2500000789-14039</t>
  </si>
  <si>
    <t>Somi ngan tay VTI435</t>
  </si>
  <si>
    <t>2500000823-12500</t>
  </si>
  <si>
    <t>Ao so mi CT VT380</t>
  </si>
  <si>
    <t>2500000825-6630</t>
  </si>
  <si>
    <t>Ao phong nam Tom My HHA171</t>
  </si>
  <si>
    <t>2500000826-5339</t>
  </si>
  <si>
    <t>QuÇn ©u nam ATN0171-365</t>
  </si>
  <si>
    <t>2500000839-1002</t>
  </si>
  <si>
    <t>2500000839-1015</t>
  </si>
  <si>
    <t>Quan sooc nam 11014 TH245</t>
  </si>
  <si>
    <t>2500000839-3536</t>
  </si>
  <si>
    <t>Bo NY190</t>
  </si>
  <si>
    <t>2500000839-6270</t>
  </si>
  <si>
    <t>Quan Lot Nu TQ62</t>
  </si>
  <si>
    <t>2500000839-6272</t>
  </si>
  <si>
    <t>Quan Lot Nu TQ44</t>
  </si>
  <si>
    <t>2500000839-8165</t>
  </si>
  <si>
    <t>Ao phong nu  K235</t>
  </si>
  <si>
    <t>2500000839-13041</t>
  </si>
  <si>
    <t>2500000839-14095</t>
  </si>
  <si>
    <t>Ao phong owen 239</t>
  </si>
  <si>
    <t>2500000849-2383</t>
  </si>
  <si>
    <t>QUAN KAKI OW475</t>
  </si>
  <si>
    <t>2500000849-8032</t>
  </si>
  <si>
    <t>Quan kaki nam 590</t>
  </si>
  <si>
    <t>2500000858-1007</t>
  </si>
  <si>
    <t>2500000858-1013</t>
  </si>
  <si>
    <t>2500000858-2334</t>
  </si>
  <si>
    <t>Ao giu nhiet ke ngang nu CK145</t>
  </si>
  <si>
    <t>2500000858-7860</t>
  </si>
  <si>
    <t>Ao so mi Owen 515</t>
  </si>
  <si>
    <t>2500000858-9392</t>
  </si>
  <si>
    <t>Ao thun  nam TM135</t>
  </si>
  <si>
    <t>2500000858-9736</t>
  </si>
  <si>
    <t>2500000858-11715</t>
  </si>
  <si>
    <t>Ao so mi CT VT545</t>
  </si>
  <si>
    <t>2500000858-11720</t>
  </si>
  <si>
    <t>Ao so mi CT VT540</t>
  </si>
  <si>
    <t>2500000858-12739</t>
  </si>
  <si>
    <t>Ao so mi nam coc tay-VT385</t>
  </si>
  <si>
    <t>2500000858-14042</t>
  </si>
  <si>
    <t>Somi ngan tay VTI497</t>
  </si>
  <si>
    <t>2500000858-14094</t>
  </si>
  <si>
    <t>Quan sooc owen 385</t>
  </si>
  <si>
    <t>2500000878-12864</t>
  </si>
  <si>
    <t>2500000896-9809</t>
  </si>
  <si>
    <t>Bé lanh hoa s1-8 TN81</t>
  </si>
  <si>
    <t>2900000002-2608</t>
  </si>
  <si>
    <t>Satin KWN299</t>
  </si>
  <si>
    <t>NB001</t>
  </si>
  <si>
    <t>2900000002-11918</t>
  </si>
  <si>
    <t>Ao somi dai tay VT420</t>
  </si>
  <si>
    <t>2900000003-7068</t>
  </si>
  <si>
    <t>QuÇn Sooc nam KTO258</t>
  </si>
  <si>
    <t>2900000003-7879</t>
  </si>
  <si>
    <t>PHONG OW 315</t>
  </si>
  <si>
    <t>2900000004-8943</t>
  </si>
  <si>
    <t>2900000004-11699</t>
  </si>
  <si>
    <t>SMI COC TAY VT299</t>
  </si>
  <si>
    <t>2900000004-12749</t>
  </si>
  <si>
    <t>So mi CT 315</t>
  </si>
  <si>
    <t>2900000004-13222</t>
  </si>
  <si>
    <t>Ao ba lo WNE75</t>
  </si>
  <si>
    <t>2900000005-58</t>
  </si>
  <si>
    <t>Quan sooc ADU120</t>
  </si>
  <si>
    <t>2900000005-4239</t>
  </si>
  <si>
    <t>Quan chip 3-5-7t  KMO110</t>
  </si>
  <si>
    <t>2900000005-8844</t>
  </si>
  <si>
    <t>¸o s¬ mi CT_</t>
  </si>
  <si>
    <t>2900000006-1013</t>
  </si>
  <si>
    <t>2900000006-5396</t>
  </si>
  <si>
    <t>QuÇn ©u nam ATN1149</t>
  </si>
  <si>
    <t>2900000006-5425</t>
  </si>
  <si>
    <t>QuÇn ©u nam ATN1193</t>
  </si>
  <si>
    <t>2900000006-6312</t>
  </si>
  <si>
    <t>2900000006-13222</t>
  </si>
  <si>
    <t>2900000007-58</t>
  </si>
  <si>
    <t>2900000007-920</t>
  </si>
  <si>
    <t>Ao so mi nam DT260</t>
  </si>
  <si>
    <t>2900000007-4737</t>
  </si>
  <si>
    <t>Ao thun be trai NT  TMI80</t>
  </si>
  <si>
    <t>C¸i</t>
  </si>
  <si>
    <t>2900000007-8528</t>
  </si>
  <si>
    <t>2900000008-1012</t>
  </si>
  <si>
    <t>Quan sooc nam 06.14</t>
  </si>
  <si>
    <t>2900000008-2626</t>
  </si>
  <si>
    <t>KWN271</t>
  </si>
  <si>
    <t>2900000008-7861</t>
  </si>
  <si>
    <t>PHONG OW 435</t>
  </si>
  <si>
    <t>2900000008-9118</t>
  </si>
  <si>
    <t>Quan leg bi 34</t>
  </si>
  <si>
    <t>2900000009-12920</t>
  </si>
  <si>
    <t>QuÇn ©u nam_260</t>
  </si>
  <si>
    <t>2900003144-6262</t>
  </si>
  <si>
    <t>Ao Nguc Nu TQ289</t>
  </si>
  <si>
    <t>2900003144-8702</t>
  </si>
  <si>
    <t>¸o s¬mi lacoste 26A-187</t>
  </si>
  <si>
    <t>2900003144-8705</t>
  </si>
  <si>
    <t>¸o s¬mi-199</t>
  </si>
  <si>
    <t>2900003144-13935</t>
  </si>
  <si>
    <t>Ao phong TE burberry TTU78</t>
  </si>
  <si>
    <t>2900003145-58</t>
  </si>
  <si>
    <t>2900003145-4985</t>
  </si>
  <si>
    <t>2900003145-5251</t>
  </si>
  <si>
    <t>Quan sooc TA 195</t>
  </si>
  <si>
    <t>2900003145-6538</t>
  </si>
  <si>
    <t>Ao so mi coc tay HT 495</t>
  </si>
  <si>
    <t>2900003146-2641</t>
  </si>
  <si>
    <t>C?c tay qu?n ng? c? trßn KWN341</t>
  </si>
  <si>
    <t>2900003146-6209</t>
  </si>
  <si>
    <t>Bo ngu TC55</t>
  </si>
  <si>
    <t>2900003147-4806</t>
  </si>
  <si>
    <t>2900003148-7735</t>
  </si>
  <si>
    <t>Ao so mi coc tay owen 455</t>
  </si>
  <si>
    <t>2900003149-4410</t>
  </si>
  <si>
    <t>¸o s¬ mi bÐ g¸i 8-12 r/5</t>
  </si>
  <si>
    <t>2900003150-1941</t>
  </si>
  <si>
    <t>¸o s¬ mi th« kÎ nam céc tay r/5</t>
  </si>
  <si>
    <t>2900003150-13787</t>
  </si>
  <si>
    <t>Quan sooc nam sz 4/5-8/9 HVA127</t>
  </si>
  <si>
    <t>2900003151-13049</t>
  </si>
  <si>
    <t>2900003152-15237</t>
  </si>
  <si>
    <t>Ao phong nu  TLA  285</t>
  </si>
  <si>
    <t>2900003153-63</t>
  </si>
  <si>
    <t>Quan sooc NH225</t>
  </si>
  <si>
    <t>2900003154-1810</t>
  </si>
  <si>
    <t>Ao tre em HV98</t>
  </si>
  <si>
    <t>2900003154-4409</t>
  </si>
  <si>
    <t>¸o s¬ mi bÐ g¸i r/5</t>
  </si>
  <si>
    <t>2900003155-8049</t>
  </si>
  <si>
    <t>Quan Owen 530</t>
  </si>
  <si>
    <t>2900003156-8160</t>
  </si>
  <si>
    <t>2900003157-7066</t>
  </si>
  <si>
    <t>QuÇn KTO398</t>
  </si>
  <si>
    <t>2900003157-11897</t>
  </si>
  <si>
    <t>Ao so mi nam DT385</t>
  </si>
  <si>
    <t>2900003158-13133</t>
  </si>
  <si>
    <t>Ao so mi lanh 290</t>
  </si>
  <si>
    <t>2900003158-14000062</t>
  </si>
  <si>
    <t>2900003159-7547</t>
  </si>
  <si>
    <t>2900003160-3243</t>
  </si>
  <si>
    <t>2900003161-13784</t>
  </si>
  <si>
    <t>Ao somi bo nam sz 2/3-6/7 HVA127</t>
  </si>
  <si>
    <t>2900003161-13814</t>
  </si>
  <si>
    <t>2900003162-8627</t>
  </si>
  <si>
    <t>Quan au nam X435</t>
  </si>
  <si>
    <t>2900003163-14207</t>
  </si>
  <si>
    <t>Ao chong nang CL135</t>
  </si>
  <si>
    <t>2900003163-14839</t>
  </si>
  <si>
    <t>Nam dai bu 1 lop JIN127-181</t>
  </si>
  <si>
    <t>2900003163-31000071</t>
  </si>
  <si>
    <t>Ao chong nang 1-5</t>
  </si>
  <si>
    <t>2900003164-4806</t>
  </si>
  <si>
    <t>2900003164-8121</t>
  </si>
  <si>
    <t>Quan sooc owen 330</t>
  </si>
  <si>
    <t>2900003164-13811</t>
  </si>
  <si>
    <t>Ao phong be LDH96</t>
  </si>
  <si>
    <t>2900003164-15387</t>
  </si>
  <si>
    <t>Vay KK nu BK180 HVA  127</t>
  </si>
  <si>
    <t>2900003165-6376</t>
  </si>
  <si>
    <t>QuÇn bß bÐ trai GV154</t>
  </si>
  <si>
    <t>2900003165-13814</t>
  </si>
  <si>
    <t>2900003165-14542</t>
  </si>
  <si>
    <t>Bo lanh NT 1-5T KM061-87</t>
  </si>
  <si>
    <t>2900003166-718</t>
  </si>
  <si>
    <t>Ao kieu nu 1583 DCH298</t>
  </si>
  <si>
    <t>2900003166-13990</t>
  </si>
  <si>
    <t>2900003167-5382</t>
  </si>
  <si>
    <t>QuÇn ©u nam ATN1124 365</t>
  </si>
  <si>
    <t>2900003167-11439</t>
  </si>
  <si>
    <t>VietTien 293</t>
  </si>
  <si>
    <t>2900003168-4985</t>
  </si>
  <si>
    <t>2900003168-13707</t>
  </si>
  <si>
    <t>Somi NT  VTI435</t>
  </si>
  <si>
    <t>2900003168-16462</t>
  </si>
  <si>
    <t>Quan kaki TH 495</t>
  </si>
  <si>
    <t>2900003169-7074</t>
  </si>
  <si>
    <t>Vi nam da chan da dieu KTO1090</t>
  </si>
  <si>
    <t>2900003169-16460</t>
  </si>
  <si>
    <t>2900003170-9995</t>
  </si>
  <si>
    <t>bé BT ®¹i céc tay r/5</t>
  </si>
  <si>
    <t>Bé</t>
  </si>
  <si>
    <t>2900003172-6496</t>
  </si>
  <si>
    <t>Quan soc HCG355</t>
  </si>
  <si>
    <t>2900003172-13225</t>
  </si>
  <si>
    <t>Ao co tay WNE220</t>
  </si>
  <si>
    <t>2900003172-15225</t>
  </si>
  <si>
    <t>Ao phong duoi tom  TNG  150</t>
  </si>
  <si>
    <t>2900003174-6710</t>
  </si>
  <si>
    <t>QUAN SOC 295</t>
  </si>
  <si>
    <t>2900003174-8166</t>
  </si>
  <si>
    <t>Ao phong owen 219</t>
  </si>
  <si>
    <t>2900003174-13795</t>
  </si>
  <si>
    <t>Ao phong nu co tron U KCK98</t>
  </si>
  <si>
    <t>2900003175-6265</t>
  </si>
  <si>
    <t>Quan Lot Nu TQ59</t>
  </si>
  <si>
    <t>2900003175-15237</t>
  </si>
  <si>
    <t>2900003175-16536</t>
  </si>
  <si>
    <t>Quan jean ngo  KWN  339</t>
  </si>
  <si>
    <t>2900003176-3148</t>
  </si>
  <si>
    <t>2900003176-3943</t>
  </si>
  <si>
    <t>Quan dui nam ke co tui 48</t>
  </si>
  <si>
    <t>2900003176-4983</t>
  </si>
  <si>
    <t>Quan Dui TPH55</t>
  </si>
  <si>
    <t>2900003176-6329</t>
  </si>
  <si>
    <t>2900003203-1327</t>
  </si>
  <si>
    <t>Khau trang  hoat tinh EVN41.5</t>
  </si>
  <si>
    <t>2900003203-13033</t>
  </si>
  <si>
    <t>Aã  On - Off - 149</t>
  </si>
  <si>
    <t>2900003203-16279</t>
  </si>
  <si>
    <t>Ao thun be gai DT TMI50-71</t>
  </si>
  <si>
    <t>2900003205-12703</t>
  </si>
  <si>
    <t>QuÇn KAKIS VT525</t>
  </si>
  <si>
    <t>2900003206-6271</t>
  </si>
  <si>
    <t>2900003208-4410</t>
  </si>
  <si>
    <t>3100000004-276</t>
  </si>
  <si>
    <t>v¸y lanh hoa zaza kids 1-6T</t>
  </si>
  <si>
    <t>HN010</t>
  </si>
  <si>
    <t>3100000004-3120</t>
  </si>
  <si>
    <t>bé má neo 1-6</t>
  </si>
  <si>
    <t>3100000004-4449</t>
  </si>
  <si>
    <t>Bé lanh BG 7-12</t>
  </si>
  <si>
    <t>3100000004-4472</t>
  </si>
  <si>
    <t>¸o ph«ng bÐ trai 2-7t r/6</t>
  </si>
  <si>
    <t>3100000004-9980</t>
  </si>
  <si>
    <t>Bé lanh Bg size 8-12t r/5</t>
  </si>
  <si>
    <t>3100000004-13643</t>
  </si>
  <si>
    <t>Vay lanh nhi  THN87</t>
  </si>
  <si>
    <t>CS1-003006</t>
  </si>
  <si>
    <t>BB</t>
  </si>
  <si>
    <t>CS1</t>
  </si>
  <si>
    <t>THANHHOA</t>
  </si>
  <si>
    <t>CS1-003017</t>
  </si>
  <si>
    <t>CS1-003094</t>
  </si>
  <si>
    <t>CS1-003095</t>
  </si>
  <si>
    <t>CS1-003096</t>
  </si>
  <si>
    <t>CS1-003097</t>
  </si>
  <si>
    <t>CS1-003098</t>
  </si>
  <si>
    <t>CS1-003103</t>
  </si>
  <si>
    <t>CS1-003104</t>
  </si>
  <si>
    <t>CS1-003110</t>
  </si>
  <si>
    <t>CS1-003111</t>
  </si>
  <si>
    <t>CS1-003112</t>
  </si>
  <si>
    <t>CS1-003115</t>
  </si>
  <si>
    <t>CS1-003120</t>
  </si>
  <si>
    <t>CS1-003123</t>
  </si>
  <si>
    <t>CS1-003132</t>
  </si>
  <si>
    <t>CS1-003462</t>
  </si>
  <si>
    <t>BL</t>
  </si>
  <si>
    <t>XUANTHUAN</t>
  </si>
  <si>
    <t>CS1-003473</t>
  </si>
  <si>
    <t>CS1-003777</t>
  </si>
  <si>
    <t>CS1-003833</t>
  </si>
  <si>
    <t>CS1-003838</t>
  </si>
  <si>
    <t>CS1-003839</t>
  </si>
  <si>
    <t>CS1-003841</t>
  </si>
  <si>
    <t>CS1-003846</t>
  </si>
  <si>
    <t>CS1-003848</t>
  </si>
  <si>
    <t>CS1-003850</t>
  </si>
  <si>
    <t>CS1-003853</t>
  </si>
  <si>
    <t>CS1-003854</t>
  </si>
  <si>
    <t>CS1-003900</t>
  </si>
  <si>
    <t>CS1-003931</t>
  </si>
  <si>
    <t>CS1-003932</t>
  </si>
  <si>
    <t>CS1-003933</t>
  </si>
  <si>
    <t>CS1-003934</t>
  </si>
  <si>
    <t>CS1-003935</t>
  </si>
  <si>
    <t>CS1-003936</t>
  </si>
  <si>
    <t>CS1-003937</t>
  </si>
  <si>
    <t>CS1-003938</t>
  </si>
  <si>
    <t>CS1-003939</t>
  </si>
  <si>
    <t>CS1-003940</t>
  </si>
  <si>
    <t>CS1-003941</t>
  </si>
  <si>
    <t>CS1-003942</t>
  </si>
  <si>
    <t>CS1-003944</t>
  </si>
  <si>
    <t>CS1-003979</t>
  </si>
  <si>
    <t>CS1-003980</t>
  </si>
  <si>
    <t>CS1-003982</t>
  </si>
  <si>
    <t>CS1-003987</t>
  </si>
  <si>
    <t>CS1-003988</t>
  </si>
  <si>
    <t>CS1-003989</t>
  </si>
  <si>
    <t>CS1-003990</t>
  </si>
  <si>
    <t>CS1-003993</t>
  </si>
  <si>
    <t>CS1-003995</t>
  </si>
  <si>
    <t>CS1-003997</t>
  </si>
  <si>
    <t>CS1-003998</t>
  </si>
  <si>
    <t>CS1-003999</t>
  </si>
  <si>
    <t>CS1-004000</t>
  </si>
  <si>
    <t>CS1-004001</t>
  </si>
  <si>
    <t>CS1-004002</t>
  </si>
  <si>
    <t>CS1-004003</t>
  </si>
  <si>
    <t>CS1-004004</t>
  </si>
  <si>
    <t>CS1-004005</t>
  </si>
  <si>
    <t>CS1-004006</t>
  </si>
  <si>
    <t>CS1-004007</t>
  </si>
  <si>
    <t>CS1-004008</t>
  </si>
  <si>
    <t>CS1-004009</t>
  </si>
  <si>
    <t>CS1-004010</t>
  </si>
  <si>
    <t>CS1-004012</t>
  </si>
  <si>
    <t>CS1-004013</t>
  </si>
  <si>
    <t>CS1-004014</t>
  </si>
  <si>
    <t>CS1-004015</t>
  </si>
  <si>
    <t>CS1-004016</t>
  </si>
  <si>
    <t>CS1-004017</t>
  </si>
  <si>
    <t>CS1-004018</t>
  </si>
  <si>
    <t>CS1-004019</t>
  </si>
  <si>
    <t>CS1-004020</t>
  </si>
  <si>
    <t>CS1-004021</t>
  </si>
  <si>
    <t>CS1-004022</t>
  </si>
  <si>
    <t>CS1-004023</t>
  </si>
  <si>
    <t>CS1-004024</t>
  </si>
  <si>
    <t>CS1-004025</t>
  </si>
  <si>
    <t>CS1-004026</t>
  </si>
  <si>
    <t>CS1-004027</t>
  </si>
  <si>
    <t>CS1-004028</t>
  </si>
  <si>
    <t>CS1-004029</t>
  </si>
  <si>
    <t>CS1-004030</t>
  </si>
  <si>
    <t>CS1-004031</t>
  </si>
  <si>
    <t>CS1-004032</t>
  </si>
  <si>
    <t>CS1-004033</t>
  </si>
  <si>
    <t>CS1-004036</t>
  </si>
  <si>
    <t>CS1-004041</t>
  </si>
  <si>
    <t>CS1-004042</t>
  </si>
  <si>
    <t>CS1-004046</t>
  </si>
  <si>
    <t>CS1-004047</t>
  </si>
  <si>
    <t>CS1-004049</t>
  </si>
  <si>
    <t>CS1-004050</t>
  </si>
  <si>
    <t>CS1-004053</t>
  </si>
  <si>
    <t>CS1-004054</t>
  </si>
  <si>
    <t>CS1-004055</t>
  </si>
  <si>
    <t>CS1-004063</t>
  </si>
  <si>
    <t>CS1-004064</t>
  </si>
  <si>
    <t>CS1-004067</t>
  </si>
  <si>
    <t>CS1-004070</t>
  </si>
  <si>
    <t>CS1-004079</t>
  </si>
  <si>
    <t>CS1-004091</t>
  </si>
  <si>
    <t>CS1-004092</t>
  </si>
  <si>
    <t>CS1-004101</t>
  </si>
  <si>
    <t>CS1-004115</t>
  </si>
  <si>
    <t>CS1-004119</t>
  </si>
  <si>
    <t>CS1-004124</t>
  </si>
  <si>
    <t>CS1-004129</t>
  </si>
  <si>
    <t>CS1-004130</t>
  </si>
  <si>
    <t>CS1-004132</t>
  </si>
  <si>
    <t>CS1-004133</t>
  </si>
  <si>
    <t>CS1-004136</t>
  </si>
  <si>
    <t>CS1-004137</t>
  </si>
  <si>
    <t>CS1-004160</t>
  </si>
  <si>
    <t>CS1-004164</t>
  </si>
  <si>
    <t>CS1-004166</t>
  </si>
  <si>
    <t>CS1-004172</t>
  </si>
  <si>
    <t>CS1-004175</t>
  </si>
  <si>
    <t>CS1-004205</t>
  </si>
  <si>
    <t>CS1-004208</t>
  </si>
  <si>
    <t>CS1-004209</t>
  </si>
  <si>
    <t>CS1-004210</t>
  </si>
  <si>
    <t>CS1-004211</t>
  </si>
  <si>
    <t>CS1-004213</t>
  </si>
  <si>
    <t>CS1-004214</t>
  </si>
  <si>
    <t>CS1-004218</t>
  </si>
  <si>
    <t>CS1-004219</t>
  </si>
  <si>
    <t>CS1-004220</t>
  </si>
  <si>
    <t>CS1-004223</t>
  </si>
  <si>
    <t>CS1-004229</t>
  </si>
  <si>
    <t>CS1-004231</t>
  </si>
  <si>
    <t>CS1-004232</t>
  </si>
  <si>
    <t>CS1-004236</t>
  </si>
  <si>
    <t>CS1-004237</t>
  </si>
  <si>
    <t>CS1-004239</t>
  </si>
  <si>
    <t>CS1-004283</t>
  </si>
  <si>
    <t>CS1-004286</t>
  </si>
  <si>
    <t>CS1-004462</t>
  </si>
  <si>
    <t>CS1-000568</t>
  </si>
  <si>
    <t>THUNGAN</t>
  </si>
  <si>
    <t>CS1-000581</t>
  </si>
  <si>
    <t>CS1-000657</t>
  </si>
  <si>
    <t>CS1-000662</t>
  </si>
  <si>
    <t>CS1-000668</t>
  </si>
  <si>
    <t>CS1-000671</t>
  </si>
  <si>
    <t>CS1-000701</t>
  </si>
  <si>
    <t>CS1-000710</t>
  </si>
  <si>
    <t>CS1-000732</t>
  </si>
  <si>
    <t>CS1-000785</t>
  </si>
  <si>
    <t>CS1-000789</t>
  </si>
  <si>
    <t>CS1-000823</t>
  </si>
  <si>
    <t>CS1-000825</t>
  </si>
  <si>
    <t>CS1-000826</t>
  </si>
  <si>
    <t>CS1-000839</t>
  </si>
  <si>
    <t>CS1-000849</t>
  </si>
  <si>
    <t>CS1-000858</t>
  </si>
  <si>
    <t>CS1-000878</t>
  </si>
  <si>
    <t>CS1-000896</t>
  </si>
  <si>
    <t>CS1-000002</t>
  </si>
  <si>
    <t>CS1-000003</t>
  </si>
  <si>
    <t>CS1-000004</t>
  </si>
  <si>
    <t>CS1-000005</t>
  </si>
  <si>
    <t>CS1-000006</t>
  </si>
  <si>
    <t>CS1-000007</t>
  </si>
  <si>
    <t>CS1-000008</t>
  </si>
  <si>
    <t>CS1-000009</t>
  </si>
  <si>
    <t>CS1-003144</t>
  </si>
  <si>
    <t>CS1-003145</t>
  </si>
  <si>
    <t>CS1-003146</t>
  </si>
  <si>
    <t>CS1-003147</t>
  </si>
  <si>
    <t>CS1-003148</t>
  </si>
  <si>
    <t>CS1-003149</t>
  </si>
  <si>
    <t>CS1-003150</t>
  </si>
  <si>
    <t>CS1-003151</t>
  </si>
  <si>
    <t>CS1-003152</t>
  </si>
  <si>
    <t>CS1-003153</t>
  </si>
  <si>
    <t>CS1-003154</t>
  </si>
  <si>
    <t>CS1-003155</t>
  </si>
  <si>
    <t>CS1-003156</t>
  </si>
  <si>
    <t>CS1-003157</t>
  </si>
  <si>
    <t>CS1-003158</t>
  </si>
  <si>
    <t>CS1-003159</t>
  </si>
  <si>
    <t>CS1-003160</t>
  </si>
  <si>
    <t>CS1-003161</t>
  </si>
  <si>
    <t>CS1-003162</t>
  </si>
  <si>
    <t>CS1-003163</t>
  </si>
  <si>
    <t>CS1-003164</t>
  </si>
  <si>
    <t>CS1-003165</t>
  </si>
  <si>
    <t>CS1-003166</t>
  </si>
  <si>
    <t>CS1-003167</t>
  </si>
  <si>
    <t>CS1-003168</t>
  </si>
  <si>
    <t>CS1-003169</t>
  </si>
  <si>
    <t>CS1-003170</t>
  </si>
  <si>
    <t>CS1-003172</t>
  </si>
  <si>
    <t>CS1-003174</t>
  </si>
  <si>
    <t>CS1-003175</t>
  </si>
  <si>
    <t>CS1-003176</t>
  </si>
  <si>
    <t>CS1-003203</t>
  </si>
  <si>
    <t>CS1-003205</t>
  </si>
  <si>
    <t>CS1-003206</t>
  </si>
  <si>
    <t>CS1-003208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</si>
</sst>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sz val="10.0"/>
      <name val="Arial"/>
    </font>
    <font>
      <sz val="10.0"/>
      <name val="Arial"/>
    </font>
    <font>
      <b/>
      <sz val="14.0"/>
      <name val="Arial"/>
    </font>
    <font>
      <b/>
      <i/>
      <sz val="10.0"/>
      <name val="Arial"/>
    </font>
    <font>
      <sz val="10.0"/>
      <color rgb="FFFF0000"/>
      <name val="Arial"/>
    </font>
  </fonts>
  <fills count="2">
    <fill>
      <patternFill patternType="none"/>
    </fill>
    <fill>
      <patternFill patternType="lightGray"/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1" numFmtId="0" xfId="0" applyBorder="1" applyFont="1"/>
    <xf borderId="3" fillId="0" fontId="2" numFmtId="0" xfId="0" applyBorder="1" applyFont="1"/>
    <xf borderId="3" fillId="0" fontId="4" numFmtId="0" xfId="0" applyBorder="1" applyFont="1"/>
    <xf borderId="3" fillId="0" fontId="5" numFmtId="0" xfId="0" applyBorder="1" applyFont="1"/>
    <xf borderId="4" fillId="0" fontId="2" numFmtId="0" xfId="0" applyBorder="1" applyFont="1"/>
    <xf borderId="0" fillId="0" fontId="2" numFmtId="22" xfId="0" applyFont="1" applyNumberFormat="1"/>
    <xf borderId="0" fillId="0" fontId="2" numFmtId="0" xfId="0" applyFont="1"/>
    <xf borderId="0" fillId="0" fontId="2" numFmtId="14" xfId="0" applyFont="1" applyNumberFormat="1"/>
    <xf borderId="0" fillId="0" fontId="2" numFmtId="2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5.0"/>
    <col customWidth="1" min="2" max="2" width="23.86"/>
    <col customWidth="1" min="3" max="3" width="84.57"/>
    <col customWidth="1" min="4" max="4" width="61.71"/>
    <col customWidth="1" min="5" max="26" width="8.0"/>
  </cols>
  <sheetData>
    <row r="1" ht="12.75" customHeight="1">
      <c r="A1" s="1" t="s">
        <v>0</v>
      </c>
      <c r="B1" s="2"/>
      <c r="C1" s="2"/>
      <c r="D1" s="2"/>
    </row>
    <row r="2" ht="18.0" customHeight="1">
      <c r="A2" s="3" t="s">
        <v>1</v>
      </c>
    </row>
    <row r="3" ht="18.0" customHeight="1">
      <c r="A3" s="3" t="s">
        <v>2</v>
      </c>
    </row>
    <row r="4" ht="12.75" customHeight="1">
      <c r="A4" s="2"/>
      <c r="B4" s="2"/>
      <c r="C4" s="2"/>
      <c r="D4" s="2"/>
    </row>
    <row r="5" ht="12.75" customHeight="1">
      <c r="A5" s="4" t="s">
        <v>3</v>
      </c>
      <c r="B5" s="4" t="s">
        <v>4</v>
      </c>
      <c r="C5" s="4" t="s">
        <v>5</v>
      </c>
      <c r="D5" s="4" t="s">
        <v>6</v>
      </c>
    </row>
    <row r="6" ht="12.75" customHeight="1">
      <c r="A6" s="5"/>
      <c r="B6" s="5"/>
      <c r="C6" s="5"/>
      <c r="D6" s="5"/>
    </row>
    <row r="7" ht="12.75" customHeight="1">
      <c r="A7" s="6" t="s">
        <v>7</v>
      </c>
      <c r="B7" s="6" t="s">
        <v>8</v>
      </c>
      <c r="C7" s="7" t="s">
        <v>9</v>
      </c>
      <c r="D7" s="7"/>
    </row>
    <row r="8" ht="12.75" customHeight="1">
      <c r="A8" s="7"/>
      <c r="B8" s="7"/>
      <c r="C8" s="7" t="s">
        <v>10</v>
      </c>
      <c r="D8" s="7"/>
    </row>
    <row r="9" ht="12.75" customHeight="1">
      <c r="A9" s="7"/>
      <c r="B9" s="7"/>
      <c r="C9" s="7" t="s">
        <v>11</v>
      </c>
      <c r="D9" s="7"/>
    </row>
    <row r="10" ht="12.75" customHeight="1">
      <c r="A10" s="7"/>
      <c r="B10" s="7"/>
      <c r="C10" s="7" t="s">
        <v>12</v>
      </c>
      <c r="D10" s="7"/>
    </row>
    <row r="11" ht="12.75" customHeight="1">
      <c r="A11" s="7"/>
      <c r="B11" s="7"/>
      <c r="C11" s="7" t="s">
        <v>13</v>
      </c>
      <c r="D11" s="7"/>
    </row>
    <row r="12" ht="12.75" customHeight="1">
      <c r="A12" s="7"/>
      <c r="B12" s="7"/>
      <c r="C12" s="7"/>
      <c r="D12" s="7"/>
    </row>
    <row r="13" ht="12.75" customHeight="1">
      <c r="A13" s="6" t="s">
        <v>14</v>
      </c>
      <c r="B13" s="6" t="s">
        <v>15</v>
      </c>
      <c r="C13" s="7"/>
      <c r="D13" s="7"/>
    </row>
    <row r="14" ht="12.75" customHeight="1">
      <c r="A14" s="8" t="s">
        <v>16</v>
      </c>
      <c r="B14" s="8" t="s">
        <v>17</v>
      </c>
      <c r="C14" s="7" t="s">
        <v>18</v>
      </c>
      <c r="D14" s="7"/>
    </row>
    <row r="15" ht="12.75" customHeight="1">
      <c r="A15" s="7"/>
      <c r="B15" s="7"/>
      <c r="C15" s="7" t="s">
        <v>19</v>
      </c>
      <c r="D15" s="7"/>
    </row>
    <row r="16" ht="12.75" customHeight="1">
      <c r="A16" s="7"/>
      <c r="B16" s="7"/>
      <c r="C16" s="7"/>
      <c r="D16" s="7"/>
    </row>
    <row r="17" ht="12.75" customHeight="1">
      <c r="A17" s="8" t="s">
        <v>20</v>
      </c>
      <c r="B17" s="8" t="s">
        <v>21</v>
      </c>
      <c r="C17" s="7"/>
      <c r="D17" s="7"/>
    </row>
    <row r="18" ht="12.75" customHeight="1">
      <c r="A18" s="7">
        <v>1.0</v>
      </c>
      <c r="B18" s="7" t="s">
        <v>22</v>
      </c>
      <c r="C18" s="7" t="s">
        <v>23</v>
      </c>
      <c r="D18" s="7"/>
    </row>
    <row r="19" ht="12.75" customHeight="1">
      <c r="A19" s="7">
        <v>2.0</v>
      </c>
      <c r="B19" s="7" t="s">
        <v>4</v>
      </c>
      <c r="C19" s="7" t="s">
        <v>24</v>
      </c>
      <c r="D19" s="7" t="s">
        <v>25</v>
      </c>
    </row>
    <row r="20" ht="12.75" customHeight="1">
      <c r="A20" s="7"/>
      <c r="B20" s="7"/>
      <c r="C20" s="7" t="s">
        <v>26</v>
      </c>
      <c r="D20" s="7"/>
    </row>
    <row r="21" ht="12.75" customHeight="1">
      <c r="A21" s="7"/>
      <c r="B21" s="7"/>
      <c r="C21" s="7" t="s">
        <v>27</v>
      </c>
      <c r="D21" s="7" t="s">
        <v>28</v>
      </c>
    </row>
    <row r="22" ht="12.75" customHeight="1">
      <c r="A22" s="7"/>
      <c r="B22" s="7"/>
      <c r="C22" s="7" t="s">
        <v>29</v>
      </c>
      <c r="D22" s="7" t="s">
        <v>30</v>
      </c>
    </row>
    <row r="23" ht="12.75" customHeight="1">
      <c r="A23" s="7"/>
      <c r="B23" s="7" t="s">
        <v>31</v>
      </c>
      <c r="C23" s="7" t="s">
        <v>32</v>
      </c>
      <c r="D23" s="7" t="s">
        <v>30</v>
      </c>
    </row>
    <row r="24" ht="12.75" customHeight="1">
      <c r="A24" s="7"/>
      <c r="B24" s="7"/>
      <c r="C24" s="7"/>
      <c r="D24" s="7"/>
    </row>
    <row r="25" ht="12.75" customHeight="1">
      <c r="A25" s="8" t="s">
        <v>33</v>
      </c>
      <c r="B25" s="8" t="s">
        <v>34</v>
      </c>
      <c r="C25" s="7"/>
      <c r="D25" s="7"/>
    </row>
    <row r="26" ht="12.75" customHeight="1">
      <c r="A26" s="7">
        <v>1.0</v>
      </c>
      <c r="B26" s="7" t="s">
        <v>22</v>
      </c>
      <c r="C26" s="7" t="s">
        <v>35</v>
      </c>
      <c r="D26" s="7"/>
    </row>
    <row r="27" ht="12.75" customHeight="1">
      <c r="A27" s="7"/>
      <c r="B27" s="7"/>
      <c r="C27" s="7" t="s">
        <v>36</v>
      </c>
      <c r="D27" s="7"/>
    </row>
    <row r="28" ht="12.75" customHeight="1">
      <c r="A28" s="7"/>
      <c r="B28" s="7"/>
      <c r="C28" s="7" t="s">
        <v>37</v>
      </c>
      <c r="D28" s="7"/>
    </row>
    <row r="29" ht="12.75" customHeight="1">
      <c r="A29" s="7"/>
      <c r="B29" s="7"/>
      <c r="C29" s="7" t="s">
        <v>38</v>
      </c>
      <c r="D29" s="7"/>
    </row>
    <row r="30" ht="12.75" customHeight="1">
      <c r="A30" s="7"/>
      <c r="B30" s="7"/>
      <c r="C30" s="7" t="s">
        <v>39</v>
      </c>
      <c r="D30" s="7" t="s">
        <v>40</v>
      </c>
    </row>
    <row r="31" ht="12.75" customHeight="1">
      <c r="A31" s="7"/>
      <c r="B31" s="7"/>
      <c r="C31" s="7" t="s">
        <v>41</v>
      </c>
      <c r="D31" s="7" t="s">
        <v>42</v>
      </c>
    </row>
    <row r="32" ht="12.75" customHeight="1">
      <c r="A32" s="7"/>
      <c r="B32" s="7"/>
      <c r="C32" s="7" t="s">
        <v>43</v>
      </c>
      <c r="D32" s="7"/>
    </row>
    <row r="33" ht="12.75" customHeight="1">
      <c r="A33" s="7"/>
      <c r="B33" s="7"/>
      <c r="C33" s="7" t="s">
        <v>44</v>
      </c>
      <c r="D33" s="7"/>
    </row>
    <row r="34" ht="12.75" customHeight="1">
      <c r="A34" s="7"/>
      <c r="B34" s="7"/>
      <c r="C34" s="7" t="s">
        <v>45</v>
      </c>
      <c r="D34" s="7" t="s">
        <v>46</v>
      </c>
    </row>
    <row r="35" ht="12.75" customHeight="1">
      <c r="A35" s="7"/>
      <c r="B35" s="7"/>
      <c r="C35" s="7" t="s">
        <v>47</v>
      </c>
      <c r="D35" s="7" t="s">
        <v>48</v>
      </c>
    </row>
    <row r="36" ht="12.75" customHeight="1">
      <c r="A36" s="7">
        <v>2.0</v>
      </c>
      <c r="B36" s="7" t="s">
        <v>4</v>
      </c>
      <c r="C36" s="7"/>
      <c r="D36" s="7"/>
    </row>
    <row r="37" ht="12.75" customHeight="1">
      <c r="A37" s="7" t="s">
        <v>49</v>
      </c>
      <c r="B37" s="7" t="s">
        <v>50</v>
      </c>
      <c r="C37" s="7" t="s">
        <v>51</v>
      </c>
      <c r="D37" s="7"/>
    </row>
    <row r="38" ht="12.75" customHeight="1">
      <c r="A38" s="7" t="s">
        <v>52</v>
      </c>
      <c r="B38" s="7" t="s">
        <v>53</v>
      </c>
      <c r="C38" s="7" t="s">
        <v>54</v>
      </c>
      <c r="D38" s="7" t="s">
        <v>55</v>
      </c>
    </row>
    <row r="39" ht="12.75" customHeight="1">
      <c r="A39" s="7"/>
      <c r="B39" s="7"/>
      <c r="C39" s="7" t="s">
        <v>56</v>
      </c>
      <c r="D39" s="7"/>
    </row>
    <row r="40" ht="12.75" customHeight="1">
      <c r="A40" s="7"/>
      <c r="B40" s="7"/>
      <c r="C40" s="7" t="s">
        <v>57</v>
      </c>
      <c r="D40" s="7"/>
    </row>
    <row r="41" ht="12.75" customHeight="1">
      <c r="A41" s="7"/>
      <c r="B41" s="7"/>
      <c r="C41" s="7" t="s">
        <v>58</v>
      </c>
      <c r="D41" s="7"/>
    </row>
    <row r="42" ht="12.75" customHeight="1">
      <c r="A42" s="7"/>
      <c r="B42" s="7"/>
      <c r="C42" s="7" t="s">
        <v>59</v>
      </c>
      <c r="D42" s="7"/>
    </row>
    <row r="43" ht="12.75" customHeight="1">
      <c r="A43" s="7"/>
      <c r="B43" s="7"/>
      <c r="C43" s="7" t="s">
        <v>60</v>
      </c>
      <c r="D43" s="7"/>
    </row>
    <row r="44" ht="12.75" customHeight="1">
      <c r="A44" s="7"/>
      <c r="B44" s="7"/>
      <c r="C44" s="9" t="s">
        <v>61</v>
      </c>
      <c r="D44" s="9" t="s">
        <v>62</v>
      </c>
    </row>
    <row r="45" ht="12.75" customHeight="1">
      <c r="A45" s="7"/>
      <c r="B45" s="7"/>
      <c r="C45" s="7" t="s">
        <v>63</v>
      </c>
      <c r="D45" s="7"/>
    </row>
    <row r="46" ht="12.75" customHeight="1">
      <c r="A46" s="7"/>
      <c r="B46" s="7"/>
      <c r="C46" s="7" t="s">
        <v>64</v>
      </c>
      <c r="D46" s="7"/>
    </row>
    <row r="47" ht="12.75" customHeight="1">
      <c r="A47" s="7"/>
      <c r="B47" s="7"/>
      <c r="C47" s="7" t="s">
        <v>65</v>
      </c>
      <c r="D47" s="7"/>
    </row>
    <row r="48" ht="12.75" customHeight="1">
      <c r="A48" s="7"/>
      <c r="B48" s="7"/>
      <c r="C48" s="7"/>
      <c r="D48" s="7"/>
    </row>
    <row r="49" ht="12.75" customHeight="1">
      <c r="A49" s="8" t="s">
        <v>66</v>
      </c>
      <c r="B49" s="8" t="s">
        <v>67</v>
      </c>
      <c r="C49" s="7"/>
      <c r="D49" s="7"/>
    </row>
    <row r="50" ht="12.75" customHeight="1">
      <c r="A50" s="7">
        <v>1.0</v>
      </c>
      <c r="B50" s="7" t="s">
        <v>22</v>
      </c>
      <c r="C50" s="7" t="s">
        <v>68</v>
      </c>
      <c r="D50" s="7" t="s">
        <v>69</v>
      </c>
    </row>
    <row r="51" ht="12.75" customHeight="1">
      <c r="A51" s="7"/>
      <c r="B51" s="7"/>
      <c r="C51" s="7" t="s">
        <v>70</v>
      </c>
      <c r="D51" s="7"/>
    </row>
    <row r="52" ht="12.75" customHeight="1">
      <c r="A52" s="7"/>
      <c r="B52" s="7"/>
      <c r="C52" s="7" t="s">
        <v>71</v>
      </c>
      <c r="D52" s="7"/>
    </row>
    <row r="53" ht="12.75" customHeight="1">
      <c r="A53" s="7"/>
      <c r="B53" s="7"/>
      <c r="C53" s="7" t="s">
        <v>72</v>
      </c>
      <c r="D53" s="7"/>
    </row>
    <row r="54" ht="12.75" customHeight="1">
      <c r="A54" s="7"/>
      <c r="B54" s="7"/>
      <c r="C54" s="7" t="s">
        <v>73</v>
      </c>
      <c r="D54" s="7"/>
    </row>
    <row r="55" ht="12.75" customHeight="1">
      <c r="A55" s="7"/>
      <c r="B55" s="7"/>
      <c r="C55" s="7" t="s">
        <v>74</v>
      </c>
      <c r="D55" s="7"/>
    </row>
    <row r="56" ht="12.75" customHeight="1">
      <c r="A56" s="7"/>
      <c r="B56" s="7"/>
      <c r="C56" s="7" t="s">
        <v>75</v>
      </c>
      <c r="D56" s="7"/>
    </row>
    <row r="57" ht="12.75" customHeight="1">
      <c r="A57" s="7"/>
      <c r="B57" s="7"/>
      <c r="C57" s="7" t="s">
        <v>76</v>
      </c>
      <c r="D57" s="7"/>
    </row>
    <row r="58" ht="12.75" customHeight="1">
      <c r="A58" s="7"/>
      <c r="B58" s="7"/>
      <c r="C58" s="7" t="s">
        <v>77</v>
      </c>
      <c r="D58" s="7"/>
    </row>
    <row r="59" ht="12.75" customHeight="1">
      <c r="A59" s="7"/>
      <c r="B59" s="7"/>
      <c r="C59" s="7"/>
      <c r="D59" s="7"/>
    </row>
    <row r="60" ht="12.75" customHeight="1">
      <c r="A60" s="7">
        <v>2.0</v>
      </c>
      <c r="B60" s="7" t="s">
        <v>4</v>
      </c>
      <c r="C60" s="7" t="s">
        <v>78</v>
      </c>
      <c r="D60" s="7"/>
    </row>
    <row r="61" ht="12.75" customHeight="1">
      <c r="A61" s="7"/>
      <c r="B61" s="7"/>
      <c r="C61" s="7" t="s">
        <v>79</v>
      </c>
      <c r="D61" s="7"/>
    </row>
    <row r="62" ht="12.75" customHeight="1">
      <c r="A62" s="7"/>
      <c r="B62" s="7"/>
      <c r="C62" s="7" t="s">
        <v>80</v>
      </c>
      <c r="D62" s="7"/>
    </row>
    <row r="63" ht="12.75" customHeight="1">
      <c r="A63" s="7"/>
      <c r="B63" s="7"/>
      <c r="C63" s="7" t="s">
        <v>81</v>
      </c>
      <c r="D63" s="7"/>
    </row>
    <row r="64" ht="12.75" customHeight="1">
      <c r="A64" s="7"/>
      <c r="B64" s="7"/>
      <c r="C64" s="7" t="s">
        <v>60</v>
      </c>
      <c r="D64" s="7"/>
    </row>
    <row r="65" ht="12.75" customHeight="1">
      <c r="A65" s="7"/>
      <c r="B65" s="7"/>
      <c r="C65" s="9" t="s">
        <v>61</v>
      </c>
      <c r="D65" s="9" t="s">
        <v>82</v>
      </c>
    </row>
    <row r="66" ht="12.75" customHeight="1">
      <c r="A66" s="7"/>
      <c r="B66" s="7"/>
      <c r="C66" s="7" t="s">
        <v>63</v>
      </c>
      <c r="D66" s="7"/>
    </row>
    <row r="67" ht="12.75" customHeight="1">
      <c r="A67" s="7"/>
      <c r="B67" s="7"/>
      <c r="C67" s="7" t="s">
        <v>64</v>
      </c>
      <c r="D67" s="7"/>
    </row>
    <row r="68" ht="12.75" customHeight="1">
      <c r="A68" s="7"/>
      <c r="B68" s="7"/>
      <c r="C68" s="7" t="s">
        <v>65</v>
      </c>
      <c r="D68" s="7"/>
    </row>
    <row r="69" ht="12.75" customHeight="1">
      <c r="A69" s="7"/>
      <c r="B69" s="7"/>
      <c r="C69" s="7" t="s">
        <v>83</v>
      </c>
      <c r="D69" s="7"/>
    </row>
    <row r="70" ht="12.75" customHeight="1">
      <c r="A70" s="7"/>
      <c r="B70" s="7"/>
      <c r="C70" s="7" t="s">
        <v>84</v>
      </c>
      <c r="D70" s="7"/>
    </row>
    <row r="71" ht="12.75" customHeight="1">
      <c r="A71" s="7"/>
      <c r="B71" s="7"/>
      <c r="C71" s="7"/>
      <c r="D71" s="7"/>
    </row>
    <row r="72" ht="12.75" customHeight="1">
      <c r="A72" s="8" t="s">
        <v>85</v>
      </c>
      <c r="B72" s="8" t="s">
        <v>86</v>
      </c>
      <c r="C72" s="7"/>
      <c r="D72" s="7"/>
    </row>
    <row r="73" ht="12.75" customHeight="1">
      <c r="A73" s="7">
        <v>1.0</v>
      </c>
      <c r="B73" s="7" t="s">
        <v>87</v>
      </c>
      <c r="C73" s="7"/>
      <c r="D73" s="7"/>
    </row>
    <row r="74" ht="12.75" customHeight="1">
      <c r="A74" s="7" t="s">
        <v>49</v>
      </c>
      <c r="B74" s="7" t="s">
        <v>22</v>
      </c>
      <c r="C74" s="7" t="s">
        <v>88</v>
      </c>
      <c r="D74" s="7"/>
    </row>
    <row r="75" ht="12.75" customHeight="1">
      <c r="A75" s="7"/>
      <c r="B75" s="7"/>
      <c r="C75" s="7" t="s">
        <v>89</v>
      </c>
      <c r="D75" s="7"/>
    </row>
    <row r="76" ht="12.75" customHeight="1">
      <c r="A76" s="7"/>
      <c r="B76" s="7"/>
      <c r="C76" s="7" t="s">
        <v>90</v>
      </c>
      <c r="D76" s="7" t="s">
        <v>91</v>
      </c>
    </row>
    <row r="77" ht="12.75" customHeight="1">
      <c r="A77" s="7"/>
      <c r="B77" s="7"/>
      <c r="C77" s="9" t="s">
        <v>92</v>
      </c>
      <c r="D77" s="9"/>
    </row>
    <row r="78" ht="12.75" customHeight="1">
      <c r="A78" s="7"/>
      <c r="B78" s="7"/>
      <c r="C78" s="7" t="s">
        <v>93</v>
      </c>
      <c r="D78" s="7"/>
    </row>
    <row r="79" ht="12.75" customHeight="1">
      <c r="A79" s="7" t="s">
        <v>52</v>
      </c>
      <c r="B79" s="7" t="s">
        <v>4</v>
      </c>
      <c r="C79" s="7"/>
      <c r="D79" s="7"/>
    </row>
    <row r="80" ht="12.75" customHeight="1">
      <c r="A80" s="7"/>
      <c r="B80" s="7"/>
      <c r="C80" s="7" t="s">
        <v>94</v>
      </c>
      <c r="D80" s="7" t="s">
        <v>95</v>
      </c>
    </row>
    <row r="81" ht="12.75" customHeight="1">
      <c r="A81" s="7"/>
      <c r="B81" s="7"/>
      <c r="C81" s="7" t="s">
        <v>96</v>
      </c>
      <c r="D81" s="7"/>
    </row>
    <row r="82" ht="12.75" customHeight="1">
      <c r="A82" s="7"/>
      <c r="B82" s="7"/>
      <c r="C82" s="7" t="s">
        <v>97</v>
      </c>
      <c r="D82" s="7"/>
    </row>
    <row r="83" ht="12.75" customHeight="1">
      <c r="A83" s="7"/>
      <c r="B83" s="7"/>
      <c r="C83" s="7" t="s">
        <v>98</v>
      </c>
      <c r="D83" s="7"/>
    </row>
    <row r="84" ht="12.75" customHeight="1">
      <c r="A84" s="7"/>
      <c r="B84" s="7"/>
      <c r="C84" s="7" t="s">
        <v>99</v>
      </c>
      <c r="D84" s="7"/>
    </row>
    <row r="85" ht="12.75" customHeight="1">
      <c r="A85" s="7"/>
      <c r="B85" s="7"/>
      <c r="C85" s="7" t="s">
        <v>100</v>
      </c>
      <c r="D85" s="7"/>
    </row>
    <row r="86" ht="12.75" customHeight="1">
      <c r="A86" s="7"/>
      <c r="B86" s="7"/>
      <c r="C86" s="7" t="s">
        <v>101</v>
      </c>
      <c r="D86" s="7"/>
    </row>
    <row r="87" ht="12.75" customHeight="1">
      <c r="A87" s="7"/>
      <c r="B87" s="7"/>
      <c r="C87" s="7" t="s">
        <v>102</v>
      </c>
      <c r="D87" s="7"/>
    </row>
    <row r="88" ht="12.75" customHeight="1">
      <c r="A88" s="7"/>
      <c r="B88" s="7"/>
      <c r="C88" s="7" t="s">
        <v>103</v>
      </c>
      <c r="D88" s="7" t="s">
        <v>104</v>
      </c>
    </row>
    <row r="89" ht="12.75" customHeight="1">
      <c r="A89" s="7"/>
      <c r="B89" s="7"/>
      <c r="C89" s="7"/>
      <c r="D89" s="7"/>
    </row>
    <row r="90" ht="12.75" customHeight="1">
      <c r="A90" s="7">
        <v>2.0</v>
      </c>
      <c r="B90" s="7" t="s">
        <v>105</v>
      </c>
      <c r="C90" s="7"/>
      <c r="D90" s="7"/>
    </row>
    <row r="91" ht="12.75" customHeight="1">
      <c r="A91" s="7" t="s">
        <v>49</v>
      </c>
      <c r="B91" s="7" t="s">
        <v>22</v>
      </c>
      <c r="C91" s="7" t="s">
        <v>89</v>
      </c>
      <c r="D91" s="7"/>
    </row>
    <row r="92" ht="12.75" customHeight="1">
      <c r="A92" s="7"/>
      <c r="B92" s="7"/>
      <c r="C92" s="7" t="s">
        <v>106</v>
      </c>
      <c r="D92" s="7"/>
    </row>
    <row r="93" ht="12.75" customHeight="1">
      <c r="A93" s="7"/>
      <c r="B93" s="7"/>
      <c r="C93" s="7" t="s">
        <v>107</v>
      </c>
      <c r="D93" s="7"/>
    </row>
    <row r="94" ht="12.75" customHeight="1">
      <c r="A94" s="7" t="s">
        <v>52</v>
      </c>
      <c r="B94" s="7" t="s">
        <v>4</v>
      </c>
      <c r="C94" s="7" t="s">
        <v>108</v>
      </c>
      <c r="D94" s="7"/>
    </row>
    <row r="95" ht="12.75" customHeight="1">
      <c r="A95" s="7"/>
      <c r="B95" s="7"/>
      <c r="C95" s="7"/>
      <c r="D95" s="7"/>
    </row>
    <row r="96" ht="12.75" customHeight="1">
      <c r="A96" s="7">
        <v>3.0</v>
      </c>
      <c r="B96" s="7" t="s">
        <v>109</v>
      </c>
      <c r="C96" s="7" t="s">
        <v>110</v>
      </c>
      <c r="D96" s="7" t="s">
        <v>111</v>
      </c>
    </row>
    <row r="97" ht="12.75" customHeight="1">
      <c r="A97" s="7"/>
      <c r="B97" s="7"/>
      <c r="C97" s="7"/>
      <c r="D97" s="7"/>
    </row>
    <row r="98" ht="12.75" customHeight="1">
      <c r="A98" s="7">
        <v>4.0</v>
      </c>
      <c r="B98" s="7" t="s">
        <v>112</v>
      </c>
      <c r="C98" s="7" t="s">
        <v>113</v>
      </c>
      <c r="D98" s="7" t="s">
        <v>111</v>
      </c>
    </row>
    <row r="99" ht="12.75" customHeight="1">
      <c r="A99" s="7"/>
      <c r="B99" s="7"/>
      <c r="C99" s="7"/>
      <c r="D99" s="7"/>
    </row>
    <row r="100" ht="12.75" customHeight="1">
      <c r="A100" s="7">
        <v>5.0</v>
      </c>
      <c r="B100" s="7" t="s">
        <v>114</v>
      </c>
      <c r="C100" s="7" t="s">
        <v>115</v>
      </c>
      <c r="D100" s="7" t="s">
        <v>116</v>
      </c>
    </row>
    <row r="101" ht="12.75" customHeight="1">
      <c r="A101" s="7"/>
      <c r="B101" s="7"/>
      <c r="C101" s="7"/>
      <c r="D101" s="7"/>
    </row>
    <row r="102" ht="12.75" customHeight="1">
      <c r="A102" s="7">
        <v>6.0</v>
      </c>
      <c r="B102" s="7" t="s">
        <v>117</v>
      </c>
      <c r="C102" s="7"/>
      <c r="D102" s="7"/>
    </row>
    <row r="103" ht="12.75" customHeight="1">
      <c r="A103" s="7" t="s">
        <v>49</v>
      </c>
      <c r="B103" s="7" t="s">
        <v>22</v>
      </c>
      <c r="C103" s="7" t="s">
        <v>118</v>
      </c>
      <c r="D103" s="7"/>
    </row>
    <row r="104" ht="12.75" customHeight="1">
      <c r="A104" s="7"/>
      <c r="B104" s="7"/>
      <c r="C104" s="7" t="s">
        <v>119</v>
      </c>
      <c r="D104" s="7"/>
    </row>
    <row r="105" ht="12.75" customHeight="1">
      <c r="A105" s="7"/>
      <c r="B105" s="7"/>
      <c r="C105" s="7" t="s">
        <v>120</v>
      </c>
      <c r="D105" s="7"/>
    </row>
    <row r="106" ht="12.75" customHeight="1">
      <c r="A106" s="7"/>
      <c r="B106" s="7"/>
      <c r="C106" s="7" t="s">
        <v>121</v>
      </c>
      <c r="D106" s="7"/>
    </row>
    <row r="107" ht="12.75" customHeight="1">
      <c r="A107" s="7" t="s">
        <v>52</v>
      </c>
      <c r="B107" s="7" t="s">
        <v>4</v>
      </c>
      <c r="C107" s="7"/>
      <c r="D107" s="7"/>
    </row>
    <row r="108" ht="12.75" customHeight="1">
      <c r="A108" s="7"/>
      <c r="B108" s="7"/>
      <c r="C108" s="7" t="s">
        <v>122</v>
      </c>
      <c r="D108" s="7"/>
    </row>
    <row r="109" ht="12.75" customHeight="1">
      <c r="A109" s="7"/>
      <c r="B109" s="7"/>
      <c r="C109" s="7" t="s">
        <v>123</v>
      </c>
      <c r="D109" s="7"/>
    </row>
    <row r="110" ht="12.75" customHeight="1">
      <c r="A110" s="7"/>
      <c r="B110" s="7"/>
      <c r="C110" s="7" t="s">
        <v>124</v>
      </c>
      <c r="D110" s="7" t="s">
        <v>95</v>
      </c>
    </row>
    <row r="111" ht="12.75" customHeight="1">
      <c r="A111" s="7"/>
      <c r="B111" s="7"/>
      <c r="C111" s="7"/>
      <c r="D111" s="7"/>
    </row>
    <row r="112" ht="12.75" customHeight="1">
      <c r="A112" s="7">
        <v>7.0</v>
      </c>
      <c r="B112" s="7" t="s">
        <v>125</v>
      </c>
      <c r="C112" s="7" t="s">
        <v>126</v>
      </c>
      <c r="D112" s="7"/>
    </row>
    <row r="113" ht="12.75" customHeight="1">
      <c r="A113" s="7"/>
      <c r="B113" s="7"/>
      <c r="C113" s="7" t="s">
        <v>127</v>
      </c>
      <c r="D113" s="7"/>
    </row>
    <row r="114" ht="12.75" customHeight="1">
      <c r="A114" s="7"/>
      <c r="B114" s="7"/>
      <c r="C114" s="7"/>
      <c r="D114" s="7"/>
    </row>
    <row r="115" ht="12.75" customHeight="1">
      <c r="A115" s="7">
        <v>8.0</v>
      </c>
      <c r="B115" s="7" t="s">
        <v>128</v>
      </c>
      <c r="C115" s="7" t="s">
        <v>129</v>
      </c>
      <c r="D115" s="7" t="s">
        <v>130</v>
      </c>
    </row>
    <row r="116" ht="12.75" customHeight="1">
      <c r="A116" s="7"/>
      <c r="B116" s="7"/>
      <c r="C116" s="7"/>
      <c r="D116" s="7"/>
    </row>
    <row r="117" ht="12.75" customHeight="1">
      <c r="A117" s="7">
        <v>9.0</v>
      </c>
      <c r="B117" s="7" t="s">
        <v>131</v>
      </c>
      <c r="C117" s="7" t="s">
        <v>132</v>
      </c>
      <c r="D117" s="7" t="s">
        <v>133</v>
      </c>
    </row>
    <row r="118" ht="12.75" customHeight="1">
      <c r="A118" s="7"/>
      <c r="B118" s="7"/>
      <c r="C118" s="7"/>
      <c r="D118" s="7"/>
    </row>
    <row r="119" ht="12.75" customHeight="1">
      <c r="A119" s="7">
        <v>10.0</v>
      </c>
      <c r="B119" s="7" t="s">
        <v>134</v>
      </c>
      <c r="C119" s="7" t="s">
        <v>135</v>
      </c>
      <c r="D119" s="7"/>
    </row>
    <row r="120" ht="12.75" customHeight="1">
      <c r="A120" s="7"/>
      <c r="B120" s="7"/>
      <c r="C120" s="7"/>
      <c r="D120" s="7"/>
    </row>
    <row r="121" ht="12.75" customHeight="1">
      <c r="A121" s="7">
        <v>11.0</v>
      </c>
      <c r="B121" s="7" t="s">
        <v>136</v>
      </c>
      <c r="C121" s="7" t="s">
        <v>137</v>
      </c>
      <c r="D121" s="7" t="s">
        <v>95</v>
      </c>
    </row>
    <row r="122" ht="12.75" customHeight="1">
      <c r="A122" s="7"/>
      <c r="B122" s="7"/>
      <c r="C122" s="7" t="s">
        <v>138</v>
      </c>
      <c r="D122" s="7" t="s">
        <v>139</v>
      </c>
    </row>
    <row r="123" ht="12.75" customHeight="1">
      <c r="A123" s="7"/>
      <c r="B123" s="7"/>
      <c r="C123" s="7"/>
      <c r="D123" s="7"/>
    </row>
    <row r="124" ht="12.75" customHeight="1">
      <c r="A124" s="7">
        <v>12.0</v>
      </c>
      <c r="B124" s="7" t="s">
        <v>140</v>
      </c>
      <c r="C124" s="7" t="s">
        <v>141</v>
      </c>
      <c r="D124" s="7"/>
    </row>
    <row r="125" ht="12.75" customHeight="1">
      <c r="A125" s="7"/>
      <c r="B125" s="7"/>
      <c r="C125" s="7"/>
      <c r="D125" s="7"/>
    </row>
    <row r="126" ht="12.75" customHeight="1">
      <c r="A126" s="7">
        <v>13.0</v>
      </c>
      <c r="B126" s="7" t="s">
        <v>142</v>
      </c>
      <c r="C126" s="7"/>
      <c r="D126" s="7"/>
    </row>
    <row r="127" ht="12.75" customHeight="1">
      <c r="A127" s="7"/>
      <c r="B127" s="7"/>
      <c r="C127" s="7" t="s">
        <v>143</v>
      </c>
      <c r="D127" s="7"/>
    </row>
    <row r="128" ht="12.75" customHeight="1">
      <c r="A128" s="7"/>
      <c r="B128" s="7"/>
      <c r="C128" s="7" t="s">
        <v>144</v>
      </c>
      <c r="D128" s="7" t="s">
        <v>95</v>
      </c>
    </row>
    <row r="129" ht="12.75" customHeight="1">
      <c r="A129" s="7"/>
      <c r="B129" s="7"/>
      <c r="C129" s="7" t="s">
        <v>145</v>
      </c>
      <c r="D129" s="7"/>
    </row>
    <row r="130" ht="12.75" customHeight="1">
      <c r="A130" s="7"/>
      <c r="B130" s="7"/>
      <c r="C130" s="7" t="s">
        <v>146</v>
      </c>
      <c r="D130" s="7"/>
    </row>
    <row r="131" ht="12.75" customHeight="1">
      <c r="A131" s="7"/>
      <c r="B131" s="7"/>
      <c r="C131" s="7" t="s">
        <v>147</v>
      </c>
      <c r="D131" s="7"/>
    </row>
    <row r="132" ht="12.75" customHeight="1">
      <c r="A132" s="7"/>
      <c r="B132" s="7"/>
      <c r="C132" s="7" t="s">
        <v>148</v>
      </c>
      <c r="D132" s="7" t="s">
        <v>149</v>
      </c>
    </row>
    <row r="133" ht="12.75" customHeight="1">
      <c r="A133" s="7"/>
      <c r="B133" s="7"/>
      <c r="C133" s="7" t="s">
        <v>150</v>
      </c>
      <c r="D133" s="7"/>
    </row>
    <row r="134" ht="12.75" customHeight="1">
      <c r="A134" s="7"/>
      <c r="B134" s="7"/>
      <c r="C134" s="7" t="s">
        <v>151</v>
      </c>
      <c r="D134" s="7"/>
    </row>
    <row r="135" ht="12.75" customHeight="1">
      <c r="A135" s="7"/>
      <c r="B135" s="7"/>
      <c r="C135" s="7" t="s">
        <v>152</v>
      </c>
      <c r="D135" s="7"/>
    </row>
    <row r="136" ht="12.75" customHeight="1">
      <c r="A136" s="7"/>
      <c r="B136" s="7"/>
      <c r="C136" s="7" t="s">
        <v>153</v>
      </c>
      <c r="D136" s="7"/>
    </row>
    <row r="137" ht="12.75" customHeight="1">
      <c r="A137" s="7"/>
      <c r="B137" s="7"/>
      <c r="C137" s="7" t="s">
        <v>154</v>
      </c>
      <c r="D137" s="7"/>
    </row>
    <row r="138" ht="12.75" customHeight="1">
      <c r="A138" s="7"/>
      <c r="B138" s="7"/>
      <c r="C138" s="7" t="s">
        <v>155</v>
      </c>
      <c r="D138" s="7"/>
    </row>
    <row r="139" ht="12.75" customHeight="1">
      <c r="A139" s="7"/>
      <c r="B139" s="7"/>
      <c r="C139" s="7" t="s">
        <v>156</v>
      </c>
      <c r="D139" s="7"/>
    </row>
    <row r="140" ht="12.75" customHeight="1">
      <c r="A140" s="7"/>
      <c r="B140" s="7"/>
      <c r="C140" s="7" t="s">
        <v>157</v>
      </c>
      <c r="D140" s="7" t="s">
        <v>158</v>
      </c>
    </row>
    <row r="141" ht="12.75" customHeight="1">
      <c r="A141" s="7"/>
      <c r="B141" s="7"/>
      <c r="C141" s="7" t="s">
        <v>159</v>
      </c>
      <c r="D141" s="7"/>
    </row>
    <row r="142" ht="12.75" customHeight="1">
      <c r="A142" s="7"/>
      <c r="B142" s="7"/>
      <c r="C142" s="7" t="s">
        <v>160</v>
      </c>
      <c r="D142" s="7"/>
    </row>
    <row r="143" ht="12.75" customHeight="1">
      <c r="A143" s="7"/>
      <c r="B143" s="7"/>
      <c r="C143" s="7"/>
      <c r="D143" s="7"/>
    </row>
    <row r="144" ht="12.75" customHeight="1">
      <c r="A144" s="7">
        <v>14.0</v>
      </c>
      <c r="B144" s="7" t="s">
        <v>161</v>
      </c>
      <c r="C144" s="7" t="s">
        <v>162</v>
      </c>
      <c r="D144" s="7" t="s">
        <v>163</v>
      </c>
    </row>
    <row r="145" ht="12.75" customHeight="1">
      <c r="A145" s="10"/>
      <c r="B145" s="10"/>
      <c r="C145" s="10"/>
      <c r="D145" s="10"/>
    </row>
    <row r="146" ht="12.75" customHeight="1">
      <c r="A146" s="2"/>
      <c r="B146" s="2"/>
      <c r="C146" s="2"/>
      <c r="D146" s="2"/>
    </row>
    <row r="147" ht="12.75" customHeight="1">
      <c r="A147" s="2"/>
      <c r="B147" s="2"/>
      <c r="C147" s="2"/>
      <c r="D147" s="2"/>
    </row>
    <row r="148" ht="12.75" customHeight="1">
      <c r="A148" s="2"/>
      <c r="B148" s="2"/>
      <c r="C148" s="2"/>
      <c r="D148" s="2"/>
    </row>
    <row r="149" ht="12.75" customHeight="1">
      <c r="A149" s="2"/>
      <c r="B149" s="2"/>
      <c r="C149" s="2"/>
      <c r="D149" s="2"/>
    </row>
    <row r="150" ht="12.75" customHeight="1">
      <c r="A150" s="2"/>
      <c r="B150" s="2"/>
      <c r="C150" s="2"/>
      <c r="D150" s="2"/>
    </row>
    <row r="151" ht="12.75" customHeight="1">
      <c r="A151" s="2"/>
      <c r="B151" s="2"/>
      <c r="C151" s="2"/>
      <c r="D151" s="2"/>
    </row>
    <row r="152" ht="12.75" customHeight="1">
      <c r="A152" s="2"/>
      <c r="B152" s="2"/>
      <c r="C152" s="2"/>
      <c r="D152" s="2"/>
    </row>
    <row r="153" ht="12.75" customHeight="1">
      <c r="A153" s="2"/>
      <c r="B153" s="2"/>
      <c r="C153" s="2"/>
      <c r="D153" s="2"/>
    </row>
    <row r="154" ht="12.75" customHeight="1">
      <c r="A154" s="2"/>
      <c r="B154" s="2"/>
      <c r="C154" s="2"/>
      <c r="D154" s="2"/>
    </row>
    <row r="155" ht="12.75" customHeight="1">
      <c r="A155" s="2"/>
      <c r="B155" s="2"/>
      <c r="C155" s="2"/>
      <c r="D155" s="2"/>
    </row>
    <row r="156" ht="12.75" customHeight="1">
      <c r="A156" s="2"/>
      <c r="B156" s="2"/>
      <c r="C156" s="2"/>
      <c r="D156" s="2"/>
    </row>
    <row r="157" ht="12.75" customHeight="1">
      <c r="A157" s="2"/>
      <c r="B157" s="2"/>
      <c r="C157" s="2"/>
      <c r="D157" s="2"/>
    </row>
    <row r="158" ht="12.75" customHeight="1">
      <c r="A158" s="2"/>
      <c r="B158" s="2"/>
      <c r="C158" s="2"/>
      <c r="D158" s="2"/>
    </row>
    <row r="159" ht="12.75" customHeight="1">
      <c r="A159" s="2"/>
      <c r="B159" s="2"/>
      <c r="C159" s="2"/>
      <c r="D159" s="2"/>
    </row>
    <row r="160" ht="12.75" customHeight="1">
      <c r="A160" s="2"/>
      <c r="B160" s="2"/>
      <c r="C160" s="2"/>
      <c r="D160" s="2"/>
    </row>
    <row r="161" ht="12.75" customHeight="1">
      <c r="A161" s="2"/>
      <c r="B161" s="2"/>
      <c r="C161" s="2"/>
      <c r="D161" s="2"/>
    </row>
    <row r="162" ht="12.75" customHeight="1">
      <c r="A162" s="2"/>
      <c r="B162" s="2"/>
      <c r="C162" s="2"/>
      <c r="D162" s="2"/>
    </row>
    <row r="163" ht="12.75" customHeight="1">
      <c r="A163" s="2"/>
      <c r="B163" s="2"/>
      <c r="C163" s="2"/>
      <c r="D163" s="2"/>
    </row>
    <row r="164" ht="12.75" customHeight="1">
      <c r="A164" s="2"/>
      <c r="B164" s="2"/>
      <c r="C164" s="2"/>
      <c r="D164" s="2"/>
    </row>
    <row r="165" ht="12.75" customHeight="1">
      <c r="A165" s="2"/>
      <c r="B165" s="2"/>
      <c r="C165" s="2"/>
      <c r="D165" s="2"/>
    </row>
    <row r="166" ht="12.75" customHeight="1">
      <c r="A166" s="2"/>
      <c r="B166" s="2"/>
      <c r="C166" s="2"/>
      <c r="D166" s="2"/>
    </row>
    <row r="167" ht="12.75" customHeight="1">
      <c r="A167" s="2"/>
      <c r="B167" s="2"/>
      <c r="C167" s="2"/>
      <c r="D167" s="2"/>
    </row>
    <row r="168" ht="12.75" customHeight="1">
      <c r="A168" s="2"/>
      <c r="B168" s="2"/>
      <c r="C168" s="2"/>
      <c r="D168" s="2"/>
    </row>
    <row r="169" ht="12.75" customHeight="1">
      <c r="A169" s="2"/>
      <c r="B169" s="2"/>
      <c r="C169" s="2"/>
      <c r="D169" s="2"/>
    </row>
    <row r="170" ht="12.75" customHeight="1">
      <c r="A170" s="2"/>
      <c r="B170" s="2"/>
      <c r="C170" s="2"/>
      <c r="D170" s="2"/>
    </row>
    <row r="171" ht="12.75" customHeight="1">
      <c r="A171" s="2"/>
      <c r="B171" s="2"/>
      <c r="C171" s="2"/>
      <c r="D171" s="2"/>
    </row>
    <row r="172" ht="12.75" customHeight="1">
      <c r="A172" s="2"/>
      <c r="B172" s="2"/>
      <c r="C172" s="2"/>
      <c r="D172" s="2"/>
    </row>
    <row r="173" ht="12.75" customHeight="1">
      <c r="A173" s="2"/>
      <c r="B173" s="2"/>
      <c r="C173" s="2"/>
      <c r="D173" s="2"/>
    </row>
    <row r="174" ht="12.75" customHeight="1">
      <c r="A174" s="2"/>
      <c r="B174" s="2"/>
      <c r="C174" s="2"/>
      <c r="D174" s="2"/>
    </row>
    <row r="175" ht="12.75" customHeight="1">
      <c r="A175" s="2"/>
      <c r="B175" s="2"/>
      <c r="C175" s="2"/>
      <c r="D175" s="2"/>
    </row>
    <row r="176" ht="12.75" customHeight="1">
      <c r="A176" s="2"/>
      <c r="B176" s="2"/>
      <c r="C176" s="2"/>
      <c r="D176" s="2"/>
    </row>
    <row r="177" ht="12.75" customHeight="1">
      <c r="A177" s="2"/>
      <c r="B177" s="2"/>
      <c r="C177" s="2"/>
      <c r="D177" s="2"/>
    </row>
    <row r="178" ht="12.75" customHeight="1">
      <c r="A178" s="2"/>
      <c r="B178" s="2"/>
      <c r="C178" s="2"/>
      <c r="D178" s="2"/>
    </row>
    <row r="179" ht="12.75" customHeight="1">
      <c r="A179" s="2"/>
      <c r="B179" s="2"/>
      <c r="C179" s="2"/>
      <c r="D179" s="2"/>
    </row>
    <row r="180" ht="12.75" customHeight="1">
      <c r="A180" s="2"/>
      <c r="B180" s="2"/>
      <c r="C180" s="2"/>
      <c r="D180" s="2"/>
    </row>
    <row r="181" ht="12.75" customHeight="1">
      <c r="A181" s="2"/>
      <c r="B181" s="2"/>
      <c r="C181" s="2"/>
      <c r="D181" s="2"/>
    </row>
    <row r="182" ht="12.75" customHeight="1">
      <c r="A182" s="2"/>
      <c r="B182" s="2"/>
      <c r="C182" s="2"/>
      <c r="D182" s="2"/>
    </row>
    <row r="183" ht="12.75" customHeight="1">
      <c r="A183" s="2"/>
      <c r="B183" s="2"/>
      <c r="C183" s="2"/>
      <c r="D183" s="2"/>
    </row>
    <row r="184" ht="12.75" customHeight="1">
      <c r="A184" s="2"/>
      <c r="B184" s="2"/>
      <c r="C184" s="2"/>
      <c r="D184" s="2"/>
    </row>
    <row r="185" ht="12.75" customHeight="1">
      <c r="A185" s="2"/>
      <c r="B185" s="2"/>
      <c r="C185" s="2"/>
      <c r="D185" s="2"/>
    </row>
    <row r="186" ht="12.75" customHeight="1">
      <c r="A186" s="2"/>
      <c r="B186" s="2"/>
      <c r="C186" s="2"/>
      <c r="D186" s="2"/>
    </row>
    <row r="187" ht="12.75" customHeight="1">
      <c r="A187" s="2"/>
      <c r="B187" s="2"/>
      <c r="C187" s="2"/>
      <c r="D187" s="2"/>
    </row>
    <row r="188" ht="12.75" customHeight="1">
      <c r="A188" s="2"/>
      <c r="B188" s="2"/>
      <c r="C188" s="2"/>
      <c r="D188" s="2"/>
    </row>
    <row r="189" ht="12.75" customHeight="1">
      <c r="A189" s="2"/>
      <c r="B189" s="2"/>
      <c r="C189" s="2"/>
      <c r="D189" s="2"/>
    </row>
    <row r="190" ht="12.75" customHeight="1">
      <c r="A190" s="2"/>
      <c r="B190" s="2"/>
      <c r="C190" s="2"/>
      <c r="D190" s="2"/>
    </row>
    <row r="191" ht="12.75" customHeight="1">
      <c r="A191" s="2"/>
      <c r="B191" s="2"/>
      <c r="C191" s="2"/>
      <c r="D191" s="2"/>
    </row>
    <row r="192" ht="12.75" customHeight="1">
      <c r="A192" s="2"/>
      <c r="B192" s="2"/>
      <c r="C192" s="2"/>
      <c r="D192" s="2"/>
    </row>
    <row r="193" ht="12.75" customHeight="1">
      <c r="A193" s="2"/>
      <c r="B193" s="2"/>
      <c r="C193" s="2"/>
      <c r="D193" s="2"/>
    </row>
    <row r="194" ht="12.75" customHeight="1">
      <c r="A194" s="2"/>
      <c r="B194" s="2"/>
      <c r="C194" s="2"/>
      <c r="D194" s="2"/>
    </row>
    <row r="195" ht="12.75" customHeight="1">
      <c r="A195" s="2"/>
      <c r="B195" s="2"/>
      <c r="C195" s="2"/>
      <c r="D195" s="2"/>
    </row>
    <row r="196" ht="12.75" customHeight="1">
      <c r="A196" s="2"/>
      <c r="B196" s="2"/>
      <c r="C196" s="2"/>
      <c r="D196" s="2"/>
    </row>
    <row r="197" ht="12.75" customHeight="1">
      <c r="A197" s="2"/>
      <c r="B197" s="2"/>
      <c r="C197" s="2"/>
      <c r="D197" s="2"/>
    </row>
    <row r="198" ht="12.75" customHeight="1">
      <c r="A198" s="2"/>
      <c r="B198" s="2"/>
      <c r="C198" s="2"/>
      <c r="D198" s="2"/>
    </row>
    <row r="199" ht="12.75" customHeight="1">
      <c r="A199" s="2"/>
      <c r="B199" s="2"/>
      <c r="C199" s="2"/>
      <c r="D199" s="2"/>
    </row>
    <row r="200" ht="12.75" customHeight="1">
      <c r="A200" s="2"/>
      <c r="B200" s="2"/>
      <c r="C200" s="2"/>
      <c r="D200" s="2"/>
    </row>
    <row r="201" ht="12.75" customHeight="1">
      <c r="A201" s="2"/>
      <c r="B201" s="2"/>
      <c r="C201" s="2"/>
      <c r="D201" s="2"/>
    </row>
    <row r="202" ht="12.75" customHeight="1">
      <c r="A202" s="2"/>
      <c r="B202" s="2"/>
      <c r="C202" s="2"/>
      <c r="D202" s="2"/>
    </row>
    <row r="203" ht="12.75" customHeight="1">
      <c r="A203" s="2"/>
      <c r="B203" s="2"/>
      <c r="C203" s="2"/>
      <c r="D203" s="2"/>
    </row>
    <row r="204" ht="12.75" customHeight="1">
      <c r="A204" s="2"/>
      <c r="B204" s="2"/>
      <c r="C204" s="2"/>
      <c r="D204" s="2"/>
    </row>
    <row r="205" ht="12.75" customHeight="1">
      <c r="A205" s="2"/>
      <c r="B205" s="2"/>
      <c r="C205" s="2"/>
      <c r="D205" s="2"/>
    </row>
    <row r="206" ht="12.75" customHeight="1">
      <c r="A206" s="2"/>
      <c r="B206" s="2"/>
      <c r="C206" s="2"/>
      <c r="D206" s="2"/>
    </row>
    <row r="207" ht="12.75" customHeight="1">
      <c r="A207" s="2"/>
      <c r="B207" s="2"/>
      <c r="C207" s="2"/>
      <c r="D207" s="2"/>
    </row>
    <row r="208" ht="12.75" customHeight="1">
      <c r="A208" s="2"/>
      <c r="B208" s="2"/>
      <c r="C208" s="2"/>
      <c r="D208" s="2"/>
    </row>
    <row r="209" ht="12.75" customHeight="1">
      <c r="A209" s="2"/>
      <c r="B209" s="2"/>
      <c r="C209" s="2"/>
      <c r="D209" s="2"/>
    </row>
    <row r="210" ht="12.75" customHeight="1">
      <c r="A210" s="2"/>
      <c r="B210" s="2"/>
      <c r="C210" s="2"/>
      <c r="D210" s="2"/>
    </row>
    <row r="211" ht="12.75" customHeight="1">
      <c r="A211" s="2"/>
      <c r="B211" s="2"/>
      <c r="C211" s="2"/>
      <c r="D211" s="2"/>
    </row>
    <row r="212" ht="12.75" customHeight="1">
      <c r="A212" s="2"/>
      <c r="B212" s="2"/>
      <c r="C212" s="2"/>
      <c r="D212" s="2"/>
    </row>
    <row r="213" ht="12.75" customHeight="1">
      <c r="A213" s="2"/>
      <c r="B213" s="2"/>
      <c r="C213" s="2"/>
      <c r="D213" s="2"/>
    </row>
    <row r="214" ht="12.75" customHeight="1">
      <c r="A214" s="2"/>
      <c r="B214" s="2"/>
      <c r="C214" s="2"/>
      <c r="D214" s="2"/>
    </row>
    <row r="215" ht="12.75" customHeight="1">
      <c r="A215" s="2"/>
      <c r="B215" s="2"/>
      <c r="C215" s="2"/>
      <c r="D215" s="2"/>
    </row>
    <row r="216" ht="12.75" customHeight="1">
      <c r="A216" s="2"/>
      <c r="B216" s="2"/>
      <c r="C216" s="2"/>
      <c r="D216" s="2"/>
    </row>
    <row r="217" ht="12.75" customHeight="1">
      <c r="A217" s="2"/>
      <c r="B217" s="2"/>
      <c r="C217" s="2"/>
      <c r="D217" s="2"/>
    </row>
    <row r="218" ht="12.75" customHeight="1">
      <c r="A218" s="2"/>
      <c r="B218" s="2"/>
      <c r="C218" s="2"/>
      <c r="D218" s="2"/>
    </row>
    <row r="219" ht="12.75" customHeight="1">
      <c r="A219" s="2"/>
      <c r="B219" s="2"/>
      <c r="C219" s="2"/>
      <c r="D219" s="2"/>
    </row>
    <row r="220" ht="12.75" customHeight="1">
      <c r="A220" s="2"/>
      <c r="B220" s="2"/>
      <c r="C220" s="2"/>
      <c r="D220" s="2"/>
    </row>
    <row r="221" ht="12.75" customHeight="1">
      <c r="A221" s="2"/>
      <c r="B221" s="2"/>
      <c r="C221" s="2"/>
      <c r="D221" s="2"/>
    </row>
    <row r="222" ht="12.75" customHeight="1">
      <c r="A222" s="2"/>
      <c r="B222" s="2"/>
      <c r="C222" s="2"/>
      <c r="D222" s="2"/>
    </row>
    <row r="223" ht="12.75" customHeight="1">
      <c r="A223" s="2"/>
      <c r="B223" s="2"/>
      <c r="C223" s="2"/>
      <c r="D223" s="2"/>
    </row>
    <row r="224" ht="12.75" customHeight="1">
      <c r="A224" s="2"/>
      <c r="B224" s="2"/>
      <c r="C224" s="2"/>
      <c r="D224" s="2"/>
    </row>
    <row r="225" ht="12.75" customHeight="1">
      <c r="A225" s="2"/>
      <c r="B225" s="2"/>
      <c r="C225" s="2"/>
      <c r="D225" s="2"/>
    </row>
    <row r="226" ht="12.75" customHeight="1">
      <c r="A226" s="2"/>
      <c r="B226" s="2"/>
      <c r="C226" s="2"/>
      <c r="D226" s="2"/>
    </row>
    <row r="227" ht="12.75" customHeight="1">
      <c r="A227" s="2"/>
      <c r="B227" s="2"/>
      <c r="C227" s="2"/>
      <c r="D227" s="2"/>
    </row>
    <row r="228" ht="12.75" customHeight="1">
      <c r="A228" s="2"/>
      <c r="B228" s="2"/>
      <c r="C228" s="2"/>
      <c r="D228" s="2"/>
    </row>
    <row r="229" ht="12.75" customHeight="1">
      <c r="A229" s="2"/>
      <c r="B229" s="2"/>
      <c r="C229" s="2"/>
      <c r="D229" s="2"/>
    </row>
    <row r="230" ht="12.75" customHeight="1">
      <c r="A230" s="2"/>
      <c r="B230" s="2"/>
      <c r="C230" s="2"/>
      <c r="D230" s="2"/>
    </row>
    <row r="231" ht="12.75" customHeight="1">
      <c r="A231" s="2"/>
      <c r="B231" s="2"/>
      <c r="C231" s="2"/>
      <c r="D231" s="2"/>
    </row>
    <row r="232" ht="12.75" customHeight="1">
      <c r="A232" s="2"/>
      <c r="B232" s="2"/>
      <c r="C232" s="2"/>
      <c r="D232" s="2"/>
    </row>
    <row r="233" ht="12.75" customHeight="1">
      <c r="A233" s="2"/>
      <c r="B233" s="2"/>
      <c r="C233" s="2"/>
      <c r="D233" s="2"/>
    </row>
    <row r="234" ht="12.75" customHeight="1">
      <c r="A234" s="2"/>
      <c r="B234" s="2"/>
      <c r="C234" s="2"/>
      <c r="D234" s="2"/>
    </row>
    <row r="235" ht="12.75" customHeight="1">
      <c r="A235" s="2"/>
      <c r="B235" s="2"/>
      <c r="C235" s="2"/>
      <c r="D235" s="2"/>
    </row>
    <row r="236" ht="12.75" customHeight="1">
      <c r="A236" s="2"/>
      <c r="B236" s="2"/>
      <c r="C236" s="2"/>
      <c r="D236" s="2"/>
    </row>
    <row r="237" ht="12.75" customHeight="1">
      <c r="A237" s="2"/>
      <c r="B237" s="2"/>
      <c r="C237" s="2"/>
      <c r="D237" s="2"/>
    </row>
    <row r="238" ht="12.75" customHeight="1">
      <c r="A238" s="2"/>
      <c r="B238" s="2"/>
      <c r="C238" s="2"/>
      <c r="D238" s="2"/>
    </row>
    <row r="239" ht="12.75" customHeight="1">
      <c r="A239" s="2"/>
      <c r="B239" s="2"/>
      <c r="C239" s="2"/>
      <c r="D239" s="2"/>
    </row>
    <row r="240" ht="12.75" customHeight="1">
      <c r="A240" s="2"/>
      <c r="B240" s="2"/>
      <c r="C240" s="2"/>
      <c r="D240" s="2"/>
    </row>
    <row r="241" ht="12.75" customHeight="1">
      <c r="A241" s="2"/>
      <c r="B241" s="2"/>
      <c r="C241" s="2"/>
      <c r="D241" s="2"/>
    </row>
    <row r="242" ht="12.75" customHeight="1">
      <c r="A242" s="2"/>
      <c r="B242" s="2"/>
      <c r="C242" s="2"/>
      <c r="D242" s="2"/>
    </row>
    <row r="243" ht="12.75" customHeight="1">
      <c r="A243" s="2"/>
      <c r="B243" s="2"/>
      <c r="C243" s="2"/>
      <c r="D243" s="2"/>
    </row>
    <row r="244" ht="12.75" customHeight="1">
      <c r="A244" s="2"/>
      <c r="B244" s="2"/>
      <c r="C244" s="2"/>
      <c r="D244" s="2"/>
    </row>
    <row r="245" ht="12.75" customHeight="1">
      <c r="A245" s="2"/>
      <c r="B245" s="2"/>
      <c r="C245" s="2"/>
      <c r="D245" s="2"/>
    </row>
    <row r="246" ht="12.75" customHeight="1">
      <c r="A246" s="2"/>
      <c r="B246" s="2"/>
      <c r="C246" s="2"/>
      <c r="D246" s="2"/>
    </row>
    <row r="247" ht="12.75" customHeight="1">
      <c r="A247" s="2"/>
      <c r="B247" s="2"/>
      <c r="C247" s="2"/>
      <c r="D247" s="2"/>
    </row>
    <row r="248" ht="12.75" customHeight="1">
      <c r="A248" s="2"/>
      <c r="B248" s="2"/>
      <c r="C248" s="2"/>
      <c r="D248" s="2"/>
    </row>
    <row r="249" ht="12.75" customHeight="1">
      <c r="A249" s="2"/>
      <c r="B249" s="2"/>
      <c r="C249" s="2"/>
      <c r="D249" s="2"/>
    </row>
    <row r="250" ht="12.75" customHeight="1">
      <c r="A250" s="2"/>
      <c r="B250" s="2"/>
      <c r="C250" s="2"/>
      <c r="D250" s="2"/>
    </row>
    <row r="251" ht="12.75" customHeight="1">
      <c r="A251" s="2"/>
      <c r="B251" s="2"/>
      <c r="C251" s="2"/>
      <c r="D251" s="2"/>
    </row>
    <row r="252" ht="12.75" customHeight="1">
      <c r="A252" s="2"/>
      <c r="B252" s="2"/>
      <c r="C252" s="2"/>
      <c r="D252" s="2"/>
    </row>
    <row r="253" ht="12.75" customHeight="1">
      <c r="A253" s="2"/>
      <c r="B253" s="2"/>
      <c r="C253" s="2"/>
      <c r="D253" s="2"/>
    </row>
    <row r="254" ht="12.75" customHeight="1">
      <c r="A254" s="2"/>
      <c r="B254" s="2"/>
      <c r="C254" s="2"/>
      <c r="D254" s="2"/>
    </row>
    <row r="255" ht="12.75" customHeight="1">
      <c r="A255" s="2"/>
      <c r="B255" s="2"/>
      <c r="C255" s="2"/>
      <c r="D255" s="2"/>
    </row>
    <row r="256" ht="12.75" customHeight="1">
      <c r="A256" s="2"/>
      <c r="B256" s="2"/>
      <c r="C256" s="2"/>
      <c r="D256" s="2"/>
    </row>
    <row r="257" ht="12.75" customHeight="1">
      <c r="A257" s="2"/>
      <c r="B257" s="2"/>
      <c r="C257" s="2"/>
      <c r="D257" s="2"/>
    </row>
    <row r="258" ht="12.75" customHeight="1">
      <c r="A258" s="2"/>
      <c r="B258" s="2"/>
      <c r="C258" s="2"/>
      <c r="D258" s="2"/>
    </row>
    <row r="259" ht="12.75" customHeight="1">
      <c r="A259" s="2"/>
      <c r="B259" s="2"/>
      <c r="C259" s="2"/>
      <c r="D259" s="2"/>
    </row>
    <row r="260" ht="12.75" customHeight="1">
      <c r="A260" s="2"/>
      <c r="B260" s="2"/>
      <c r="C260" s="2"/>
      <c r="D260" s="2"/>
    </row>
    <row r="261" ht="12.75" customHeight="1">
      <c r="A261" s="2"/>
      <c r="B261" s="2"/>
      <c r="C261" s="2"/>
      <c r="D261" s="2"/>
    </row>
    <row r="262" ht="12.75" customHeight="1">
      <c r="A262" s="2"/>
      <c r="B262" s="2"/>
      <c r="C262" s="2"/>
      <c r="D262" s="2"/>
    </row>
    <row r="263" ht="12.75" customHeight="1">
      <c r="A263" s="2"/>
      <c r="B263" s="2"/>
      <c r="C263" s="2"/>
      <c r="D263" s="2"/>
    </row>
    <row r="264" ht="12.75" customHeight="1">
      <c r="A264" s="2"/>
      <c r="B264" s="2"/>
      <c r="C264" s="2"/>
      <c r="D264" s="2"/>
    </row>
    <row r="265" ht="12.75" customHeight="1">
      <c r="A265" s="2"/>
      <c r="B265" s="2"/>
      <c r="C265" s="2"/>
      <c r="D265" s="2"/>
    </row>
    <row r="266" ht="12.75" customHeight="1">
      <c r="A266" s="2"/>
      <c r="B266" s="2"/>
      <c r="C266" s="2"/>
      <c r="D266" s="2"/>
    </row>
    <row r="267" ht="12.75" customHeight="1">
      <c r="A267" s="2"/>
      <c r="B267" s="2"/>
      <c r="C267" s="2"/>
      <c r="D267" s="2"/>
    </row>
    <row r="268" ht="12.75" customHeight="1">
      <c r="A268" s="2"/>
      <c r="B268" s="2"/>
      <c r="C268" s="2"/>
      <c r="D268" s="2"/>
    </row>
    <row r="269" ht="12.75" customHeight="1">
      <c r="A269" s="2"/>
      <c r="B269" s="2"/>
      <c r="C269" s="2"/>
      <c r="D269" s="2"/>
    </row>
    <row r="270" ht="12.75" customHeight="1">
      <c r="A270" s="2"/>
      <c r="B270" s="2"/>
      <c r="C270" s="2"/>
      <c r="D270" s="2"/>
    </row>
    <row r="271" ht="12.75" customHeight="1">
      <c r="A271" s="2"/>
      <c r="B271" s="2"/>
      <c r="C271" s="2"/>
      <c r="D271" s="2"/>
    </row>
    <row r="272" ht="12.75" customHeight="1">
      <c r="A272" s="2"/>
      <c r="B272" s="2"/>
      <c r="C272" s="2"/>
      <c r="D272" s="2"/>
    </row>
    <row r="273" ht="12.75" customHeight="1">
      <c r="A273" s="2"/>
      <c r="B273" s="2"/>
      <c r="C273" s="2"/>
      <c r="D273" s="2"/>
    </row>
    <row r="274" ht="12.75" customHeight="1">
      <c r="A274" s="2"/>
      <c r="B274" s="2"/>
      <c r="C274" s="2"/>
      <c r="D274" s="2"/>
    </row>
    <row r="275" ht="12.75" customHeight="1">
      <c r="A275" s="2"/>
      <c r="B275" s="2"/>
      <c r="C275" s="2"/>
      <c r="D275" s="2"/>
    </row>
    <row r="276" ht="12.75" customHeight="1">
      <c r="A276" s="2"/>
      <c r="B276" s="2"/>
      <c r="C276" s="2"/>
      <c r="D276" s="2"/>
    </row>
    <row r="277" ht="12.75" customHeight="1">
      <c r="A277" s="2"/>
      <c r="B277" s="2"/>
      <c r="C277" s="2"/>
      <c r="D277" s="2"/>
    </row>
    <row r="278" ht="12.75" customHeight="1">
      <c r="A278" s="2"/>
      <c r="B278" s="2"/>
      <c r="C278" s="2"/>
      <c r="D278" s="2"/>
    </row>
    <row r="279" ht="12.75" customHeight="1">
      <c r="A279" s="2"/>
      <c r="B279" s="2"/>
      <c r="C279" s="2"/>
      <c r="D279" s="2"/>
    </row>
    <row r="280" ht="12.75" customHeight="1">
      <c r="A280" s="2"/>
      <c r="B280" s="2"/>
      <c r="C280" s="2"/>
      <c r="D280" s="2"/>
    </row>
    <row r="281" ht="12.75" customHeight="1">
      <c r="A281" s="2"/>
      <c r="B281" s="2"/>
      <c r="C281" s="2"/>
      <c r="D281" s="2"/>
    </row>
    <row r="282" ht="12.75" customHeight="1">
      <c r="A282" s="2"/>
      <c r="B282" s="2"/>
      <c r="C282" s="2"/>
      <c r="D282" s="2"/>
    </row>
    <row r="283" ht="12.75" customHeight="1">
      <c r="A283" s="2"/>
      <c r="B283" s="2"/>
      <c r="C283" s="2"/>
      <c r="D283" s="2"/>
    </row>
    <row r="284" ht="12.75" customHeight="1">
      <c r="A284" s="2"/>
      <c r="B284" s="2"/>
      <c r="C284" s="2"/>
      <c r="D284" s="2"/>
    </row>
    <row r="285" ht="12.75" customHeight="1">
      <c r="A285" s="2"/>
      <c r="B285" s="2"/>
      <c r="C285" s="2"/>
      <c r="D285" s="2"/>
    </row>
    <row r="286" ht="12.75" customHeight="1">
      <c r="A286" s="2"/>
      <c r="B286" s="2"/>
      <c r="C286" s="2"/>
      <c r="D286" s="2"/>
    </row>
    <row r="287" ht="12.75" customHeight="1">
      <c r="A287" s="2"/>
      <c r="B287" s="2"/>
      <c r="C287" s="2"/>
      <c r="D287" s="2"/>
    </row>
    <row r="288" ht="12.75" customHeight="1">
      <c r="A288" s="2"/>
      <c r="B288" s="2"/>
      <c r="C288" s="2"/>
      <c r="D288" s="2"/>
    </row>
    <row r="289" ht="12.75" customHeight="1">
      <c r="A289" s="2"/>
      <c r="B289" s="2"/>
      <c r="C289" s="2"/>
      <c r="D289" s="2"/>
    </row>
    <row r="290" ht="12.75" customHeight="1">
      <c r="A290" s="2"/>
      <c r="B290" s="2"/>
      <c r="C290" s="2"/>
      <c r="D290" s="2"/>
    </row>
    <row r="291" ht="12.75" customHeight="1">
      <c r="A291" s="2"/>
      <c r="B291" s="2"/>
      <c r="C291" s="2"/>
      <c r="D291" s="2"/>
    </row>
    <row r="292" ht="12.75" customHeight="1">
      <c r="A292" s="2"/>
      <c r="B292" s="2"/>
      <c r="C292" s="2"/>
      <c r="D292" s="2"/>
    </row>
    <row r="293" ht="12.75" customHeight="1">
      <c r="A293" s="2"/>
      <c r="B293" s="2"/>
      <c r="C293" s="2"/>
      <c r="D293" s="2"/>
    </row>
    <row r="294" ht="12.75" customHeight="1">
      <c r="A294" s="2"/>
      <c r="B294" s="2"/>
      <c r="C294" s="2"/>
      <c r="D294" s="2"/>
    </row>
    <row r="295" ht="12.75" customHeight="1">
      <c r="A295" s="2"/>
      <c r="B295" s="2"/>
      <c r="C295" s="2"/>
      <c r="D295" s="2"/>
    </row>
    <row r="296" ht="12.75" customHeight="1">
      <c r="A296" s="2"/>
      <c r="B296" s="2"/>
      <c r="C296" s="2"/>
      <c r="D296" s="2"/>
    </row>
    <row r="297" ht="12.75" customHeight="1">
      <c r="A297" s="2"/>
      <c r="B297" s="2"/>
      <c r="C297" s="2"/>
      <c r="D297" s="2"/>
    </row>
    <row r="298" ht="12.75" customHeight="1">
      <c r="A298" s="2"/>
      <c r="B298" s="2"/>
      <c r="C298" s="2"/>
      <c r="D298" s="2"/>
    </row>
    <row r="299" ht="12.75" customHeight="1">
      <c r="A299" s="2"/>
      <c r="B299" s="2"/>
      <c r="C299" s="2"/>
      <c r="D299" s="2"/>
    </row>
    <row r="300" ht="12.75" customHeight="1">
      <c r="A300" s="2"/>
      <c r="B300" s="2"/>
      <c r="C300" s="2"/>
      <c r="D300" s="2"/>
    </row>
    <row r="301" ht="12.75" customHeight="1">
      <c r="A301" s="2"/>
      <c r="B301" s="2"/>
      <c r="C301" s="2"/>
      <c r="D301" s="2"/>
    </row>
    <row r="302" ht="12.75" customHeight="1">
      <c r="A302" s="2"/>
      <c r="B302" s="2"/>
      <c r="C302" s="2"/>
      <c r="D302" s="2"/>
    </row>
    <row r="303" ht="12.75" customHeight="1">
      <c r="A303" s="2"/>
      <c r="B303" s="2"/>
      <c r="C303" s="2"/>
      <c r="D303" s="2"/>
    </row>
    <row r="304" ht="12.75" customHeight="1">
      <c r="A304" s="2"/>
      <c r="B304" s="2"/>
      <c r="C304" s="2"/>
      <c r="D304" s="2"/>
    </row>
    <row r="305" ht="12.75" customHeight="1">
      <c r="A305" s="2"/>
      <c r="B305" s="2"/>
      <c r="C305" s="2"/>
      <c r="D305" s="2"/>
    </row>
    <row r="306" ht="12.75" customHeight="1">
      <c r="A306" s="2"/>
      <c r="B306" s="2"/>
      <c r="C306" s="2"/>
      <c r="D306" s="2"/>
    </row>
    <row r="307" ht="12.75" customHeight="1">
      <c r="A307" s="2"/>
      <c r="B307" s="2"/>
      <c r="C307" s="2"/>
      <c r="D307" s="2"/>
    </row>
    <row r="308" ht="12.75" customHeight="1">
      <c r="A308" s="2"/>
      <c r="B308" s="2"/>
      <c r="C308" s="2"/>
      <c r="D308" s="2"/>
    </row>
    <row r="309" ht="12.75" customHeight="1">
      <c r="A309" s="2"/>
      <c r="B309" s="2"/>
      <c r="C309" s="2"/>
      <c r="D309" s="2"/>
    </row>
    <row r="310" ht="12.75" customHeight="1">
      <c r="A310" s="2"/>
      <c r="B310" s="2"/>
      <c r="C310" s="2"/>
      <c r="D310" s="2"/>
    </row>
    <row r="311" ht="12.75" customHeight="1">
      <c r="A311" s="2"/>
      <c r="B311" s="2"/>
      <c r="C311" s="2"/>
      <c r="D311" s="2"/>
    </row>
    <row r="312" ht="12.75" customHeight="1">
      <c r="A312" s="2"/>
      <c r="B312" s="2"/>
      <c r="C312" s="2"/>
      <c r="D312" s="2"/>
    </row>
    <row r="313" ht="12.75" customHeight="1">
      <c r="A313" s="2"/>
      <c r="B313" s="2"/>
      <c r="C313" s="2"/>
      <c r="D313" s="2"/>
    </row>
    <row r="314" ht="12.75" customHeight="1">
      <c r="A314" s="2"/>
      <c r="B314" s="2"/>
      <c r="C314" s="2"/>
      <c r="D314" s="2"/>
    </row>
    <row r="315" ht="12.75" customHeight="1">
      <c r="A315" s="2"/>
      <c r="B315" s="2"/>
      <c r="C315" s="2"/>
      <c r="D315" s="2"/>
    </row>
    <row r="316" ht="12.75" customHeight="1">
      <c r="A316" s="2"/>
      <c r="B316" s="2"/>
      <c r="C316" s="2"/>
      <c r="D316" s="2"/>
    </row>
    <row r="317" ht="12.75" customHeight="1">
      <c r="A317" s="2"/>
      <c r="B317" s="2"/>
      <c r="C317" s="2"/>
      <c r="D317" s="2"/>
    </row>
    <row r="318" ht="12.75" customHeight="1">
      <c r="A318" s="2"/>
      <c r="B318" s="2"/>
      <c r="C318" s="2"/>
      <c r="D318" s="2"/>
    </row>
    <row r="319" ht="12.75" customHeight="1">
      <c r="A319" s="2"/>
      <c r="B319" s="2"/>
      <c r="C319" s="2"/>
      <c r="D319" s="2"/>
    </row>
    <row r="320" ht="12.75" customHeight="1">
      <c r="A320" s="2"/>
      <c r="B320" s="2"/>
      <c r="C320" s="2"/>
      <c r="D320" s="2"/>
    </row>
    <row r="321" ht="12.75" customHeight="1">
      <c r="A321" s="2"/>
      <c r="B321" s="2"/>
      <c r="C321" s="2"/>
      <c r="D321" s="2"/>
    </row>
    <row r="322" ht="12.75" customHeight="1">
      <c r="A322" s="2"/>
      <c r="B322" s="2"/>
      <c r="C322" s="2"/>
      <c r="D322" s="2"/>
    </row>
    <row r="323" ht="12.75" customHeight="1">
      <c r="A323" s="2"/>
      <c r="B323" s="2"/>
      <c r="C323" s="2"/>
      <c r="D323" s="2"/>
    </row>
    <row r="324" ht="12.75" customHeight="1">
      <c r="A324" s="2"/>
      <c r="B324" s="2"/>
      <c r="C324" s="2"/>
      <c r="D324" s="2"/>
    </row>
    <row r="325" ht="12.75" customHeight="1">
      <c r="A325" s="2"/>
      <c r="B325" s="2"/>
      <c r="C325" s="2"/>
      <c r="D325" s="2"/>
    </row>
    <row r="326" ht="12.75" customHeight="1">
      <c r="A326" s="2"/>
      <c r="B326" s="2"/>
      <c r="C326" s="2"/>
      <c r="D326" s="2"/>
    </row>
    <row r="327" ht="12.75" customHeight="1">
      <c r="A327" s="2"/>
      <c r="B327" s="2"/>
      <c r="C327" s="2"/>
      <c r="D327" s="2"/>
    </row>
    <row r="328" ht="12.75" customHeight="1">
      <c r="A328" s="2"/>
      <c r="B328" s="2"/>
      <c r="C328" s="2"/>
      <c r="D328" s="2"/>
    </row>
    <row r="329" ht="12.75" customHeight="1">
      <c r="A329" s="2"/>
      <c r="B329" s="2"/>
      <c r="C329" s="2"/>
      <c r="D329" s="2"/>
    </row>
    <row r="330" ht="12.75" customHeight="1">
      <c r="A330" s="2"/>
      <c r="B330" s="2"/>
      <c r="C330" s="2"/>
      <c r="D330" s="2"/>
    </row>
    <row r="331" ht="12.75" customHeight="1">
      <c r="A331" s="2"/>
      <c r="B331" s="2"/>
      <c r="C331" s="2"/>
      <c r="D331" s="2"/>
    </row>
    <row r="332" ht="12.75" customHeight="1">
      <c r="A332" s="2"/>
      <c r="B332" s="2"/>
      <c r="C332" s="2"/>
      <c r="D332" s="2"/>
    </row>
    <row r="333" ht="12.75" customHeight="1">
      <c r="A333" s="2"/>
      <c r="B333" s="2"/>
      <c r="C333" s="2"/>
      <c r="D333" s="2"/>
    </row>
    <row r="334" ht="12.75" customHeight="1">
      <c r="A334" s="2"/>
      <c r="B334" s="2"/>
      <c r="C334" s="2"/>
      <c r="D334" s="2"/>
    </row>
    <row r="335" ht="12.75" customHeight="1">
      <c r="A335" s="2"/>
      <c r="B335" s="2"/>
      <c r="C335" s="2"/>
      <c r="D335" s="2"/>
    </row>
    <row r="336" ht="12.75" customHeight="1">
      <c r="A336" s="2"/>
      <c r="B336" s="2"/>
      <c r="C336" s="2"/>
      <c r="D336" s="2"/>
    </row>
    <row r="337" ht="12.75" customHeight="1">
      <c r="A337" s="2"/>
      <c r="B337" s="2"/>
      <c r="C337" s="2"/>
      <c r="D337" s="2"/>
    </row>
    <row r="338" ht="12.75" customHeight="1">
      <c r="A338" s="2"/>
      <c r="B338" s="2"/>
      <c r="C338" s="2"/>
      <c r="D338" s="2"/>
    </row>
    <row r="339" ht="12.75" customHeight="1">
      <c r="A339" s="2"/>
      <c r="B339" s="2"/>
      <c r="C339" s="2"/>
      <c r="D339" s="2"/>
    </row>
    <row r="340" ht="12.75" customHeight="1">
      <c r="A340" s="2"/>
      <c r="B340" s="2"/>
      <c r="C340" s="2"/>
      <c r="D340" s="2"/>
    </row>
    <row r="341" ht="12.75" customHeight="1">
      <c r="A341" s="2"/>
      <c r="B341" s="2"/>
      <c r="C341" s="2"/>
      <c r="D341" s="2"/>
    </row>
    <row r="342" ht="12.75" customHeight="1">
      <c r="A342" s="2"/>
      <c r="B342" s="2"/>
      <c r="C342" s="2"/>
      <c r="D342" s="2"/>
    </row>
    <row r="343" ht="12.75" customHeight="1">
      <c r="A343" s="2"/>
      <c r="B343" s="2"/>
      <c r="C343" s="2"/>
      <c r="D343" s="2"/>
    </row>
    <row r="344" ht="12.75" customHeight="1">
      <c r="A344" s="2"/>
      <c r="B344" s="2"/>
      <c r="C344" s="2"/>
      <c r="D344" s="2"/>
    </row>
    <row r="345" ht="12.75" customHeight="1">
      <c r="A345" s="2"/>
      <c r="B345" s="2"/>
      <c r="C345" s="2"/>
      <c r="D345" s="2"/>
    </row>
    <row r="346" ht="12.75" customHeight="1">
      <c r="A346" s="2"/>
      <c r="B346" s="2"/>
      <c r="C346" s="2"/>
      <c r="D346" s="2"/>
    </row>
    <row r="347" ht="12.75" customHeight="1">
      <c r="A347" s="2"/>
      <c r="B347" s="2"/>
      <c r="C347" s="2"/>
      <c r="D347" s="2"/>
    </row>
    <row r="348" ht="12.75" customHeight="1">
      <c r="A348" s="2"/>
      <c r="B348" s="2"/>
      <c r="C348" s="2"/>
      <c r="D348" s="2"/>
    </row>
    <row r="349" ht="12.75" customHeight="1">
      <c r="A349" s="2"/>
      <c r="B349" s="2"/>
      <c r="C349" s="2"/>
      <c r="D349" s="2"/>
    </row>
    <row r="350" ht="12.75" customHeight="1">
      <c r="A350" s="2"/>
      <c r="B350" s="2"/>
      <c r="C350" s="2"/>
      <c r="D350" s="2"/>
    </row>
    <row r="351" ht="12.75" customHeight="1">
      <c r="A351" s="2"/>
      <c r="B351" s="2"/>
      <c r="C351" s="2"/>
      <c r="D351" s="2"/>
    </row>
    <row r="352" ht="12.75" customHeight="1">
      <c r="A352" s="2"/>
      <c r="B352" s="2"/>
      <c r="C352" s="2"/>
      <c r="D352" s="2"/>
    </row>
    <row r="353" ht="12.75" customHeight="1">
      <c r="A353" s="2"/>
      <c r="B353" s="2"/>
      <c r="C353" s="2"/>
      <c r="D353" s="2"/>
    </row>
    <row r="354" ht="12.75" customHeight="1">
      <c r="A354" s="2"/>
      <c r="B354" s="2"/>
      <c r="C354" s="2"/>
      <c r="D354" s="2"/>
    </row>
    <row r="355" ht="12.75" customHeight="1">
      <c r="A355" s="2"/>
      <c r="B355" s="2"/>
      <c r="C355" s="2"/>
      <c r="D355" s="2"/>
    </row>
    <row r="356" ht="12.75" customHeight="1">
      <c r="A356" s="2"/>
      <c r="B356" s="2"/>
      <c r="C356" s="2"/>
      <c r="D356" s="2"/>
    </row>
    <row r="357" ht="12.75" customHeight="1">
      <c r="A357" s="2"/>
      <c r="B357" s="2"/>
      <c r="C357" s="2"/>
      <c r="D357" s="2"/>
    </row>
    <row r="358" ht="12.75" customHeight="1">
      <c r="A358" s="2"/>
      <c r="B358" s="2"/>
      <c r="C358" s="2"/>
      <c r="D358" s="2"/>
    </row>
    <row r="359" ht="12.75" customHeight="1">
      <c r="A359" s="2"/>
      <c r="B359" s="2"/>
      <c r="C359" s="2"/>
      <c r="D359" s="2"/>
    </row>
    <row r="360" ht="12.75" customHeight="1">
      <c r="A360" s="2"/>
      <c r="B360" s="2"/>
      <c r="C360" s="2"/>
      <c r="D360" s="2"/>
    </row>
    <row r="361" ht="12.75" customHeight="1">
      <c r="A361" s="2"/>
      <c r="B361" s="2"/>
      <c r="C361" s="2"/>
      <c r="D361" s="2"/>
    </row>
    <row r="362" ht="12.75" customHeight="1">
      <c r="A362" s="2"/>
      <c r="B362" s="2"/>
      <c r="C362" s="2"/>
      <c r="D362" s="2"/>
    </row>
    <row r="363" ht="12.75" customHeight="1">
      <c r="A363" s="2"/>
      <c r="B363" s="2"/>
      <c r="C363" s="2"/>
      <c r="D363" s="2"/>
    </row>
    <row r="364" ht="12.75" customHeight="1">
      <c r="A364" s="2"/>
      <c r="B364" s="2"/>
      <c r="C364" s="2"/>
      <c r="D364" s="2"/>
    </row>
    <row r="365" ht="12.75" customHeight="1">
      <c r="A365" s="2"/>
      <c r="B365" s="2"/>
      <c r="C365" s="2"/>
      <c r="D365" s="2"/>
    </row>
    <row r="366" ht="12.75" customHeight="1">
      <c r="A366" s="2"/>
      <c r="B366" s="2"/>
      <c r="C366" s="2"/>
      <c r="D366" s="2"/>
    </row>
    <row r="367" ht="12.75" customHeight="1">
      <c r="A367" s="2"/>
      <c r="B367" s="2"/>
      <c r="C367" s="2"/>
      <c r="D367" s="2"/>
    </row>
    <row r="368" ht="12.75" customHeight="1">
      <c r="A368" s="2"/>
      <c r="B368" s="2"/>
      <c r="C368" s="2"/>
      <c r="D368" s="2"/>
    </row>
    <row r="369" ht="12.75" customHeight="1">
      <c r="A369" s="2"/>
      <c r="B369" s="2"/>
      <c r="C369" s="2"/>
      <c r="D369" s="2"/>
    </row>
    <row r="370" ht="12.75" customHeight="1">
      <c r="A370" s="2"/>
      <c r="B370" s="2"/>
      <c r="C370" s="2"/>
      <c r="D370" s="2"/>
    </row>
    <row r="371" ht="12.75" customHeight="1">
      <c r="A371" s="2"/>
      <c r="B371" s="2"/>
      <c r="C371" s="2"/>
      <c r="D371" s="2"/>
    </row>
    <row r="372" ht="12.75" customHeight="1">
      <c r="A372" s="2"/>
      <c r="B372" s="2"/>
      <c r="C372" s="2"/>
      <c r="D372" s="2"/>
    </row>
    <row r="373" ht="12.75" customHeight="1">
      <c r="A373" s="2"/>
      <c r="B373" s="2"/>
      <c r="C373" s="2"/>
      <c r="D373" s="2"/>
    </row>
    <row r="374" ht="12.75" customHeight="1">
      <c r="A374" s="2"/>
      <c r="B374" s="2"/>
      <c r="C374" s="2"/>
      <c r="D374" s="2"/>
    </row>
    <row r="375" ht="12.75" customHeight="1">
      <c r="A375" s="2"/>
      <c r="B375" s="2"/>
      <c r="C375" s="2"/>
      <c r="D375" s="2"/>
    </row>
    <row r="376" ht="12.75" customHeight="1">
      <c r="A376" s="2"/>
      <c r="B376" s="2"/>
      <c r="C376" s="2"/>
      <c r="D376" s="2"/>
    </row>
    <row r="377" ht="12.75" customHeight="1">
      <c r="A377" s="2"/>
      <c r="B377" s="2"/>
      <c r="C377" s="2"/>
      <c r="D377" s="2"/>
    </row>
    <row r="378" ht="12.75" customHeight="1">
      <c r="A378" s="2"/>
      <c r="B378" s="2"/>
      <c r="C378" s="2"/>
      <c r="D378" s="2"/>
    </row>
    <row r="379" ht="12.75" customHeight="1">
      <c r="A379" s="2"/>
      <c r="B379" s="2"/>
      <c r="C379" s="2"/>
      <c r="D379" s="2"/>
    </row>
    <row r="380" ht="12.75" customHeight="1">
      <c r="A380" s="2"/>
      <c r="B380" s="2"/>
      <c r="C380" s="2"/>
      <c r="D380" s="2"/>
    </row>
    <row r="381" ht="12.75" customHeight="1">
      <c r="A381" s="2"/>
      <c r="B381" s="2"/>
      <c r="C381" s="2"/>
      <c r="D381" s="2"/>
    </row>
    <row r="382" ht="12.75" customHeight="1">
      <c r="A382" s="2"/>
      <c r="B382" s="2"/>
      <c r="C382" s="2"/>
      <c r="D382" s="2"/>
    </row>
    <row r="383" ht="12.75" customHeight="1">
      <c r="A383" s="2"/>
      <c r="B383" s="2"/>
      <c r="C383" s="2"/>
      <c r="D383" s="2"/>
    </row>
    <row r="384" ht="12.75" customHeight="1">
      <c r="A384" s="2"/>
      <c r="B384" s="2"/>
      <c r="C384" s="2"/>
      <c r="D384" s="2"/>
    </row>
    <row r="385" ht="12.75" customHeight="1">
      <c r="A385" s="2"/>
      <c r="B385" s="2"/>
      <c r="C385" s="2"/>
      <c r="D385" s="2"/>
    </row>
    <row r="386" ht="12.75" customHeight="1">
      <c r="A386" s="2"/>
      <c r="B386" s="2"/>
      <c r="C386" s="2"/>
      <c r="D386" s="2"/>
    </row>
    <row r="387" ht="12.75" customHeight="1">
      <c r="A387" s="2"/>
      <c r="B387" s="2"/>
      <c r="C387" s="2"/>
      <c r="D387" s="2"/>
    </row>
    <row r="388" ht="12.75" customHeight="1">
      <c r="A388" s="2"/>
      <c r="B388" s="2"/>
      <c r="C388" s="2"/>
      <c r="D388" s="2"/>
    </row>
    <row r="389" ht="12.75" customHeight="1">
      <c r="A389" s="2"/>
      <c r="B389" s="2"/>
      <c r="C389" s="2"/>
      <c r="D389" s="2"/>
    </row>
    <row r="390" ht="12.75" customHeight="1">
      <c r="A390" s="2"/>
      <c r="B390" s="2"/>
      <c r="C390" s="2"/>
      <c r="D390" s="2"/>
    </row>
    <row r="391" ht="12.75" customHeight="1">
      <c r="A391" s="2"/>
      <c r="B391" s="2"/>
      <c r="C391" s="2"/>
      <c r="D391" s="2"/>
    </row>
    <row r="392" ht="12.75" customHeight="1">
      <c r="A392" s="2"/>
      <c r="B392" s="2"/>
      <c r="C392" s="2"/>
      <c r="D392" s="2"/>
    </row>
    <row r="393" ht="12.75" customHeight="1">
      <c r="A393" s="2"/>
      <c r="B393" s="2"/>
      <c r="C393" s="2"/>
      <c r="D393" s="2"/>
    </row>
    <row r="394" ht="12.75" customHeight="1">
      <c r="A394" s="2"/>
      <c r="B394" s="2"/>
      <c r="C394" s="2"/>
      <c r="D394" s="2"/>
    </row>
    <row r="395" ht="12.75" customHeight="1">
      <c r="A395" s="2"/>
      <c r="B395" s="2"/>
      <c r="C395" s="2"/>
      <c r="D395" s="2"/>
    </row>
    <row r="396" ht="12.75" customHeight="1">
      <c r="A396" s="2"/>
      <c r="B396" s="2"/>
      <c r="C396" s="2"/>
      <c r="D396" s="2"/>
    </row>
    <row r="397" ht="12.75" customHeight="1">
      <c r="A397" s="2"/>
      <c r="B397" s="2"/>
      <c r="C397" s="2"/>
      <c r="D397" s="2"/>
    </row>
    <row r="398" ht="12.75" customHeight="1">
      <c r="A398" s="2"/>
      <c r="B398" s="2"/>
      <c r="C398" s="2"/>
      <c r="D398" s="2"/>
    </row>
    <row r="399" ht="12.75" customHeight="1">
      <c r="A399" s="2"/>
      <c r="B399" s="2"/>
      <c r="C399" s="2"/>
      <c r="D399" s="2"/>
    </row>
    <row r="400" ht="12.75" customHeight="1">
      <c r="A400" s="2"/>
      <c r="B400" s="2"/>
      <c r="C400" s="2"/>
      <c r="D400" s="2"/>
    </row>
    <row r="401" ht="12.75" customHeight="1">
      <c r="A401" s="2"/>
      <c r="B401" s="2"/>
      <c r="C401" s="2"/>
      <c r="D401" s="2"/>
    </row>
    <row r="402" ht="12.75" customHeight="1">
      <c r="A402" s="2"/>
      <c r="B402" s="2"/>
      <c r="C402" s="2"/>
      <c r="D402" s="2"/>
    </row>
    <row r="403" ht="12.75" customHeight="1">
      <c r="A403" s="2"/>
      <c r="B403" s="2"/>
      <c r="C403" s="2"/>
      <c r="D403" s="2"/>
    </row>
    <row r="404" ht="12.75" customHeight="1">
      <c r="A404" s="2"/>
      <c r="B404" s="2"/>
      <c r="C404" s="2"/>
      <c r="D404" s="2"/>
    </row>
    <row r="405" ht="12.75" customHeight="1">
      <c r="A405" s="2"/>
      <c r="B405" s="2"/>
      <c r="C405" s="2"/>
      <c r="D405" s="2"/>
    </row>
    <row r="406" ht="12.75" customHeight="1">
      <c r="A406" s="2"/>
      <c r="B406" s="2"/>
      <c r="C406" s="2"/>
      <c r="D406" s="2"/>
    </row>
    <row r="407" ht="12.75" customHeight="1">
      <c r="A407" s="2"/>
      <c r="B407" s="2"/>
      <c r="C407" s="2"/>
      <c r="D407" s="2"/>
    </row>
    <row r="408" ht="12.75" customHeight="1">
      <c r="A408" s="2"/>
      <c r="B408" s="2"/>
      <c r="C408" s="2"/>
      <c r="D408" s="2"/>
    </row>
    <row r="409" ht="12.75" customHeight="1">
      <c r="A409" s="2"/>
      <c r="B409" s="2"/>
      <c r="C409" s="2"/>
      <c r="D409" s="2"/>
    </row>
    <row r="410" ht="12.75" customHeight="1">
      <c r="A410" s="2"/>
      <c r="B410" s="2"/>
      <c r="C410" s="2"/>
      <c r="D410" s="2"/>
    </row>
    <row r="411" ht="12.75" customHeight="1">
      <c r="A411" s="2"/>
      <c r="B411" s="2"/>
      <c r="C411" s="2"/>
      <c r="D411" s="2"/>
    </row>
    <row r="412" ht="12.75" customHeight="1">
      <c r="A412" s="2"/>
      <c r="B412" s="2"/>
      <c r="C412" s="2"/>
      <c r="D412" s="2"/>
    </row>
    <row r="413" ht="12.75" customHeight="1">
      <c r="A413" s="2"/>
      <c r="B413" s="2"/>
      <c r="C413" s="2"/>
      <c r="D413" s="2"/>
    </row>
    <row r="414" ht="12.75" customHeight="1">
      <c r="A414" s="2"/>
      <c r="B414" s="2"/>
      <c r="C414" s="2"/>
      <c r="D414" s="2"/>
    </row>
    <row r="415" ht="12.75" customHeight="1">
      <c r="A415" s="2"/>
      <c r="B415" s="2"/>
      <c r="C415" s="2"/>
      <c r="D415" s="2"/>
    </row>
    <row r="416" ht="12.75" customHeight="1">
      <c r="A416" s="2"/>
      <c r="B416" s="2"/>
      <c r="C416" s="2"/>
      <c r="D416" s="2"/>
    </row>
    <row r="417" ht="12.75" customHeight="1">
      <c r="A417" s="2"/>
      <c r="B417" s="2"/>
      <c r="C417" s="2"/>
      <c r="D417" s="2"/>
    </row>
    <row r="418" ht="12.75" customHeight="1">
      <c r="A418" s="2"/>
      <c r="B418" s="2"/>
      <c r="C418" s="2"/>
      <c r="D418" s="2"/>
    </row>
    <row r="419" ht="12.75" customHeight="1">
      <c r="A419" s="2"/>
      <c r="B419" s="2"/>
      <c r="C419" s="2"/>
      <c r="D419" s="2"/>
    </row>
    <row r="420" ht="12.75" customHeight="1">
      <c r="A420" s="2"/>
      <c r="B420" s="2"/>
      <c r="C420" s="2"/>
      <c r="D420" s="2"/>
    </row>
    <row r="421" ht="12.75" customHeight="1">
      <c r="A421" s="2"/>
      <c r="B421" s="2"/>
      <c r="C421" s="2"/>
      <c r="D421" s="2"/>
    </row>
    <row r="422" ht="12.75" customHeight="1">
      <c r="A422" s="2"/>
      <c r="B422" s="2"/>
      <c r="C422" s="2"/>
      <c r="D422" s="2"/>
    </row>
    <row r="423" ht="12.75" customHeight="1">
      <c r="A423" s="2"/>
      <c r="B423" s="2"/>
      <c r="C423" s="2"/>
      <c r="D423" s="2"/>
    </row>
    <row r="424" ht="12.75" customHeight="1">
      <c r="A424" s="2"/>
      <c r="B424" s="2"/>
      <c r="C424" s="2"/>
      <c r="D424" s="2"/>
    </row>
    <row r="425" ht="12.75" customHeight="1">
      <c r="A425" s="2"/>
      <c r="B425" s="2"/>
      <c r="C425" s="2"/>
      <c r="D425" s="2"/>
    </row>
    <row r="426" ht="12.75" customHeight="1">
      <c r="A426" s="2"/>
      <c r="B426" s="2"/>
      <c r="C426" s="2"/>
      <c r="D426" s="2"/>
    </row>
    <row r="427" ht="12.75" customHeight="1">
      <c r="A427" s="2"/>
      <c r="B427" s="2"/>
      <c r="C427" s="2"/>
      <c r="D427" s="2"/>
    </row>
    <row r="428" ht="12.75" customHeight="1">
      <c r="A428" s="2"/>
      <c r="B428" s="2"/>
      <c r="C428" s="2"/>
      <c r="D428" s="2"/>
    </row>
    <row r="429" ht="12.75" customHeight="1">
      <c r="A429" s="2"/>
      <c r="B429" s="2"/>
      <c r="C429" s="2"/>
      <c r="D429" s="2"/>
    </row>
    <row r="430" ht="12.75" customHeight="1">
      <c r="A430" s="2"/>
      <c r="B430" s="2"/>
      <c r="C430" s="2"/>
      <c r="D430" s="2"/>
    </row>
    <row r="431" ht="12.75" customHeight="1">
      <c r="A431" s="2"/>
      <c r="B431" s="2"/>
      <c r="C431" s="2"/>
      <c r="D431" s="2"/>
    </row>
    <row r="432" ht="12.75" customHeight="1">
      <c r="A432" s="2"/>
      <c r="B432" s="2"/>
      <c r="C432" s="2"/>
      <c r="D432" s="2"/>
    </row>
    <row r="433" ht="12.75" customHeight="1">
      <c r="A433" s="2"/>
      <c r="B433" s="2"/>
      <c r="C433" s="2"/>
      <c r="D433" s="2"/>
    </row>
    <row r="434" ht="12.75" customHeight="1">
      <c r="A434" s="2"/>
      <c r="B434" s="2"/>
      <c r="C434" s="2"/>
      <c r="D434" s="2"/>
    </row>
    <row r="435" ht="12.75" customHeight="1">
      <c r="A435" s="2"/>
      <c r="B435" s="2"/>
      <c r="C435" s="2"/>
      <c r="D435" s="2"/>
    </row>
    <row r="436" ht="12.75" customHeight="1">
      <c r="A436" s="2"/>
      <c r="B436" s="2"/>
      <c r="C436" s="2"/>
      <c r="D436" s="2"/>
    </row>
    <row r="437" ht="12.75" customHeight="1">
      <c r="A437" s="2"/>
      <c r="B437" s="2"/>
      <c r="C437" s="2"/>
      <c r="D437" s="2"/>
    </row>
    <row r="438" ht="12.75" customHeight="1">
      <c r="A438" s="2"/>
      <c r="B438" s="2"/>
      <c r="C438" s="2"/>
      <c r="D438" s="2"/>
    </row>
    <row r="439" ht="12.75" customHeight="1">
      <c r="A439" s="2"/>
      <c r="B439" s="2"/>
      <c r="C439" s="2"/>
      <c r="D439" s="2"/>
    </row>
    <row r="440" ht="12.75" customHeight="1">
      <c r="A440" s="2"/>
      <c r="B440" s="2"/>
      <c r="C440" s="2"/>
      <c r="D440" s="2"/>
    </row>
    <row r="441" ht="12.75" customHeight="1">
      <c r="A441" s="2"/>
      <c r="B441" s="2"/>
      <c r="C441" s="2"/>
      <c r="D441" s="2"/>
    </row>
    <row r="442" ht="12.75" customHeight="1">
      <c r="A442" s="2"/>
      <c r="B442" s="2"/>
      <c r="C442" s="2"/>
      <c r="D442" s="2"/>
    </row>
    <row r="443" ht="12.75" customHeight="1">
      <c r="A443" s="2"/>
      <c r="B443" s="2"/>
      <c r="C443" s="2"/>
      <c r="D443" s="2"/>
    </row>
    <row r="444" ht="12.75" customHeight="1">
      <c r="A444" s="2"/>
      <c r="B444" s="2"/>
      <c r="C444" s="2"/>
      <c r="D444" s="2"/>
    </row>
    <row r="445" ht="12.75" customHeight="1">
      <c r="A445" s="2"/>
      <c r="B445" s="2"/>
      <c r="C445" s="2"/>
      <c r="D445" s="2"/>
    </row>
    <row r="446" ht="12.75" customHeight="1">
      <c r="A446" s="2"/>
      <c r="B446" s="2"/>
      <c r="C446" s="2"/>
      <c r="D446" s="2"/>
    </row>
    <row r="447" ht="12.75" customHeight="1">
      <c r="A447" s="2"/>
      <c r="B447" s="2"/>
      <c r="C447" s="2"/>
      <c r="D447" s="2"/>
    </row>
    <row r="448" ht="12.75" customHeight="1">
      <c r="A448" s="2"/>
      <c r="B448" s="2"/>
      <c r="C448" s="2"/>
      <c r="D448" s="2"/>
    </row>
    <row r="449" ht="12.75" customHeight="1">
      <c r="A449" s="2"/>
      <c r="B449" s="2"/>
      <c r="C449" s="2"/>
      <c r="D449" s="2"/>
    </row>
    <row r="450" ht="12.75" customHeight="1">
      <c r="A450" s="2"/>
      <c r="B450" s="2"/>
      <c r="C450" s="2"/>
      <c r="D450" s="2"/>
    </row>
    <row r="451" ht="12.75" customHeight="1">
      <c r="A451" s="2"/>
      <c r="B451" s="2"/>
      <c r="C451" s="2"/>
      <c r="D451" s="2"/>
    </row>
    <row r="452" ht="12.75" customHeight="1">
      <c r="A452" s="2"/>
      <c r="B452" s="2"/>
      <c r="C452" s="2"/>
      <c r="D452" s="2"/>
    </row>
    <row r="453" ht="12.75" customHeight="1">
      <c r="A453" s="2"/>
      <c r="B453" s="2"/>
      <c r="C453" s="2"/>
      <c r="D453" s="2"/>
    </row>
    <row r="454" ht="12.75" customHeight="1">
      <c r="A454" s="2"/>
      <c r="B454" s="2"/>
      <c r="C454" s="2"/>
      <c r="D454" s="2"/>
    </row>
    <row r="455" ht="12.75" customHeight="1">
      <c r="A455" s="2"/>
      <c r="B455" s="2"/>
      <c r="C455" s="2"/>
      <c r="D455" s="2"/>
    </row>
    <row r="456" ht="12.75" customHeight="1">
      <c r="A456" s="2"/>
      <c r="B456" s="2"/>
      <c r="C456" s="2"/>
      <c r="D456" s="2"/>
    </row>
    <row r="457" ht="12.75" customHeight="1">
      <c r="A457" s="2"/>
      <c r="B457" s="2"/>
      <c r="C457" s="2"/>
      <c r="D457" s="2"/>
    </row>
    <row r="458" ht="12.75" customHeight="1">
      <c r="A458" s="2"/>
      <c r="B458" s="2"/>
      <c r="C458" s="2"/>
      <c r="D458" s="2"/>
    </row>
    <row r="459" ht="12.75" customHeight="1">
      <c r="A459" s="2"/>
      <c r="B459" s="2"/>
      <c r="C459" s="2"/>
      <c r="D459" s="2"/>
    </row>
    <row r="460" ht="12.75" customHeight="1">
      <c r="A460" s="2"/>
      <c r="B460" s="2"/>
      <c r="C460" s="2"/>
      <c r="D460" s="2"/>
    </row>
    <row r="461" ht="12.75" customHeight="1">
      <c r="A461" s="2"/>
      <c r="B461" s="2"/>
      <c r="C461" s="2"/>
      <c r="D461" s="2"/>
    </row>
    <row r="462" ht="12.75" customHeight="1">
      <c r="A462" s="2"/>
      <c r="B462" s="2"/>
      <c r="C462" s="2"/>
      <c r="D462" s="2"/>
    </row>
    <row r="463" ht="12.75" customHeight="1">
      <c r="A463" s="2"/>
      <c r="B463" s="2"/>
      <c r="C463" s="2"/>
      <c r="D463" s="2"/>
    </row>
    <row r="464" ht="12.75" customHeight="1">
      <c r="A464" s="2"/>
      <c r="B464" s="2"/>
      <c r="C464" s="2"/>
      <c r="D464" s="2"/>
    </row>
    <row r="465" ht="12.75" customHeight="1">
      <c r="A465" s="2"/>
      <c r="B465" s="2"/>
      <c r="C465" s="2"/>
      <c r="D465" s="2"/>
    </row>
    <row r="466" ht="12.75" customHeight="1">
      <c r="A466" s="2"/>
      <c r="B466" s="2"/>
      <c r="C466" s="2"/>
      <c r="D466" s="2"/>
    </row>
    <row r="467" ht="12.75" customHeight="1">
      <c r="A467" s="2"/>
      <c r="B467" s="2"/>
      <c r="C467" s="2"/>
      <c r="D467" s="2"/>
    </row>
    <row r="468" ht="12.75" customHeight="1">
      <c r="A468" s="2"/>
      <c r="B468" s="2"/>
      <c r="C468" s="2"/>
      <c r="D468" s="2"/>
    </row>
    <row r="469" ht="12.75" customHeight="1">
      <c r="A469" s="2"/>
      <c r="B469" s="2"/>
      <c r="C469" s="2"/>
      <c r="D469" s="2"/>
    </row>
    <row r="470" ht="12.75" customHeight="1">
      <c r="A470" s="2"/>
      <c r="B470" s="2"/>
      <c r="C470" s="2"/>
      <c r="D470" s="2"/>
    </row>
    <row r="471" ht="12.75" customHeight="1">
      <c r="A471" s="2"/>
      <c r="B471" s="2"/>
      <c r="C471" s="2"/>
      <c r="D471" s="2"/>
    </row>
    <row r="472" ht="12.75" customHeight="1">
      <c r="A472" s="2"/>
      <c r="B472" s="2"/>
      <c r="C472" s="2"/>
      <c r="D472" s="2"/>
    </row>
    <row r="473" ht="12.75" customHeight="1">
      <c r="A473" s="2"/>
      <c r="B473" s="2"/>
      <c r="C473" s="2"/>
      <c r="D473" s="2"/>
    </row>
    <row r="474" ht="12.75" customHeight="1">
      <c r="A474" s="2"/>
      <c r="B474" s="2"/>
      <c r="C474" s="2"/>
      <c r="D474" s="2"/>
    </row>
    <row r="475" ht="12.75" customHeight="1">
      <c r="A475" s="2"/>
      <c r="B475" s="2"/>
      <c r="C475" s="2"/>
      <c r="D475" s="2"/>
    </row>
    <row r="476" ht="12.75" customHeight="1">
      <c r="A476" s="2"/>
      <c r="B476" s="2"/>
      <c r="C476" s="2"/>
      <c r="D476" s="2"/>
    </row>
    <row r="477" ht="12.75" customHeight="1">
      <c r="A477" s="2"/>
      <c r="B477" s="2"/>
      <c r="C477" s="2"/>
      <c r="D477" s="2"/>
    </row>
    <row r="478" ht="12.75" customHeight="1">
      <c r="A478" s="2"/>
      <c r="B478" s="2"/>
      <c r="C478" s="2"/>
      <c r="D478" s="2"/>
    </row>
    <row r="479" ht="12.75" customHeight="1">
      <c r="A479" s="2"/>
      <c r="B479" s="2"/>
      <c r="C479" s="2"/>
      <c r="D479" s="2"/>
    </row>
    <row r="480" ht="12.75" customHeight="1">
      <c r="A480" s="2"/>
      <c r="B480" s="2"/>
      <c r="C480" s="2"/>
      <c r="D480" s="2"/>
    </row>
    <row r="481" ht="12.75" customHeight="1">
      <c r="A481" s="2"/>
      <c r="B481" s="2"/>
      <c r="C481" s="2"/>
      <c r="D481" s="2"/>
    </row>
    <row r="482" ht="12.75" customHeight="1">
      <c r="A482" s="2"/>
      <c r="B482" s="2"/>
      <c r="C482" s="2"/>
      <c r="D482" s="2"/>
    </row>
    <row r="483" ht="12.75" customHeight="1">
      <c r="A483" s="2"/>
      <c r="B483" s="2"/>
      <c r="C483" s="2"/>
      <c r="D483" s="2"/>
    </row>
    <row r="484" ht="12.75" customHeight="1">
      <c r="A484" s="2"/>
      <c r="B484" s="2"/>
      <c r="C484" s="2"/>
      <c r="D484" s="2"/>
    </row>
    <row r="485" ht="12.75" customHeight="1">
      <c r="A485" s="2"/>
      <c r="B485" s="2"/>
      <c r="C485" s="2"/>
      <c r="D485" s="2"/>
    </row>
    <row r="486" ht="12.75" customHeight="1">
      <c r="A486" s="2"/>
      <c r="B486" s="2"/>
      <c r="C486" s="2"/>
      <c r="D486" s="2"/>
    </row>
    <row r="487" ht="12.75" customHeight="1">
      <c r="A487" s="2"/>
      <c r="B487" s="2"/>
      <c r="C487" s="2"/>
      <c r="D487" s="2"/>
    </row>
    <row r="488" ht="12.75" customHeight="1">
      <c r="A488" s="2"/>
      <c r="B488" s="2"/>
      <c r="C488" s="2"/>
      <c r="D488" s="2"/>
    </row>
    <row r="489" ht="12.75" customHeight="1">
      <c r="A489" s="2"/>
      <c r="B489" s="2"/>
      <c r="C489" s="2"/>
      <c r="D489" s="2"/>
    </row>
    <row r="490" ht="12.75" customHeight="1">
      <c r="A490" s="2"/>
      <c r="B490" s="2"/>
      <c r="C490" s="2"/>
      <c r="D490" s="2"/>
    </row>
    <row r="491" ht="12.75" customHeight="1">
      <c r="A491" s="2"/>
      <c r="B491" s="2"/>
      <c r="C491" s="2"/>
      <c r="D491" s="2"/>
    </row>
    <row r="492" ht="12.75" customHeight="1">
      <c r="A492" s="2"/>
      <c r="B492" s="2"/>
      <c r="C492" s="2"/>
      <c r="D492" s="2"/>
    </row>
    <row r="493" ht="12.75" customHeight="1">
      <c r="A493" s="2"/>
      <c r="B493" s="2"/>
      <c r="C493" s="2"/>
      <c r="D493" s="2"/>
    </row>
    <row r="494" ht="12.75" customHeight="1">
      <c r="A494" s="2"/>
      <c r="B494" s="2"/>
      <c r="C494" s="2"/>
      <c r="D494" s="2"/>
    </row>
    <row r="495" ht="12.75" customHeight="1">
      <c r="A495" s="2"/>
      <c r="B495" s="2"/>
      <c r="C495" s="2"/>
      <c r="D495" s="2"/>
    </row>
    <row r="496" ht="12.75" customHeight="1">
      <c r="A496" s="2"/>
      <c r="B496" s="2"/>
      <c r="C496" s="2"/>
      <c r="D496" s="2"/>
    </row>
    <row r="497" ht="12.75" customHeight="1">
      <c r="A497" s="2"/>
      <c r="B497" s="2"/>
      <c r="C497" s="2"/>
      <c r="D497" s="2"/>
    </row>
    <row r="498" ht="12.75" customHeight="1">
      <c r="A498" s="2"/>
      <c r="B498" s="2"/>
      <c r="C498" s="2"/>
      <c r="D498" s="2"/>
    </row>
    <row r="499" ht="12.75" customHeight="1">
      <c r="A499" s="2"/>
      <c r="B499" s="2"/>
      <c r="C499" s="2"/>
      <c r="D499" s="2"/>
    </row>
    <row r="500" ht="12.75" customHeight="1">
      <c r="A500" s="2"/>
      <c r="B500" s="2"/>
      <c r="C500" s="2"/>
      <c r="D500" s="2"/>
    </row>
    <row r="501" ht="12.75" customHeight="1">
      <c r="A501" s="2"/>
      <c r="B501" s="2"/>
      <c r="C501" s="2"/>
      <c r="D501" s="2"/>
    </row>
    <row r="502" ht="12.75" customHeight="1">
      <c r="A502" s="2"/>
      <c r="B502" s="2"/>
      <c r="C502" s="2"/>
      <c r="D502" s="2"/>
    </row>
    <row r="503" ht="12.75" customHeight="1">
      <c r="A503" s="2"/>
      <c r="B503" s="2"/>
      <c r="C503" s="2"/>
      <c r="D503" s="2"/>
    </row>
    <row r="504" ht="12.75" customHeight="1">
      <c r="A504" s="2"/>
      <c r="B504" s="2"/>
      <c r="C504" s="2"/>
      <c r="D504" s="2"/>
    </row>
    <row r="505" ht="12.75" customHeight="1">
      <c r="A505" s="2"/>
      <c r="B505" s="2"/>
      <c r="C505" s="2"/>
      <c r="D505" s="2"/>
    </row>
    <row r="506" ht="12.75" customHeight="1">
      <c r="A506" s="2"/>
      <c r="B506" s="2"/>
      <c r="C506" s="2"/>
      <c r="D506" s="2"/>
    </row>
    <row r="507" ht="12.75" customHeight="1">
      <c r="A507" s="2"/>
      <c r="B507" s="2"/>
      <c r="C507" s="2"/>
      <c r="D507" s="2"/>
    </row>
    <row r="508" ht="12.75" customHeight="1">
      <c r="A508" s="2"/>
      <c r="B508" s="2"/>
      <c r="C508" s="2"/>
      <c r="D508" s="2"/>
    </row>
    <row r="509" ht="12.75" customHeight="1">
      <c r="A509" s="2"/>
      <c r="B509" s="2"/>
      <c r="C509" s="2"/>
      <c r="D509" s="2"/>
    </row>
    <row r="510" ht="12.75" customHeight="1">
      <c r="A510" s="2"/>
      <c r="B510" s="2"/>
      <c r="C510" s="2"/>
      <c r="D510" s="2"/>
    </row>
    <row r="511" ht="12.75" customHeight="1">
      <c r="A511" s="2"/>
      <c r="B511" s="2"/>
      <c r="C511" s="2"/>
      <c r="D511" s="2"/>
    </row>
    <row r="512" ht="12.75" customHeight="1">
      <c r="A512" s="2"/>
      <c r="B512" s="2"/>
      <c r="C512" s="2"/>
      <c r="D512" s="2"/>
    </row>
    <row r="513" ht="12.75" customHeight="1">
      <c r="A513" s="2"/>
      <c r="B513" s="2"/>
      <c r="C513" s="2"/>
      <c r="D513" s="2"/>
    </row>
    <row r="514" ht="12.75" customHeight="1">
      <c r="A514" s="2"/>
      <c r="B514" s="2"/>
      <c r="C514" s="2"/>
      <c r="D514" s="2"/>
    </row>
    <row r="515" ht="12.75" customHeight="1">
      <c r="A515" s="2"/>
      <c r="B515" s="2"/>
      <c r="C515" s="2"/>
      <c r="D515" s="2"/>
    </row>
    <row r="516" ht="12.75" customHeight="1">
      <c r="A516" s="2"/>
      <c r="B516" s="2"/>
      <c r="C516" s="2"/>
      <c r="D516" s="2"/>
    </row>
    <row r="517" ht="12.75" customHeight="1">
      <c r="A517" s="2"/>
      <c r="B517" s="2"/>
      <c r="C517" s="2"/>
      <c r="D517" s="2"/>
    </row>
    <row r="518" ht="12.75" customHeight="1">
      <c r="A518" s="2"/>
      <c r="B518" s="2"/>
      <c r="C518" s="2"/>
      <c r="D518" s="2"/>
    </row>
    <row r="519" ht="12.75" customHeight="1">
      <c r="A519" s="2"/>
      <c r="B519" s="2"/>
      <c r="C519" s="2"/>
      <c r="D519" s="2"/>
    </row>
    <row r="520" ht="12.75" customHeight="1">
      <c r="A520" s="2"/>
      <c r="B520" s="2"/>
      <c r="C520" s="2"/>
      <c r="D520" s="2"/>
    </row>
    <row r="521" ht="12.75" customHeight="1">
      <c r="A521" s="2"/>
      <c r="B521" s="2"/>
      <c r="C521" s="2"/>
      <c r="D521" s="2"/>
    </row>
    <row r="522" ht="12.75" customHeight="1">
      <c r="A522" s="2"/>
      <c r="B522" s="2"/>
      <c r="C522" s="2"/>
      <c r="D522" s="2"/>
    </row>
    <row r="523" ht="12.75" customHeight="1">
      <c r="A523" s="2"/>
      <c r="B523" s="2"/>
      <c r="C523" s="2"/>
      <c r="D523" s="2"/>
    </row>
    <row r="524" ht="12.75" customHeight="1">
      <c r="A524" s="2"/>
      <c r="B524" s="2"/>
      <c r="C524" s="2"/>
      <c r="D524" s="2"/>
    </row>
    <row r="525" ht="12.75" customHeight="1">
      <c r="A525" s="2"/>
      <c r="B525" s="2"/>
      <c r="C525" s="2"/>
      <c r="D525" s="2"/>
    </row>
    <row r="526" ht="12.75" customHeight="1">
      <c r="A526" s="2"/>
      <c r="B526" s="2"/>
      <c r="C526" s="2"/>
      <c r="D526" s="2"/>
    </row>
    <row r="527" ht="12.75" customHeight="1">
      <c r="A527" s="2"/>
      <c r="B527" s="2"/>
      <c r="C527" s="2"/>
      <c r="D527" s="2"/>
    </row>
    <row r="528" ht="12.75" customHeight="1">
      <c r="A528" s="2"/>
      <c r="B528" s="2"/>
      <c r="C528" s="2"/>
      <c r="D528" s="2"/>
    </row>
    <row r="529" ht="12.75" customHeight="1">
      <c r="A529" s="2"/>
      <c r="B529" s="2"/>
      <c r="C529" s="2"/>
      <c r="D529" s="2"/>
    </row>
    <row r="530" ht="12.75" customHeight="1">
      <c r="A530" s="2"/>
      <c r="B530" s="2"/>
      <c r="C530" s="2"/>
      <c r="D530" s="2"/>
    </row>
    <row r="531" ht="12.75" customHeight="1">
      <c r="A531" s="2"/>
      <c r="B531" s="2"/>
      <c r="C531" s="2"/>
      <c r="D531" s="2"/>
    </row>
    <row r="532" ht="12.75" customHeight="1">
      <c r="A532" s="2"/>
      <c r="B532" s="2"/>
      <c r="C532" s="2"/>
      <c r="D532" s="2"/>
    </row>
    <row r="533" ht="12.75" customHeight="1">
      <c r="A533" s="2"/>
      <c r="B533" s="2"/>
      <c r="C533" s="2"/>
      <c r="D533" s="2"/>
    </row>
    <row r="534" ht="12.75" customHeight="1">
      <c r="A534" s="2"/>
      <c r="B534" s="2"/>
      <c r="C534" s="2"/>
      <c r="D534" s="2"/>
    </row>
    <row r="535" ht="12.75" customHeight="1">
      <c r="A535" s="2"/>
      <c r="B535" s="2"/>
      <c r="C535" s="2"/>
      <c r="D535" s="2"/>
    </row>
    <row r="536" ht="12.75" customHeight="1">
      <c r="A536" s="2"/>
      <c r="B536" s="2"/>
      <c r="C536" s="2"/>
      <c r="D536" s="2"/>
    </row>
    <row r="537" ht="12.75" customHeight="1">
      <c r="A537" s="2"/>
      <c r="B537" s="2"/>
      <c r="C537" s="2"/>
      <c r="D537" s="2"/>
    </row>
    <row r="538" ht="12.75" customHeight="1">
      <c r="A538" s="2"/>
      <c r="B538" s="2"/>
      <c r="C538" s="2"/>
      <c r="D538" s="2"/>
    </row>
    <row r="539" ht="12.75" customHeight="1">
      <c r="A539" s="2"/>
      <c r="B539" s="2"/>
      <c r="C539" s="2"/>
      <c r="D539" s="2"/>
    </row>
    <row r="540" ht="12.75" customHeight="1">
      <c r="A540" s="2"/>
      <c r="B540" s="2"/>
      <c r="C540" s="2"/>
      <c r="D540" s="2"/>
    </row>
    <row r="541" ht="12.75" customHeight="1">
      <c r="A541" s="2"/>
      <c r="B541" s="2"/>
      <c r="C541" s="2"/>
      <c r="D541" s="2"/>
    </row>
    <row r="542" ht="12.75" customHeight="1">
      <c r="A542" s="2"/>
      <c r="B542" s="2"/>
      <c r="C542" s="2"/>
      <c r="D542" s="2"/>
    </row>
    <row r="543" ht="12.75" customHeight="1">
      <c r="A543" s="2"/>
      <c r="B543" s="2"/>
      <c r="C543" s="2"/>
      <c r="D543" s="2"/>
    </row>
    <row r="544" ht="12.75" customHeight="1">
      <c r="A544" s="2"/>
      <c r="B544" s="2"/>
      <c r="C544" s="2"/>
      <c r="D544" s="2"/>
    </row>
    <row r="545" ht="12.75" customHeight="1">
      <c r="A545" s="2"/>
      <c r="B545" s="2"/>
      <c r="C545" s="2"/>
      <c r="D545" s="2"/>
    </row>
    <row r="546" ht="12.75" customHeight="1">
      <c r="A546" s="2"/>
      <c r="B546" s="2"/>
      <c r="C546" s="2"/>
      <c r="D546" s="2"/>
    </row>
    <row r="547" ht="12.75" customHeight="1">
      <c r="A547" s="2"/>
      <c r="B547" s="2"/>
      <c r="C547" s="2"/>
      <c r="D547" s="2"/>
    </row>
    <row r="548" ht="12.75" customHeight="1">
      <c r="A548" s="2"/>
      <c r="B548" s="2"/>
      <c r="C548" s="2"/>
      <c r="D548" s="2"/>
    </row>
    <row r="549" ht="12.75" customHeight="1">
      <c r="A549" s="2"/>
      <c r="B549" s="2"/>
      <c r="C549" s="2"/>
      <c r="D549" s="2"/>
    </row>
    <row r="550" ht="12.75" customHeight="1">
      <c r="A550" s="2"/>
      <c r="B550" s="2"/>
      <c r="C550" s="2"/>
      <c r="D550" s="2"/>
    </row>
    <row r="551" ht="12.75" customHeight="1">
      <c r="A551" s="2"/>
      <c r="B551" s="2"/>
      <c r="C551" s="2"/>
      <c r="D551" s="2"/>
    </row>
    <row r="552" ht="12.75" customHeight="1">
      <c r="A552" s="2"/>
      <c r="B552" s="2"/>
      <c r="C552" s="2"/>
      <c r="D552" s="2"/>
    </row>
    <row r="553" ht="12.75" customHeight="1">
      <c r="A553" s="2"/>
      <c r="B553" s="2"/>
      <c r="C553" s="2"/>
      <c r="D553" s="2"/>
    </row>
    <row r="554" ht="12.75" customHeight="1">
      <c r="A554" s="2"/>
      <c r="B554" s="2"/>
      <c r="C554" s="2"/>
      <c r="D554" s="2"/>
    </row>
    <row r="555" ht="12.75" customHeight="1">
      <c r="A555" s="2"/>
      <c r="B555" s="2"/>
      <c r="C555" s="2"/>
      <c r="D555" s="2"/>
    </row>
    <row r="556" ht="12.75" customHeight="1">
      <c r="A556" s="2"/>
      <c r="B556" s="2"/>
      <c r="C556" s="2"/>
      <c r="D556" s="2"/>
    </row>
    <row r="557" ht="12.75" customHeight="1">
      <c r="A557" s="2"/>
      <c r="B557" s="2"/>
      <c r="C557" s="2"/>
      <c r="D557" s="2"/>
    </row>
    <row r="558" ht="12.75" customHeight="1">
      <c r="A558" s="2"/>
      <c r="B558" s="2"/>
      <c r="C558" s="2"/>
      <c r="D558" s="2"/>
    </row>
    <row r="559" ht="12.75" customHeight="1">
      <c r="A559" s="2"/>
      <c r="B559" s="2"/>
      <c r="C559" s="2"/>
      <c r="D559" s="2"/>
    </row>
    <row r="560" ht="12.75" customHeight="1">
      <c r="A560" s="2"/>
      <c r="B560" s="2"/>
      <c r="C560" s="2"/>
      <c r="D560" s="2"/>
    </row>
    <row r="561" ht="12.75" customHeight="1">
      <c r="A561" s="2"/>
      <c r="B561" s="2"/>
      <c r="C561" s="2"/>
      <c r="D561" s="2"/>
    </row>
    <row r="562" ht="12.75" customHeight="1">
      <c r="A562" s="2"/>
      <c r="B562" s="2"/>
      <c r="C562" s="2"/>
      <c r="D562" s="2"/>
    </row>
    <row r="563" ht="12.75" customHeight="1">
      <c r="A563" s="2"/>
      <c r="B563" s="2"/>
      <c r="C563" s="2"/>
      <c r="D563" s="2"/>
    </row>
    <row r="564" ht="12.75" customHeight="1">
      <c r="A564" s="2"/>
      <c r="B564" s="2"/>
      <c r="C564" s="2"/>
      <c r="D564" s="2"/>
    </row>
    <row r="565" ht="12.75" customHeight="1">
      <c r="A565" s="2"/>
      <c r="B565" s="2"/>
      <c r="C565" s="2"/>
      <c r="D565" s="2"/>
    </row>
    <row r="566" ht="12.75" customHeight="1">
      <c r="A566" s="2"/>
      <c r="B566" s="2"/>
      <c r="C566" s="2"/>
      <c r="D566" s="2"/>
    </row>
    <row r="567" ht="12.75" customHeight="1">
      <c r="A567" s="2"/>
      <c r="B567" s="2"/>
      <c r="C567" s="2"/>
      <c r="D567" s="2"/>
    </row>
    <row r="568" ht="12.75" customHeight="1">
      <c r="A568" s="2"/>
      <c r="B568" s="2"/>
      <c r="C568" s="2"/>
      <c r="D568" s="2"/>
    </row>
    <row r="569" ht="12.75" customHeight="1">
      <c r="A569" s="2"/>
      <c r="B569" s="2"/>
      <c r="C569" s="2"/>
      <c r="D569" s="2"/>
    </row>
    <row r="570" ht="12.75" customHeight="1">
      <c r="A570" s="2"/>
      <c r="B570" s="2"/>
      <c r="C570" s="2"/>
      <c r="D570" s="2"/>
    </row>
    <row r="571" ht="12.75" customHeight="1">
      <c r="A571" s="2"/>
      <c r="B571" s="2"/>
      <c r="C571" s="2"/>
      <c r="D571" s="2"/>
    </row>
    <row r="572" ht="12.75" customHeight="1">
      <c r="A572" s="2"/>
      <c r="B572" s="2"/>
      <c r="C572" s="2"/>
      <c r="D572" s="2"/>
    </row>
    <row r="573" ht="12.75" customHeight="1">
      <c r="A573" s="2"/>
      <c r="B573" s="2"/>
      <c r="C573" s="2"/>
      <c r="D573" s="2"/>
    </row>
    <row r="574" ht="12.75" customHeight="1">
      <c r="A574" s="2"/>
      <c r="B574" s="2"/>
      <c r="C574" s="2"/>
      <c r="D574" s="2"/>
    </row>
    <row r="575" ht="12.75" customHeight="1">
      <c r="A575" s="2"/>
      <c r="B575" s="2"/>
      <c r="C575" s="2"/>
      <c r="D575" s="2"/>
    </row>
    <row r="576" ht="12.75" customHeight="1">
      <c r="A576" s="2"/>
      <c r="B576" s="2"/>
      <c r="C576" s="2"/>
      <c r="D576" s="2"/>
    </row>
    <row r="577" ht="12.75" customHeight="1">
      <c r="A577" s="2"/>
      <c r="B577" s="2"/>
      <c r="C577" s="2"/>
      <c r="D577" s="2"/>
    </row>
    <row r="578" ht="12.75" customHeight="1">
      <c r="A578" s="2"/>
      <c r="B578" s="2"/>
      <c r="C578" s="2"/>
      <c r="D578" s="2"/>
    </row>
    <row r="579" ht="12.75" customHeight="1">
      <c r="A579" s="2"/>
      <c r="B579" s="2"/>
      <c r="C579" s="2"/>
      <c r="D579" s="2"/>
    </row>
    <row r="580" ht="12.75" customHeight="1">
      <c r="A580" s="2"/>
      <c r="B580" s="2"/>
      <c r="C580" s="2"/>
      <c r="D580" s="2"/>
    </row>
    <row r="581" ht="12.75" customHeight="1">
      <c r="A581" s="2"/>
      <c r="B581" s="2"/>
      <c r="C581" s="2"/>
      <c r="D581" s="2"/>
    </row>
    <row r="582" ht="12.75" customHeight="1">
      <c r="A582" s="2"/>
      <c r="B582" s="2"/>
      <c r="C582" s="2"/>
      <c r="D582" s="2"/>
    </row>
    <row r="583" ht="12.75" customHeight="1">
      <c r="A583" s="2"/>
      <c r="B583" s="2"/>
      <c r="C583" s="2"/>
      <c r="D583" s="2"/>
    </row>
    <row r="584" ht="12.75" customHeight="1">
      <c r="A584" s="2"/>
      <c r="B584" s="2"/>
      <c r="C584" s="2"/>
      <c r="D584" s="2"/>
    </row>
    <row r="585" ht="12.75" customHeight="1">
      <c r="A585" s="2"/>
      <c r="B585" s="2"/>
      <c r="C585" s="2"/>
      <c r="D585" s="2"/>
    </row>
    <row r="586" ht="12.75" customHeight="1">
      <c r="A586" s="2"/>
      <c r="B586" s="2"/>
      <c r="C586" s="2"/>
      <c r="D586" s="2"/>
    </row>
    <row r="587" ht="12.75" customHeight="1">
      <c r="A587" s="2"/>
      <c r="B587" s="2"/>
      <c r="C587" s="2"/>
      <c r="D587" s="2"/>
    </row>
    <row r="588" ht="12.75" customHeight="1">
      <c r="A588" s="2"/>
      <c r="B588" s="2"/>
      <c r="C588" s="2"/>
      <c r="D588" s="2"/>
    </row>
    <row r="589" ht="12.75" customHeight="1">
      <c r="A589" s="2"/>
      <c r="B589" s="2"/>
      <c r="C589" s="2"/>
      <c r="D589" s="2"/>
    </row>
    <row r="590" ht="12.75" customHeight="1">
      <c r="A590" s="2"/>
      <c r="B590" s="2"/>
      <c r="C590" s="2"/>
      <c r="D590" s="2"/>
    </row>
    <row r="591" ht="12.75" customHeight="1">
      <c r="A591" s="2"/>
      <c r="B591" s="2"/>
      <c r="C591" s="2"/>
      <c r="D591" s="2"/>
    </row>
    <row r="592" ht="12.75" customHeight="1">
      <c r="A592" s="2"/>
      <c r="B592" s="2"/>
      <c r="C592" s="2"/>
      <c r="D592" s="2"/>
    </row>
    <row r="593" ht="12.75" customHeight="1">
      <c r="A593" s="2"/>
      <c r="B593" s="2"/>
      <c r="C593" s="2"/>
      <c r="D593" s="2"/>
    </row>
    <row r="594" ht="12.75" customHeight="1">
      <c r="A594" s="2"/>
      <c r="B594" s="2"/>
      <c r="C594" s="2"/>
      <c r="D594" s="2"/>
    </row>
    <row r="595" ht="12.75" customHeight="1">
      <c r="A595" s="2"/>
      <c r="B595" s="2"/>
      <c r="C595" s="2"/>
      <c r="D595" s="2"/>
    </row>
    <row r="596" ht="12.75" customHeight="1">
      <c r="A596" s="2"/>
      <c r="B596" s="2"/>
      <c r="C596" s="2"/>
      <c r="D596" s="2"/>
    </row>
    <row r="597" ht="12.75" customHeight="1">
      <c r="A597" s="2"/>
      <c r="B597" s="2"/>
      <c r="C597" s="2"/>
      <c r="D597" s="2"/>
    </row>
    <row r="598" ht="12.75" customHeight="1">
      <c r="A598" s="2"/>
      <c r="B598" s="2"/>
      <c r="C598" s="2"/>
      <c r="D598" s="2"/>
    </row>
    <row r="599" ht="12.75" customHeight="1">
      <c r="A599" s="2"/>
      <c r="B599" s="2"/>
      <c r="C599" s="2"/>
      <c r="D599" s="2"/>
    </row>
    <row r="600" ht="12.75" customHeight="1">
      <c r="A600" s="2"/>
      <c r="B600" s="2"/>
      <c r="C600" s="2"/>
      <c r="D600" s="2"/>
    </row>
    <row r="601" ht="12.75" customHeight="1">
      <c r="A601" s="2"/>
      <c r="B601" s="2"/>
      <c r="C601" s="2"/>
      <c r="D601" s="2"/>
    </row>
    <row r="602" ht="12.75" customHeight="1">
      <c r="A602" s="2"/>
      <c r="B602" s="2"/>
      <c r="C602" s="2"/>
      <c r="D602" s="2"/>
    </row>
    <row r="603" ht="12.75" customHeight="1">
      <c r="A603" s="2"/>
      <c r="B603" s="2"/>
      <c r="C603" s="2"/>
      <c r="D603" s="2"/>
    </row>
    <row r="604" ht="12.75" customHeight="1">
      <c r="A604" s="2"/>
      <c r="B604" s="2"/>
      <c r="C604" s="2"/>
      <c r="D604" s="2"/>
    </row>
    <row r="605" ht="12.75" customHeight="1">
      <c r="A605" s="2"/>
      <c r="B605" s="2"/>
      <c r="C605" s="2"/>
      <c r="D605" s="2"/>
    </row>
    <row r="606" ht="12.75" customHeight="1">
      <c r="A606" s="2"/>
      <c r="B606" s="2"/>
      <c r="C606" s="2"/>
      <c r="D606" s="2"/>
    </row>
    <row r="607" ht="12.75" customHeight="1">
      <c r="A607" s="2"/>
      <c r="B607" s="2"/>
      <c r="C607" s="2"/>
      <c r="D607" s="2"/>
    </row>
    <row r="608" ht="12.75" customHeight="1">
      <c r="A608" s="2"/>
      <c r="B608" s="2"/>
      <c r="C608" s="2"/>
      <c r="D608" s="2"/>
    </row>
    <row r="609" ht="12.75" customHeight="1">
      <c r="A609" s="2"/>
      <c r="B609" s="2"/>
      <c r="C609" s="2"/>
      <c r="D609" s="2"/>
    </row>
    <row r="610" ht="12.75" customHeight="1">
      <c r="A610" s="2"/>
      <c r="B610" s="2"/>
      <c r="C610" s="2"/>
      <c r="D610" s="2"/>
    </row>
    <row r="611" ht="12.75" customHeight="1">
      <c r="A611" s="2"/>
      <c r="B611" s="2"/>
      <c r="C611" s="2"/>
      <c r="D611" s="2"/>
    </row>
    <row r="612" ht="12.75" customHeight="1">
      <c r="A612" s="2"/>
      <c r="B612" s="2"/>
      <c r="C612" s="2"/>
      <c r="D612" s="2"/>
    </row>
    <row r="613" ht="12.75" customHeight="1">
      <c r="A613" s="2"/>
      <c r="B613" s="2"/>
      <c r="C613" s="2"/>
      <c r="D613" s="2"/>
    </row>
    <row r="614" ht="12.75" customHeight="1">
      <c r="A614" s="2"/>
      <c r="B614" s="2"/>
      <c r="C614" s="2"/>
      <c r="D614" s="2"/>
    </row>
    <row r="615" ht="12.75" customHeight="1">
      <c r="A615" s="2"/>
      <c r="B615" s="2"/>
      <c r="C615" s="2"/>
      <c r="D615" s="2"/>
    </row>
    <row r="616" ht="12.75" customHeight="1">
      <c r="A616" s="2"/>
      <c r="B616" s="2"/>
      <c r="C616" s="2"/>
      <c r="D616" s="2"/>
    </row>
    <row r="617" ht="12.75" customHeight="1">
      <c r="A617" s="2"/>
      <c r="B617" s="2"/>
      <c r="C617" s="2"/>
      <c r="D617" s="2"/>
    </row>
    <row r="618" ht="12.75" customHeight="1">
      <c r="A618" s="2"/>
      <c r="B618" s="2"/>
      <c r="C618" s="2"/>
      <c r="D618" s="2"/>
    </row>
    <row r="619" ht="12.75" customHeight="1">
      <c r="A619" s="2"/>
      <c r="B619" s="2"/>
      <c r="C619" s="2"/>
      <c r="D619" s="2"/>
    </row>
    <row r="620" ht="12.75" customHeight="1">
      <c r="A620" s="2"/>
      <c r="B620" s="2"/>
      <c r="C620" s="2"/>
      <c r="D620" s="2"/>
    </row>
    <row r="621" ht="12.75" customHeight="1">
      <c r="A621" s="2"/>
      <c r="B621" s="2"/>
      <c r="C621" s="2"/>
      <c r="D621" s="2"/>
    </row>
    <row r="622" ht="12.75" customHeight="1">
      <c r="A622" s="2"/>
      <c r="B622" s="2"/>
      <c r="C622" s="2"/>
      <c r="D622" s="2"/>
    </row>
    <row r="623" ht="12.75" customHeight="1">
      <c r="A623" s="2"/>
      <c r="B623" s="2"/>
      <c r="C623" s="2"/>
      <c r="D623" s="2"/>
    </row>
    <row r="624" ht="12.75" customHeight="1">
      <c r="A624" s="2"/>
      <c r="B624" s="2"/>
      <c r="C624" s="2"/>
      <c r="D624" s="2"/>
    </row>
    <row r="625" ht="12.75" customHeight="1">
      <c r="A625" s="2"/>
      <c r="B625" s="2"/>
      <c r="C625" s="2"/>
      <c r="D625" s="2"/>
    </row>
    <row r="626" ht="12.75" customHeight="1">
      <c r="A626" s="2"/>
      <c r="B626" s="2"/>
      <c r="C626" s="2"/>
      <c r="D626" s="2"/>
    </row>
    <row r="627" ht="12.75" customHeight="1">
      <c r="A627" s="2"/>
      <c r="B627" s="2"/>
      <c r="C627" s="2"/>
      <c r="D627" s="2"/>
    </row>
    <row r="628" ht="12.75" customHeight="1">
      <c r="A628" s="2"/>
      <c r="B628" s="2"/>
      <c r="C628" s="2"/>
      <c r="D628" s="2"/>
    </row>
    <row r="629" ht="12.75" customHeight="1">
      <c r="A629" s="2"/>
      <c r="B629" s="2"/>
      <c r="C629" s="2"/>
      <c r="D629" s="2"/>
    </row>
    <row r="630" ht="12.75" customHeight="1">
      <c r="A630" s="2"/>
      <c r="B630" s="2"/>
      <c r="C630" s="2"/>
      <c r="D630" s="2"/>
    </row>
    <row r="631" ht="12.75" customHeight="1">
      <c r="A631" s="2"/>
      <c r="B631" s="2"/>
      <c r="C631" s="2"/>
      <c r="D631" s="2"/>
    </row>
    <row r="632" ht="12.75" customHeight="1">
      <c r="A632" s="2"/>
      <c r="B632" s="2"/>
      <c r="C632" s="2"/>
      <c r="D632" s="2"/>
    </row>
    <row r="633" ht="12.75" customHeight="1">
      <c r="A633" s="2"/>
      <c r="B633" s="2"/>
      <c r="C633" s="2"/>
      <c r="D633" s="2"/>
    </row>
    <row r="634" ht="12.75" customHeight="1">
      <c r="A634" s="2"/>
      <c r="B634" s="2"/>
      <c r="C634" s="2"/>
      <c r="D634" s="2"/>
    </row>
    <row r="635" ht="12.75" customHeight="1">
      <c r="A635" s="2"/>
      <c r="B635" s="2"/>
      <c r="C635" s="2"/>
      <c r="D635" s="2"/>
    </row>
    <row r="636" ht="12.75" customHeight="1">
      <c r="A636" s="2"/>
      <c r="B636" s="2"/>
      <c r="C636" s="2"/>
      <c r="D636" s="2"/>
    </row>
    <row r="637" ht="12.75" customHeight="1">
      <c r="A637" s="2"/>
      <c r="B637" s="2"/>
      <c r="C637" s="2"/>
      <c r="D637" s="2"/>
    </row>
    <row r="638" ht="12.75" customHeight="1">
      <c r="A638" s="2"/>
      <c r="B638" s="2"/>
      <c r="C638" s="2"/>
      <c r="D638" s="2"/>
    </row>
    <row r="639" ht="12.75" customHeight="1">
      <c r="A639" s="2"/>
      <c r="B639" s="2"/>
      <c r="C639" s="2"/>
      <c r="D639" s="2"/>
    </row>
    <row r="640" ht="12.75" customHeight="1">
      <c r="A640" s="2"/>
      <c r="B640" s="2"/>
      <c r="C640" s="2"/>
      <c r="D640" s="2"/>
    </row>
    <row r="641" ht="12.75" customHeight="1">
      <c r="A641" s="2"/>
      <c r="B641" s="2"/>
      <c r="C641" s="2"/>
      <c r="D641" s="2"/>
    </row>
    <row r="642" ht="12.75" customHeight="1">
      <c r="A642" s="2"/>
      <c r="B642" s="2"/>
      <c r="C642" s="2"/>
      <c r="D642" s="2"/>
    </row>
    <row r="643" ht="12.75" customHeight="1">
      <c r="A643" s="2"/>
      <c r="B643" s="2"/>
      <c r="C643" s="2"/>
      <c r="D643" s="2"/>
    </row>
    <row r="644" ht="12.75" customHeight="1">
      <c r="A644" s="2"/>
      <c r="B644" s="2"/>
      <c r="C644" s="2"/>
      <c r="D644" s="2"/>
    </row>
    <row r="645" ht="12.75" customHeight="1">
      <c r="A645" s="2"/>
      <c r="B645" s="2"/>
      <c r="C645" s="2"/>
      <c r="D645" s="2"/>
    </row>
    <row r="646" ht="12.75" customHeight="1">
      <c r="A646" s="2"/>
      <c r="B646" s="2"/>
      <c r="C646" s="2"/>
      <c r="D646" s="2"/>
    </row>
    <row r="647" ht="12.75" customHeight="1">
      <c r="A647" s="2"/>
      <c r="B647" s="2"/>
      <c r="C647" s="2"/>
      <c r="D647" s="2"/>
    </row>
    <row r="648" ht="12.75" customHeight="1">
      <c r="A648" s="2"/>
      <c r="B648" s="2"/>
      <c r="C648" s="2"/>
      <c r="D648" s="2"/>
    </row>
    <row r="649" ht="12.75" customHeight="1">
      <c r="A649" s="2"/>
      <c r="B649" s="2"/>
      <c r="C649" s="2"/>
      <c r="D649" s="2"/>
    </row>
    <row r="650" ht="12.75" customHeight="1">
      <c r="A650" s="2"/>
      <c r="B650" s="2"/>
      <c r="C650" s="2"/>
      <c r="D650" s="2"/>
    </row>
    <row r="651" ht="12.75" customHeight="1">
      <c r="A651" s="2"/>
      <c r="B651" s="2"/>
      <c r="C651" s="2"/>
      <c r="D651" s="2"/>
    </row>
    <row r="652" ht="12.75" customHeight="1">
      <c r="A652" s="2"/>
      <c r="B652" s="2"/>
      <c r="C652" s="2"/>
      <c r="D652" s="2"/>
    </row>
    <row r="653" ht="12.75" customHeight="1">
      <c r="A653" s="2"/>
      <c r="B653" s="2"/>
      <c r="C653" s="2"/>
      <c r="D653" s="2"/>
    </row>
    <row r="654" ht="12.75" customHeight="1">
      <c r="A654" s="2"/>
      <c r="B654" s="2"/>
      <c r="C654" s="2"/>
      <c r="D654" s="2"/>
    </row>
    <row r="655" ht="12.75" customHeight="1">
      <c r="A655" s="2"/>
      <c r="B655" s="2"/>
      <c r="C655" s="2"/>
      <c r="D655" s="2"/>
    </row>
    <row r="656" ht="12.75" customHeight="1">
      <c r="A656" s="2"/>
      <c r="B656" s="2"/>
      <c r="C656" s="2"/>
      <c r="D656" s="2"/>
    </row>
    <row r="657" ht="12.75" customHeight="1">
      <c r="A657" s="2"/>
      <c r="B657" s="2"/>
      <c r="C657" s="2"/>
      <c r="D657" s="2"/>
    </row>
    <row r="658" ht="12.75" customHeight="1">
      <c r="A658" s="2"/>
      <c r="B658" s="2"/>
      <c r="C658" s="2"/>
      <c r="D658" s="2"/>
    </row>
    <row r="659" ht="12.75" customHeight="1">
      <c r="A659" s="2"/>
      <c r="B659" s="2"/>
      <c r="C659" s="2"/>
      <c r="D659" s="2"/>
    </row>
    <row r="660" ht="12.75" customHeight="1">
      <c r="A660" s="2"/>
      <c r="B660" s="2"/>
      <c r="C660" s="2"/>
      <c r="D660" s="2"/>
    </row>
    <row r="661" ht="12.75" customHeight="1">
      <c r="A661" s="2"/>
      <c r="B661" s="2"/>
      <c r="C661" s="2"/>
      <c r="D661" s="2"/>
    </row>
    <row r="662" ht="12.75" customHeight="1">
      <c r="A662" s="2"/>
      <c r="B662" s="2"/>
      <c r="C662" s="2"/>
      <c r="D662" s="2"/>
    </row>
    <row r="663" ht="12.75" customHeight="1">
      <c r="A663" s="2"/>
      <c r="B663" s="2"/>
      <c r="C663" s="2"/>
      <c r="D663" s="2"/>
    </row>
    <row r="664" ht="12.75" customHeight="1">
      <c r="A664" s="2"/>
      <c r="B664" s="2"/>
      <c r="C664" s="2"/>
      <c r="D664" s="2"/>
    </row>
    <row r="665" ht="12.75" customHeight="1">
      <c r="A665" s="2"/>
      <c r="B665" s="2"/>
      <c r="C665" s="2"/>
      <c r="D665" s="2"/>
    </row>
    <row r="666" ht="12.75" customHeight="1">
      <c r="A666" s="2"/>
      <c r="B666" s="2"/>
      <c r="C666" s="2"/>
      <c r="D666" s="2"/>
    </row>
    <row r="667" ht="12.75" customHeight="1">
      <c r="A667" s="2"/>
      <c r="B667" s="2"/>
      <c r="C667" s="2"/>
      <c r="D667" s="2"/>
    </row>
    <row r="668" ht="12.75" customHeight="1">
      <c r="A668" s="2"/>
      <c r="B668" s="2"/>
      <c r="C668" s="2"/>
      <c r="D668" s="2"/>
    </row>
    <row r="669" ht="12.75" customHeight="1">
      <c r="A669" s="2"/>
      <c r="B669" s="2"/>
      <c r="C669" s="2"/>
      <c r="D669" s="2"/>
    </row>
    <row r="670" ht="12.75" customHeight="1">
      <c r="A670" s="2"/>
      <c r="B670" s="2"/>
      <c r="C670" s="2"/>
      <c r="D670" s="2"/>
    </row>
    <row r="671" ht="12.75" customHeight="1">
      <c r="A671" s="2"/>
      <c r="B671" s="2"/>
      <c r="C671" s="2"/>
      <c r="D671" s="2"/>
    </row>
    <row r="672" ht="12.75" customHeight="1">
      <c r="A672" s="2"/>
      <c r="B672" s="2"/>
      <c r="C672" s="2"/>
      <c r="D672" s="2"/>
    </row>
    <row r="673" ht="12.75" customHeight="1">
      <c r="A673" s="2"/>
      <c r="B673" s="2"/>
      <c r="C673" s="2"/>
      <c r="D673" s="2"/>
    </row>
    <row r="674" ht="12.75" customHeight="1">
      <c r="A674" s="2"/>
      <c r="B674" s="2"/>
      <c r="C674" s="2"/>
      <c r="D674" s="2"/>
    </row>
    <row r="675" ht="12.75" customHeight="1">
      <c r="A675" s="2"/>
      <c r="B675" s="2"/>
      <c r="C675" s="2"/>
      <c r="D675" s="2"/>
    </row>
    <row r="676" ht="12.75" customHeight="1">
      <c r="A676" s="2"/>
      <c r="B676" s="2"/>
      <c r="C676" s="2"/>
      <c r="D676" s="2"/>
    </row>
    <row r="677" ht="12.75" customHeight="1">
      <c r="A677" s="2"/>
      <c r="B677" s="2"/>
      <c r="C677" s="2"/>
      <c r="D677" s="2"/>
    </row>
    <row r="678" ht="12.75" customHeight="1">
      <c r="A678" s="2"/>
      <c r="B678" s="2"/>
      <c r="C678" s="2"/>
      <c r="D678" s="2"/>
    </row>
    <row r="679" ht="12.75" customHeight="1">
      <c r="A679" s="2"/>
      <c r="B679" s="2"/>
      <c r="C679" s="2"/>
      <c r="D679" s="2"/>
    </row>
    <row r="680" ht="12.75" customHeight="1">
      <c r="A680" s="2"/>
      <c r="B680" s="2"/>
      <c r="C680" s="2"/>
      <c r="D680" s="2"/>
    </row>
    <row r="681" ht="12.75" customHeight="1">
      <c r="A681" s="2"/>
      <c r="B681" s="2"/>
      <c r="C681" s="2"/>
      <c r="D681" s="2"/>
    </row>
    <row r="682" ht="12.75" customHeight="1">
      <c r="A682" s="2"/>
      <c r="B682" s="2"/>
      <c r="C682" s="2"/>
      <c r="D682" s="2"/>
    </row>
    <row r="683" ht="12.75" customHeight="1">
      <c r="A683" s="2"/>
      <c r="B683" s="2"/>
      <c r="C683" s="2"/>
      <c r="D683" s="2"/>
    </row>
    <row r="684" ht="12.75" customHeight="1">
      <c r="A684" s="2"/>
      <c r="B684" s="2"/>
      <c r="C684" s="2"/>
      <c r="D684" s="2"/>
    </row>
    <row r="685" ht="12.75" customHeight="1">
      <c r="A685" s="2"/>
      <c r="B685" s="2"/>
      <c r="C685" s="2"/>
      <c r="D685" s="2"/>
    </row>
    <row r="686" ht="12.75" customHeight="1">
      <c r="A686" s="2"/>
      <c r="B686" s="2"/>
      <c r="C686" s="2"/>
      <c r="D686" s="2"/>
    </row>
    <row r="687" ht="12.75" customHeight="1">
      <c r="A687" s="2"/>
      <c r="B687" s="2"/>
      <c r="C687" s="2"/>
      <c r="D687" s="2"/>
    </row>
    <row r="688" ht="12.75" customHeight="1">
      <c r="A688" s="2"/>
      <c r="B688" s="2"/>
      <c r="C688" s="2"/>
      <c r="D688" s="2"/>
    </row>
    <row r="689" ht="12.75" customHeight="1">
      <c r="A689" s="2"/>
      <c r="B689" s="2"/>
      <c r="C689" s="2"/>
      <c r="D689" s="2"/>
    </row>
    <row r="690" ht="12.75" customHeight="1">
      <c r="A690" s="2"/>
      <c r="B690" s="2"/>
      <c r="C690" s="2"/>
      <c r="D690" s="2"/>
    </row>
    <row r="691" ht="12.75" customHeight="1">
      <c r="A691" s="2"/>
      <c r="B691" s="2"/>
      <c r="C691" s="2"/>
      <c r="D691" s="2"/>
    </row>
    <row r="692" ht="12.75" customHeight="1">
      <c r="A692" s="2"/>
      <c r="B692" s="2"/>
      <c r="C692" s="2"/>
      <c r="D692" s="2"/>
    </row>
    <row r="693" ht="12.75" customHeight="1">
      <c r="A693" s="2"/>
      <c r="B693" s="2"/>
      <c r="C693" s="2"/>
      <c r="D693" s="2"/>
    </row>
    <row r="694" ht="12.75" customHeight="1">
      <c r="A694" s="2"/>
      <c r="B694" s="2"/>
      <c r="C694" s="2"/>
      <c r="D694" s="2"/>
    </row>
    <row r="695" ht="12.75" customHeight="1">
      <c r="A695" s="2"/>
      <c r="B695" s="2"/>
      <c r="C695" s="2"/>
      <c r="D695" s="2"/>
    </row>
    <row r="696" ht="12.75" customHeight="1">
      <c r="A696" s="2"/>
      <c r="B696" s="2"/>
      <c r="C696" s="2"/>
      <c r="D696" s="2"/>
    </row>
    <row r="697" ht="12.75" customHeight="1">
      <c r="A697" s="2"/>
      <c r="B697" s="2"/>
      <c r="C697" s="2"/>
      <c r="D697" s="2"/>
    </row>
    <row r="698" ht="12.75" customHeight="1">
      <c r="A698" s="2"/>
      <c r="B698" s="2"/>
      <c r="C698" s="2"/>
      <c r="D698" s="2"/>
    </row>
    <row r="699" ht="12.75" customHeight="1">
      <c r="A699" s="2"/>
      <c r="B699" s="2"/>
      <c r="C699" s="2"/>
      <c r="D699" s="2"/>
    </row>
    <row r="700" ht="12.75" customHeight="1">
      <c r="A700" s="2"/>
      <c r="B700" s="2"/>
      <c r="C700" s="2"/>
      <c r="D700" s="2"/>
    </row>
    <row r="701" ht="12.75" customHeight="1">
      <c r="A701" s="2"/>
      <c r="B701" s="2"/>
      <c r="C701" s="2"/>
      <c r="D701" s="2"/>
    </row>
    <row r="702" ht="12.75" customHeight="1">
      <c r="A702" s="2"/>
      <c r="B702" s="2"/>
      <c r="C702" s="2"/>
      <c r="D702" s="2"/>
    </row>
    <row r="703" ht="12.75" customHeight="1">
      <c r="A703" s="2"/>
      <c r="B703" s="2"/>
      <c r="C703" s="2"/>
      <c r="D703" s="2"/>
    </row>
    <row r="704" ht="12.75" customHeight="1">
      <c r="A704" s="2"/>
      <c r="B704" s="2"/>
      <c r="C704" s="2"/>
      <c r="D704" s="2"/>
    </row>
    <row r="705" ht="12.75" customHeight="1">
      <c r="A705" s="2"/>
      <c r="B705" s="2"/>
      <c r="C705" s="2"/>
      <c r="D705" s="2"/>
    </row>
    <row r="706" ht="12.75" customHeight="1">
      <c r="A706" s="2"/>
      <c r="B706" s="2"/>
      <c r="C706" s="2"/>
      <c r="D706" s="2"/>
    </row>
    <row r="707" ht="12.75" customHeight="1">
      <c r="A707" s="2"/>
      <c r="B707" s="2"/>
      <c r="C707" s="2"/>
      <c r="D707" s="2"/>
    </row>
    <row r="708" ht="12.75" customHeight="1">
      <c r="A708" s="2"/>
      <c r="B708" s="2"/>
      <c r="C708" s="2"/>
      <c r="D708" s="2"/>
    </row>
    <row r="709" ht="12.75" customHeight="1">
      <c r="A709" s="2"/>
      <c r="B709" s="2"/>
      <c r="C709" s="2"/>
      <c r="D709" s="2"/>
    </row>
    <row r="710" ht="12.75" customHeight="1">
      <c r="A710" s="2"/>
      <c r="B710" s="2"/>
      <c r="C710" s="2"/>
      <c r="D710" s="2"/>
    </row>
    <row r="711" ht="12.75" customHeight="1">
      <c r="A711" s="2"/>
      <c r="B711" s="2"/>
      <c r="C711" s="2"/>
      <c r="D711" s="2"/>
    </row>
    <row r="712" ht="12.75" customHeight="1">
      <c r="A712" s="2"/>
      <c r="B712" s="2"/>
      <c r="C712" s="2"/>
      <c r="D712" s="2"/>
    </row>
    <row r="713" ht="12.75" customHeight="1">
      <c r="A713" s="2"/>
      <c r="B713" s="2"/>
      <c r="C713" s="2"/>
      <c r="D713" s="2"/>
    </row>
    <row r="714" ht="12.75" customHeight="1">
      <c r="A714" s="2"/>
      <c r="B714" s="2"/>
      <c r="C714" s="2"/>
      <c r="D714" s="2"/>
    </row>
    <row r="715" ht="12.75" customHeight="1">
      <c r="A715" s="2"/>
      <c r="B715" s="2"/>
      <c r="C715" s="2"/>
      <c r="D715" s="2"/>
    </row>
    <row r="716" ht="12.75" customHeight="1">
      <c r="A716" s="2"/>
      <c r="B716" s="2"/>
      <c r="C716" s="2"/>
      <c r="D716" s="2"/>
    </row>
    <row r="717" ht="12.75" customHeight="1">
      <c r="A717" s="2"/>
      <c r="B717" s="2"/>
      <c r="C717" s="2"/>
      <c r="D717" s="2"/>
    </row>
    <row r="718" ht="12.75" customHeight="1">
      <c r="A718" s="2"/>
      <c r="B718" s="2"/>
      <c r="C718" s="2"/>
      <c r="D718" s="2"/>
    </row>
    <row r="719" ht="12.75" customHeight="1">
      <c r="A719" s="2"/>
      <c r="B719" s="2"/>
      <c r="C719" s="2"/>
      <c r="D719" s="2"/>
    </row>
    <row r="720" ht="12.75" customHeight="1">
      <c r="A720" s="2"/>
      <c r="B720" s="2"/>
      <c r="C720" s="2"/>
      <c r="D720" s="2"/>
    </row>
    <row r="721" ht="12.75" customHeight="1">
      <c r="A721" s="2"/>
      <c r="B721" s="2"/>
      <c r="C721" s="2"/>
      <c r="D721" s="2"/>
    </row>
    <row r="722" ht="12.75" customHeight="1">
      <c r="A722" s="2"/>
      <c r="B722" s="2"/>
      <c r="C722" s="2"/>
      <c r="D722" s="2"/>
    </row>
    <row r="723" ht="12.75" customHeight="1">
      <c r="A723" s="2"/>
      <c r="B723" s="2"/>
      <c r="C723" s="2"/>
      <c r="D723" s="2"/>
    </row>
    <row r="724" ht="12.75" customHeight="1">
      <c r="A724" s="2"/>
      <c r="B724" s="2"/>
      <c r="C724" s="2"/>
      <c r="D724" s="2"/>
    </row>
    <row r="725" ht="12.75" customHeight="1">
      <c r="A725" s="2"/>
      <c r="B725" s="2"/>
      <c r="C725" s="2"/>
      <c r="D725" s="2"/>
    </row>
    <row r="726" ht="12.75" customHeight="1">
      <c r="A726" s="2"/>
      <c r="B726" s="2"/>
      <c r="C726" s="2"/>
      <c r="D726" s="2"/>
    </row>
    <row r="727" ht="12.75" customHeight="1">
      <c r="A727" s="2"/>
      <c r="B727" s="2"/>
      <c r="C727" s="2"/>
      <c r="D727" s="2"/>
    </row>
    <row r="728" ht="12.75" customHeight="1">
      <c r="A728" s="2"/>
      <c r="B728" s="2"/>
      <c r="C728" s="2"/>
      <c r="D728" s="2"/>
    </row>
    <row r="729" ht="12.75" customHeight="1">
      <c r="A729" s="2"/>
      <c r="B729" s="2"/>
      <c r="C729" s="2"/>
      <c r="D729" s="2"/>
    </row>
    <row r="730" ht="12.75" customHeight="1">
      <c r="A730" s="2"/>
      <c r="B730" s="2"/>
      <c r="C730" s="2"/>
      <c r="D730" s="2"/>
    </row>
    <row r="731" ht="12.75" customHeight="1">
      <c r="A731" s="2"/>
      <c r="B731" s="2"/>
      <c r="C731" s="2"/>
      <c r="D731" s="2"/>
    </row>
    <row r="732" ht="12.75" customHeight="1">
      <c r="A732" s="2"/>
      <c r="B732" s="2"/>
      <c r="C732" s="2"/>
      <c r="D732" s="2"/>
    </row>
    <row r="733" ht="12.75" customHeight="1">
      <c r="A733" s="2"/>
      <c r="B733" s="2"/>
      <c r="C733" s="2"/>
      <c r="D733" s="2"/>
    </row>
    <row r="734" ht="12.75" customHeight="1">
      <c r="A734" s="2"/>
      <c r="B734" s="2"/>
      <c r="C734" s="2"/>
      <c r="D734" s="2"/>
    </row>
    <row r="735" ht="12.75" customHeight="1">
      <c r="A735" s="2"/>
      <c r="B735" s="2"/>
      <c r="C735" s="2"/>
      <c r="D735" s="2"/>
    </row>
    <row r="736" ht="12.75" customHeight="1">
      <c r="A736" s="2"/>
      <c r="B736" s="2"/>
      <c r="C736" s="2"/>
      <c r="D736" s="2"/>
    </row>
    <row r="737" ht="12.75" customHeight="1">
      <c r="A737" s="2"/>
      <c r="B737" s="2"/>
      <c r="C737" s="2"/>
      <c r="D737" s="2"/>
    </row>
    <row r="738" ht="12.75" customHeight="1">
      <c r="A738" s="2"/>
      <c r="B738" s="2"/>
      <c r="C738" s="2"/>
      <c r="D738" s="2"/>
    </row>
    <row r="739" ht="12.75" customHeight="1">
      <c r="A739" s="2"/>
      <c r="B739" s="2"/>
      <c r="C739" s="2"/>
      <c r="D739" s="2"/>
    </row>
    <row r="740" ht="12.75" customHeight="1">
      <c r="A740" s="2"/>
      <c r="B740" s="2"/>
      <c r="C740" s="2"/>
      <c r="D740" s="2"/>
    </row>
    <row r="741" ht="12.75" customHeight="1">
      <c r="A741" s="2"/>
      <c r="B741" s="2"/>
      <c r="C741" s="2"/>
      <c r="D741" s="2"/>
    </row>
    <row r="742" ht="12.75" customHeight="1">
      <c r="A742" s="2"/>
      <c r="B742" s="2"/>
      <c r="C742" s="2"/>
      <c r="D742" s="2"/>
    </row>
    <row r="743" ht="12.75" customHeight="1">
      <c r="A743" s="2"/>
      <c r="B743" s="2"/>
      <c r="C743" s="2"/>
      <c r="D743" s="2"/>
    </row>
    <row r="744" ht="12.75" customHeight="1">
      <c r="A744" s="2"/>
      <c r="B744" s="2"/>
      <c r="C744" s="2"/>
      <c r="D744" s="2"/>
    </row>
    <row r="745" ht="12.75" customHeight="1">
      <c r="A745" s="2"/>
      <c r="B745" s="2"/>
      <c r="C745" s="2"/>
      <c r="D745" s="2"/>
    </row>
    <row r="746" ht="12.75" customHeight="1">
      <c r="A746" s="2"/>
      <c r="B746" s="2"/>
      <c r="C746" s="2"/>
      <c r="D746" s="2"/>
    </row>
    <row r="747" ht="12.75" customHeight="1">
      <c r="A747" s="2"/>
      <c r="B747" s="2"/>
      <c r="C747" s="2"/>
      <c r="D747" s="2"/>
    </row>
    <row r="748" ht="12.75" customHeight="1">
      <c r="A748" s="2"/>
      <c r="B748" s="2"/>
      <c r="C748" s="2"/>
      <c r="D748" s="2"/>
    </row>
    <row r="749" ht="12.75" customHeight="1">
      <c r="A749" s="2"/>
      <c r="B749" s="2"/>
      <c r="C749" s="2"/>
      <c r="D749" s="2"/>
    </row>
    <row r="750" ht="12.75" customHeight="1">
      <c r="A750" s="2"/>
      <c r="B750" s="2"/>
      <c r="C750" s="2"/>
      <c r="D750" s="2"/>
    </row>
    <row r="751" ht="12.75" customHeight="1">
      <c r="A751" s="2"/>
      <c r="B751" s="2"/>
      <c r="C751" s="2"/>
      <c r="D751" s="2"/>
    </row>
    <row r="752" ht="12.75" customHeight="1">
      <c r="A752" s="2"/>
      <c r="B752" s="2"/>
      <c r="C752" s="2"/>
      <c r="D752" s="2"/>
    </row>
    <row r="753" ht="12.75" customHeight="1">
      <c r="A753" s="2"/>
      <c r="B753" s="2"/>
      <c r="C753" s="2"/>
      <c r="D753" s="2"/>
    </row>
    <row r="754" ht="12.75" customHeight="1">
      <c r="A754" s="2"/>
      <c r="B754" s="2"/>
      <c r="C754" s="2"/>
      <c r="D754" s="2"/>
    </row>
    <row r="755" ht="12.75" customHeight="1">
      <c r="A755" s="2"/>
      <c r="B755" s="2"/>
      <c r="C755" s="2"/>
      <c r="D755" s="2"/>
    </row>
    <row r="756" ht="12.75" customHeight="1">
      <c r="A756" s="2"/>
      <c r="B756" s="2"/>
      <c r="C756" s="2"/>
      <c r="D756" s="2"/>
    </row>
    <row r="757" ht="12.75" customHeight="1">
      <c r="A757" s="2"/>
      <c r="B757" s="2"/>
      <c r="C757" s="2"/>
      <c r="D757" s="2"/>
    </row>
    <row r="758" ht="12.75" customHeight="1">
      <c r="A758" s="2"/>
      <c r="B758" s="2"/>
      <c r="C758" s="2"/>
      <c r="D758" s="2"/>
    </row>
    <row r="759" ht="12.75" customHeight="1">
      <c r="A759" s="2"/>
      <c r="B759" s="2"/>
      <c r="C759" s="2"/>
      <c r="D759" s="2"/>
    </row>
    <row r="760" ht="12.75" customHeight="1">
      <c r="A760" s="2"/>
      <c r="B760" s="2"/>
      <c r="C760" s="2"/>
      <c r="D760" s="2"/>
    </row>
    <row r="761" ht="12.75" customHeight="1">
      <c r="A761" s="2"/>
      <c r="B761" s="2"/>
      <c r="C761" s="2"/>
      <c r="D761" s="2"/>
    </row>
    <row r="762" ht="12.75" customHeight="1">
      <c r="A762" s="2"/>
      <c r="B762" s="2"/>
      <c r="C762" s="2"/>
      <c r="D762" s="2"/>
    </row>
    <row r="763" ht="12.75" customHeight="1">
      <c r="A763" s="2"/>
      <c r="B763" s="2"/>
      <c r="C763" s="2"/>
      <c r="D763" s="2"/>
    </row>
    <row r="764" ht="12.75" customHeight="1">
      <c r="A764" s="2"/>
      <c r="B764" s="2"/>
      <c r="C764" s="2"/>
      <c r="D764" s="2"/>
    </row>
    <row r="765" ht="12.75" customHeight="1">
      <c r="A765" s="2"/>
      <c r="B765" s="2"/>
      <c r="C765" s="2"/>
      <c r="D765" s="2"/>
    </row>
    <row r="766" ht="12.75" customHeight="1">
      <c r="A766" s="2"/>
      <c r="B766" s="2"/>
      <c r="C766" s="2"/>
      <c r="D766" s="2"/>
    </row>
    <row r="767" ht="12.75" customHeight="1">
      <c r="A767" s="2"/>
      <c r="B767" s="2"/>
      <c r="C767" s="2"/>
      <c r="D767" s="2"/>
    </row>
    <row r="768" ht="12.75" customHeight="1">
      <c r="A768" s="2"/>
      <c r="B768" s="2"/>
      <c r="C768" s="2"/>
      <c r="D768" s="2"/>
    </row>
    <row r="769" ht="12.75" customHeight="1">
      <c r="A769" s="2"/>
      <c r="B769" s="2"/>
      <c r="C769" s="2"/>
      <c r="D769" s="2"/>
    </row>
    <row r="770" ht="12.75" customHeight="1">
      <c r="A770" s="2"/>
      <c r="B770" s="2"/>
      <c r="C770" s="2"/>
      <c r="D770" s="2"/>
    </row>
    <row r="771" ht="12.75" customHeight="1">
      <c r="A771" s="2"/>
      <c r="B771" s="2"/>
      <c r="C771" s="2"/>
      <c r="D771" s="2"/>
    </row>
    <row r="772" ht="12.75" customHeight="1">
      <c r="A772" s="2"/>
      <c r="B772" s="2"/>
      <c r="C772" s="2"/>
      <c r="D772" s="2"/>
    </row>
    <row r="773" ht="12.75" customHeight="1">
      <c r="A773" s="2"/>
      <c r="B773" s="2"/>
      <c r="C773" s="2"/>
      <c r="D773" s="2"/>
    </row>
    <row r="774" ht="12.75" customHeight="1">
      <c r="A774" s="2"/>
      <c r="B774" s="2"/>
      <c r="C774" s="2"/>
      <c r="D774" s="2"/>
    </row>
    <row r="775" ht="12.75" customHeight="1">
      <c r="A775" s="2"/>
      <c r="B775" s="2"/>
      <c r="C775" s="2"/>
      <c r="D775" s="2"/>
    </row>
    <row r="776" ht="12.75" customHeight="1">
      <c r="A776" s="2"/>
      <c r="B776" s="2"/>
      <c r="C776" s="2"/>
      <c r="D776" s="2"/>
    </row>
    <row r="777" ht="12.75" customHeight="1">
      <c r="A777" s="2"/>
      <c r="B777" s="2"/>
      <c r="C777" s="2"/>
      <c r="D777" s="2"/>
    </row>
    <row r="778" ht="12.75" customHeight="1">
      <c r="A778" s="2"/>
      <c r="B778" s="2"/>
      <c r="C778" s="2"/>
      <c r="D778" s="2"/>
    </row>
    <row r="779" ht="12.75" customHeight="1">
      <c r="A779" s="2"/>
      <c r="B779" s="2"/>
      <c r="C779" s="2"/>
      <c r="D779" s="2"/>
    </row>
    <row r="780" ht="12.75" customHeight="1">
      <c r="A780" s="2"/>
      <c r="B780" s="2"/>
      <c r="C780" s="2"/>
      <c r="D780" s="2"/>
    </row>
    <row r="781" ht="12.75" customHeight="1">
      <c r="A781" s="2"/>
      <c r="B781" s="2"/>
      <c r="C781" s="2"/>
      <c r="D781" s="2"/>
    </row>
    <row r="782" ht="12.75" customHeight="1">
      <c r="A782" s="2"/>
      <c r="B782" s="2"/>
      <c r="C782" s="2"/>
      <c r="D782" s="2"/>
    </row>
    <row r="783" ht="12.75" customHeight="1">
      <c r="A783" s="2"/>
      <c r="B783" s="2"/>
      <c r="C783" s="2"/>
      <c r="D783" s="2"/>
    </row>
    <row r="784" ht="12.75" customHeight="1">
      <c r="A784" s="2"/>
      <c r="B784" s="2"/>
      <c r="C784" s="2"/>
      <c r="D784" s="2"/>
    </row>
    <row r="785" ht="12.75" customHeight="1">
      <c r="A785" s="2"/>
      <c r="B785" s="2"/>
      <c r="C785" s="2"/>
      <c r="D785" s="2"/>
    </row>
    <row r="786" ht="12.75" customHeight="1">
      <c r="A786" s="2"/>
      <c r="B786" s="2"/>
      <c r="C786" s="2"/>
      <c r="D786" s="2"/>
    </row>
    <row r="787" ht="12.75" customHeight="1">
      <c r="A787" s="2"/>
      <c r="B787" s="2"/>
      <c r="C787" s="2"/>
      <c r="D787" s="2"/>
    </row>
    <row r="788" ht="12.75" customHeight="1">
      <c r="A788" s="2"/>
      <c r="B788" s="2"/>
      <c r="C788" s="2"/>
      <c r="D788" s="2"/>
    </row>
    <row r="789" ht="12.75" customHeight="1">
      <c r="A789" s="2"/>
      <c r="B789" s="2"/>
      <c r="C789" s="2"/>
      <c r="D789" s="2"/>
    </row>
    <row r="790" ht="12.75" customHeight="1">
      <c r="A790" s="2"/>
      <c r="B790" s="2"/>
      <c r="C790" s="2"/>
      <c r="D790" s="2"/>
    </row>
    <row r="791" ht="12.75" customHeight="1">
      <c r="A791" s="2"/>
      <c r="B791" s="2"/>
      <c r="C791" s="2"/>
      <c r="D791" s="2"/>
    </row>
    <row r="792" ht="12.75" customHeight="1">
      <c r="A792" s="2"/>
      <c r="B792" s="2"/>
      <c r="C792" s="2"/>
      <c r="D792" s="2"/>
    </row>
    <row r="793" ht="12.75" customHeight="1">
      <c r="A793" s="2"/>
      <c r="B793" s="2"/>
      <c r="C793" s="2"/>
      <c r="D793" s="2"/>
    </row>
    <row r="794" ht="12.75" customHeight="1">
      <c r="A794" s="2"/>
      <c r="B794" s="2"/>
      <c r="C794" s="2"/>
      <c r="D794" s="2"/>
    </row>
    <row r="795" ht="12.75" customHeight="1">
      <c r="A795" s="2"/>
      <c r="B795" s="2"/>
      <c r="C795" s="2"/>
      <c r="D795" s="2"/>
    </row>
    <row r="796" ht="12.75" customHeight="1">
      <c r="A796" s="2"/>
      <c r="B796" s="2"/>
      <c r="C796" s="2"/>
      <c r="D796" s="2"/>
    </row>
    <row r="797" ht="12.75" customHeight="1">
      <c r="A797" s="2"/>
      <c r="B797" s="2"/>
      <c r="C797" s="2"/>
      <c r="D797" s="2"/>
    </row>
    <row r="798" ht="12.75" customHeight="1">
      <c r="A798" s="2"/>
      <c r="B798" s="2"/>
      <c r="C798" s="2"/>
      <c r="D798" s="2"/>
    </row>
    <row r="799" ht="12.75" customHeight="1">
      <c r="A799" s="2"/>
      <c r="B799" s="2"/>
      <c r="C799" s="2"/>
      <c r="D799" s="2"/>
    </row>
    <row r="800" ht="12.75" customHeight="1">
      <c r="A800" s="2"/>
      <c r="B800" s="2"/>
      <c r="C800" s="2"/>
      <c r="D800" s="2"/>
    </row>
    <row r="801" ht="12.75" customHeight="1">
      <c r="A801" s="2"/>
      <c r="B801" s="2"/>
      <c r="C801" s="2"/>
      <c r="D801" s="2"/>
    </row>
    <row r="802" ht="12.75" customHeight="1">
      <c r="A802" s="2"/>
      <c r="B802" s="2"/>
      <c r="C802" s="2"/>
      <c r="D802" s="2"/>
    </row>
    <row r="803" ht="12.75" customHeight="1">
      <c r="A803" s="2"/>
      <c r="B803" s="2"/>
      <c r="C803" s="2"/>
      <c r="D803" s="2"/>
    </row>
    <row r="804" ht="12.75" customHeight="1">
      <c r="A804" s="2"/>
      <c r="B804" s="2"/>
      <c r="C804" s="2"/>
      <c r="D804" s="2"/>
    </row>
    <row r="805" ht="12.75" customHeight="1">
      <c r="A805" s="2"/>
      <c r="B805" s="2"/>
      <c r="C805" s="2"/>
      <c r="D805" s="2"/>
    </row>
    <row r="806" ht="12.75" customHeight="1">
      <c r="A806" s="2"/>
      <c r="B806" s="2"/>
      <c r="C806" s="2"/>
      <c r="D806" s="2"/>
    </row>
    <row r="807" ht="12.75" customHeight="1">
      <c r="A807" s="2"/>
      <c r="B807" s="2"/>
      <c r="C807" s="2"/>
      <c r="D807" s="2"/>
    </row>
    <row r="808" ht="12.75" customHeight="1">
      <c r="A808" s="2"/>
      <c r="B808" s="2"/>
      <c r="C808" s="2"/>
      <c r="D808" s="2"/>
    </row>
    <row r="809" ht="12.75" customHeight="1">
      <c r="A809" s="2"/>
      <c r="B809" s="2"/>
      <c r="C809" s="2"/>
      <c r="D809" s="2"/>
    </row>
    <row r="810" ht="12.75" customHeight="1">
      <c r="A810" s="2"/>
      <c r="B810" s="2"/>
      <c r="C810" s="2"/>
      <c r="D810" s="2"/>
    </row>
    <row r="811" ht="12.75" customHeight="1">
      <c r="A811" s="2"/>
      <c r="B811" s="2"/>
      <c r="C811" s="2"/>
      <c r="D811" s="2"/>
    </row>
    <row r="812" ht="12.75" customHeight="1">
      <c r="A812" s="2"/>
      <c r="B812" s="2"/>
      <c r="C812" s="2"/>
      <c r="D812" s="2"/>
    </row>
    <row r="813" ht="12.75" customHeight="1">
      <c r="A813" s="2"/>
      <c r="B813" s="2"/>
      <c r="C813" s="2"/>
      <c r="D813" s="2"/>
    </row>
    <row r="814" ht="12.75" customHeight="1">
      <c r="A814" s="2"/>
      <c r="B814" s="2"/>
      <c r="C814" s="2"/>
      <c r="D814" s="2"/>
    </row>
    <row r="815" ht="12.75" customHeight="1">
      <c r="A815" s="2"/>
      <c r="B815" s="2"/>
      <c r="C815" s="2"/>
      <c r="D815" s="2"/>
    </row>
    <row r="816" ht="12.75" customHeight="1">
      <c r="A816" s="2"/>
      <c r="B816" s="2"/>
      <c r="C816" s="2"/>
      <c r="D816" s="2"/>
    </row>
    <row r="817" ht="12.75" customHeight="1">
      <c r="A817" s="2"/>
      <c r="B817" s="2"/>
      <c r="C817" s="2"/>
      <c r="D817" s="2"/>
    </row>
    <row r="818" ht="12.75" customHeight="1">
      <c r="A818" s="2"/>
      <c r="B818" s="2"/>
      <c r="C818" s="2"/>
      <c r="D818" s="2"/>
    </row>
    <row r="819" ht="12.75" customHeight="1">
      <c r="A819" s="2"/>
      <c r="B819" s="2"/>
      <c r="C819" s="2"/>
      <c r="D819" s="2"/>
    </row>
    <row r="820" ht="12.75" customHeight="1">
      <c r="A820" s="2"/>
      <c r="B820" s="2"/>
      <c r="C820" s="2"/>
      <c r="D820" s="2"/>
    </row>
    <row r="821" ht="12.75" customHeight="1">
      <c r="A821" s="2"/>
      <c r="B821" s="2"/>
      <c r="C821" s="2"/>
      <c r="D821" s="2"/>
    </row>
    <row r="822" ht="12.75" customHeight="1">
      <c r="A822" s="2"/>
      <c r="B822" s="2"/>
      <c r="C822" s="2"/>
      <c r="D822" s="2"/>
    </row>
    <row r="823" ht="12.75" customHeight="1">
      <c r="A823" s="2"/>
      <c r="B823" s="2"/>
      <c r="C823" s="2"/>
      <c r="D823" s="2"/>
    </row>
    <row r="824" ht="12.75" customHeight="1">
      <c r="A824" s="2"/>
      <c r="B824" s="2"/>
      <c r="C824" s="2"/>
      <c r="D824" s="2"/>
    </row>
    <row r="825" ht="12.75" customHeight="1">
      <c r="A825" s="2"/>
      <c r="B825" s="2"/>
      <c r="C825" s="2"/>
      <c r="D825" s="2"/>
    </row>
    <row r="826" ht="12.75" customHeight="1">
      <c r="A826" s="2"/>
      <c r="B826" s="2"/>
      <c r="C826" s="2"/>
      <c r="D826" s="2"/>
    </row>
    <row r="827" ht="12.75" customHeight="1">
      <c r="A827" s="2"/>
      <c r="B827" s="2"/>
      <c r="C827" s="2"/>
      <c r="D827" s="2"/>
    </row>
    <row r="828" ht="12.75" customHeight="1">
      <c r="A828" s="2"/>
      <c r="B828" s="2"/>
      <c r="C828" s="2"/>
      <c r="D828" s="2"/>
    </row>
    <row r="829" ht="12.75" customHeight="1">
      <c r="A829" s="2"/>
      <c r="B829" s="2"/>
      <c r="C829" s="2"/>
      <c r="D829" s="2"/>
    </row>
    <row r="830" ht="12.75" customHeight="1">
      <c r="A830" s="2"/>
      <c r="B830" s="2"/>
      <c r="C830" s="2"/>
      <c r="D830" s="2"/>
    </row>
    <row r="831" ht="12.75" customHeight="1">
      <c r="A831" s="2"/>
      <c r="B831" s="2"/>
      <c r="C831" s="2"/>
      <c r="D831" s="2"/>
    </row>
    <row r="832" ht="12.75" customHeight="1">
      <c r="A832" s="2"/>
      <c r="B832" s="2"/>
      <c r="C832" s="2"/>
      <c r="D832" s="2"/>
    </row>
    <row r="833" ht="12.75" customHeight="1">
      <c r="A833" s="2"/>
      <c r="B833" s="2"/>
      <c r="C833" s="2"/>
      <c r="D833" s="2"/>
    </row>
    <row r="834" ht="12.75" customHeight="1">
      <c r="A834" s="2"/>
      <c r="B834" s="2"/>
      <c r="C834" s="2"/>
      <c r="D834" s="2"/>
    </row>
    <row r="835" ht="12.75" customHeight="1">
      <c r="A835" s="2"/>
      <c r="B835" s="2"/>
      <c r="C835" s="2"/>
      <c r="D835" s="2"/>
    </row>
    <row r="836" ht="12.75" customHeight="1">
      <c r="A836" s="2"/>
      <c r="B836" s="2"/>
      <c r="C836" s="2"/>
      <c r="D836" s="2"/>
    </row>
    <row r="837" ht="12.75" customHeight="1">
      <c r="A837" s="2"/>
      <c r="B837" s="2"/>
      <c r="C837" s="2"/>
      <c r="D837" s="2"/>
    </row>
    <row r="838" ht="12.75" customHeight="1">
      <c r="A838" s="2"/>
      <c r="B838" s="2"/>
      <c r="C838" s="2"/>
      <c r="D838" s="2"/>
    </row>
    <row r="839" ht="12.75" customHeight="1">
      <c r="A839" s="2"/>
      <c r="B839" s="2"/>
      <c r="C839" s="2"/>
      <c r="D839" s="2"/>
    </row>
    <row r="840" ht="12.75" customHeight="1">
      <c r="A840" s="2"/>
      <c r="B840" s="2"/>
      <c r="C840" s="2"/>
      <c r="D840" s="2"/>
    </row>
    <row r="841" ht="12.75" customHeight="1">
      <c r="A841" s="2"/>
      <c r="B841" s="2"/>
      <c r="C841" s="2"/>
      <c r="D841" s="2"/>
    </row>
    <row r="842" ht="12.75" customHeight="1">
      <c r="A842" s="2"/>
      <c r="B842" s="2"/>
      <c r="C842" s="2"/>
      <c r="D842" s="2"/>
    </row>
    <row r="843" ht="12.75" customHeight="1">
      <c r="A843" s="2"/>
      <c r="B843" s="2"/>
      <c r="C843" s="2"/>
      <c r="D843" s="2"/>
    </row>
    <row r="844" ht="12.75" customHeight="1">
      <c r="A844" s="2"/>
      <c r="B844" s="2"/>
      <c r="C844" s="2"/>
      <c r="D844" s="2"/>
    </row>
    <row r="845" ht="12.75" customHeight="1">
      <c r="A845" s="2"/>
      <c r="B845" s="2"/>
      <c r="C845" s="2"/>
      <c r="D845" s="2"/>
    </row>
    <row r="846" ht="12.75" customHeight="1">
      <c r="A846" s="2"/>
      <c r="B846" s="2"/>
      <c r="C846" s="2"/>
      <c r="D846" s="2"/>
    </row>
    <row r="847" ht="12.75" customHeight="1">
      <c r="A847" s="2"/>
      <c r="B847" s="2"/>
      <c r="C847" s="2"/>
      <c r="D847" s="2"/>
    </row>
    <row r="848" ht="12.75" customHeight="1">
      <c r="A848" s="2"/>
      <c r="B848" s="2"/>
      <c r="C848" s="2"/>
      <c r="D848" s="2"/>
    </row>
    <row r="849" ht="12.75" customHeight="1">
      <c r="A849" s="2"/>
      <c r="B849" s="2"/>
      <c r="C849" s="2"/>
      <c r="D849" s="2"/>
    </row>
    <row r="850" ht="12.75" customHeight="1">
      <c r="A850" s="2"/>
      <c r="B850" s="2"/>
      <c r="C850" s="2"/>
      <c r="D850" s="2"/>
    </row>
    <row r="851" ht="12.75" customHeight="1">
      <c r="A851" s="2"/>
      <c r="B851" s="2"/>
      <c r="C851" s="2"/>
      <c r="D851" s="2"/>
    </row>
    <row r="852" ht="12.75" customHeight="1">
      <c r="A852" s="2"/>
      <c r="B852" s="2"/>
      <c r="C852" s="2"/>
      <c r="D852" s="2"/>
    </row>
    <row r="853" ht="12.75" customHeight="1">
      <c r="A853" s="2"/>
      <c r="B853" s="2"/>
      <c r="C853" s="2"/>
      <c r="D853" s="2"/>
    </row>
    <row r="854" ht="12.75" customHeight="1">
      <c r="A854" s="2"/>
      <c r="B854" s="2"/>
      <c r="C854" s="2"/>
      <c r="D854" s="2"/>
    </row>
    <row r="855" ht="12.75" customHeight="1">
      <c r="A855" s="2"/>
      <c r="B855" s="2"/>
      <c r="C855" s="2"/>
      <c r="D855" s="2"/>
    </row>
    <row r="856" ht="12.75" customHeight="1">
      <c r="A856" s="2"/>
      <c r="B856" s="2"/>
      <c r="C856" s="2"/>
      <c r="D856" s="2"/>
    </row>
    <row r="857" ht="12.75" customHeight="1">
      <c r="A857" s="2"/>
      <c r="B857" s="2"/>
      <c r="C857" s="2"/>
      <c r="D857" s="2"/>
    </row>
    <row r="858" ht="12.75" customHeight="1">
      <c r="A858" s="2"/>
      <c r="B858" s="2"/>
      <c r="C858" s="2"/>
      <c r="D858" s="2"/>
    </row>
    <row r="859" ht="12.75" customHeight="1">
      <c r="A859" s="2"/>
      <c r="B859" s="2"/>
      <c r="C859" s="2"/>
      <c r="D859" s="2"/>
    </row>
    <row r="860" ht="12.75" customHeight="1">
      <c r="A860" s="2"/>
      <c r="B860" s="2"/>
      <c r="C860" s="2"/>
      <c r="D860" s="2"/>
    </row>
    <row r="861" ht="12.75" customHeight="1">
      <c r="A861" s="2"/>
      <c r="B861" s="2"/>
      <c r="C861" s="2"/>
      <c r="D861" s="2"/>
    </row>
    <row r="862" ht="12.75" customHeight="1">
      <c r="A862" s="2"/>
      <c r="B862" s="2"/>
      <c r="C862" s="2"/>
      <c r="D862" s="2"/>
    </row>
    <row r="863" ht="12.75" customHeight="1">
      <c r="A863" s="2"/>
      <c r="B863" s="2"/>
      <c r="C863" s="2"/>
      <c r="D863" s="2"/>
    </row>
    <row r="864" ht="12.75" customHeight="1">
      <c r="A864" s="2"/>
      <c r="B864" s="2"/>
      <c r="C864" s="2"/>
      <c r="D864" s="2"/>
    </row>
    <row r="865" ht="12.75" customHeight="1">
      <c r="A865" s="2"/>
      <c r="B865" s="2"/>
      <c r="C865" s="2"/>
      <c r="D865" s="2"/>
    </row>
    <row r="866" ht="12.75" customHeight="1">
      <c r="A866" s="2"/>
      <c r="B866" s="2"/>
      <c r="C866" s="2"/>
      <c r="D866" s="2"/>
    </row>
    <row r="867" ht="12.75" customHeight="1">
      <c r="A867" s="2"/>
      <c r="B867" s="2"/>
      <c r="C867" s="2"/>
      <c r="D867" s="2"/>
    </row>
    <row r="868" ht="12.75" customHeight="1">
      <c r="A868" s="2"/>
      <c r="B868" s="2"/>
      <c r="C868" s="2"/>
      <c r="D868" s="2"/>
    </row>
    <row r="869" ht="12.75" customHeight="1">
      <c r="A869" s="2"/>
      <c r="B869" s="2"/>
      <c r="C869" s="2"/>
      <c r="D869" s="2"/>
    </row>
    <row r="870" ht="12.75" customHeight="1">
      <c r="A870" s="2"/>
      <c r="B870" s="2"/>
      <c r="C870" s="2"/>
      <c r="D870" s="2"/>
    </row>
    <row r="871" ht="12.75" customHeight="1">
      <c r="A871" s="2"/>
      <c r="B871" s="2"/>
      <c r="C871" s="2"/>
      <c r="D871" s="2"/>
    </row>
    <row r="872" ht="12.75" customHeight="1">
      <c r="A872" s="2"/>
      <c r="B872" s="2"/>
      <c r="C872" s="2"/>
      <c r="D872" s="2"/>
    </row>
    <row r="873" ht="12.75" customHeight="1">
      <c r="A873" s="2"/>
      <c r="B873" s="2"/>
      <c r="C873" s="2"/>
      <c r="D873" s="2"/>
    </row>
    <row r="874" ht="12.75" customHeight="1">
      <c r="A874" s="2"/>
      <c r="B874" s="2"/>
      <c r="C874" s="2"/>
      <c r="D874" s="2"/>
    </row>
    <row r="875" ht="12.75" customHeight="1">
      <c r="A875" s="2"/>
      <c r="B875" s="2"/>
      <c r="C875" s="2"/>
      <c r="D875" s="2"/>
    </row>
    <row r="876" ht="12.75" customHeight="1">
      <c r="A876" s="2"/>
      <c r="B876" s="2"/>
      <c r="C876" s="2"/>
      <c r="D876" s="2"/>
    </row>
    <row r="877" ht="12.75" customHeight="1">
      <c r="A877" s="2"/>
      <c r="B877" s="2"/>
      <c r="C877" s="2"/>
      <c r="D877" s="2"/>
    </row>
    <row r="878" ht="12.75" customHeight="1">
      <c r="A878" s="2"/>
      <c r="B878" s="2"/>
      <c r="C878" s="2"/>
      <c r="D878" s="2"/>
    </row>
    <row r="879" ht="12.75" customHeight="1">
      <c r="A879" s="2"/>
      <c r="B879" s="2"/>
      <c r="C879" s="2"/>
      <c r="D879" s="2"/>
    </row>
    <row r="880" ht="12.75" customHeight="1">
      <c r="A880" s="2"/>
      <c r="B880" s="2"/>
      <c r="C880" s="2"/>
      <c r="D880" s="2"/>
    </row>
    <row r="881" ht="12.75" customHeight="1">
      <c r="A881" s="2"/>
      <c r="B881" s="2"/>
      <c r="C881" s="2"/>
      <c r="D881" s="2"/>
    </row>
    <row r="882" ht="12.75" customHeight="1">
      <c r="A882" s="2"/>
      <c r="B882" s="2"/>
      <c r="C882" s="2"/>
      <c r="D882" s="2"/>
    </row>
    <row r="883" ht="12.75" customHeight="1">
      <c r="A883" s="2"/>
      <c r="B883" s="2"/>
      <c r="C883" s="2"/>
      <c r="D883" s="2"/>
    </row>
    <row r="884" ht="12.75" customHeight="1">
      <c r="A884" s="2"/>
      <c r="B884" s="2"/>
      <c r="C884" s="2"/>
      <c r="D884" s="2"/>
    </row>
    <row r="885" ht="12.75" customHeight="1">
      <c r="A885" s="2"/>
      <c r="B885" s="2"/>
      <c r="C885" s="2"/>
      <c r="D885" s="2"/>
    </row>
    <row r="886" ht="12.75" customHeight="1">
      <c r="A886" s="2"/>
      <c r="B886" s="2"/>
      <c r="C886" s="2"/>
      <c r="D886" s="2"/>
    </row>
    <row r="887" ht="12.75" customHeight="1">
      <c r="A887" s="2"/>
      <c r="B887" s="2"/>
      <c r="C887" s="2"/>
      <c r="D887" s="2"/>
    </row>
    <row r="888" ht="12.75" customHeight="1">
      <c r="A888" s="2"/>
      <c r="B888" s="2"/>
      <c r="C888" s="2"/>
      <c r="D888" s="2"/>
    </row>
    <row r="889" ht="12.75" customHeight="1">
      <c r="A889" s="2"/>
      <c r="B889" s="2"/>
      <c r="C889" s="2"/>
      <c r="D889" s="2"/>
    </row>
    <row r="890" ht="12.75" customHeight="1">
      <c r="A890" s="2"/>
      <c r="B890" s="2"/>
      <c r="C890" s="2"/>
      <c r="D890" s="2"/>
    </row>
    <row r="891" ht="12.75" customHeight="1">
      <c r="A891" s="2"/>
      <c r="B891" s="2"/>
      <c r="C891" s="2"/>
      <c r="D891" s="2"/>
    </row>
    <row r="892" ht="12.75" customHeight="1">
      <c r="A892" s="2"/>
      <c r="B892" s="2"/>
      <c r="C892" s="2"/>
      <c r="D892" s="2"/>
    </row>
    <row r="893" ht="12.75" customHeight="1">
      <c r="A893" s="2"/>
      <c r="B893" s="2"/>
      <c r="C893" s="2"/>
      <c r="D893" s="2"/>
    </row>
    <row r="894" ht="12.75" customHeight="1">
      <c r="A894" s="2"/>
      <c r="B894" s="2"/>
      <c r="C894" s="2"/>
      <c r="D894" s="2"/>
    </row>
    <row r="895" ht="12.75" customHeight="1">
      <c r="A895" s="2"/>
      <c r="B895" s="2"/>
      <c r="C895" s="2"/>
      <c r="D895" s="2"/>
    </row>
    <row r="896" ht="12.75" customHeight="1">
      <c r="A896" s="2"/>
      <c r="B896" s="2"/>
      <c r="C896" s="2"/>
      <c r="D896" s="2"/>
    </row>
    <row r="897" ht="12.75" customHeight="1">
      <c r="A897" s="2"/>
      <c r="B897" s="2"/>
      <c r="C897" s="2"/>
      <c r="D897" s="2"/>
    </row>
    <row r="898" ht="12.75" customHeight="1">
      <c r="A898" s="2"/>
      <c r="B898" s="2"/>
      <c r="C898" s="2"/>
      <c r="D898" s="2"/>
    </row>
    <row r="899" ht="12.75" customHeight="1">
      <c r="A899" s="2"/>
      <c r="B899" s="2"/>
      <c r="C899" s="2"/>
      <c r="D899" s="2"/>
    </row>
    <row r="900" ht="12.75" customHeight="1">
      <c r="A900" s="2"/>
      <c r="B900" s="2"/>
      <c r="C900" s="2"/>
      <c r="D900" s="2"/>
    </row>
    <row r="901" ht="12.75" customHeight="1">
      <c r="A901" s="2"/>
      <c r="B901" s="2"/>
      <c r="C901" s="2"/>
      <c r="D901" s="2"/>
    </row>
    <row r="902" ht="12.75" customHeight="1">
      <c r="A902" s="2"/>
      <c r="B902" s="2"/>
      <c r="C902" s="2"/>
      <c r="D902" s="2"/>
    </row>
    <row r="903" ht="12.75" customHeight="1">
      <c r="A903" s="2"/>
      <c r="B903" s="2"/>
      <c r="C903" s="2"/>
      <c r="D903" s="2"/>
    </row>
    <row r="904" ht="12.75" customHeight="1">
      <c r="A904" s="2"/>
      <c r="B904" s="2"/>
      <c r="C904" s="2"/>
      <c r="D904" s="2"/>
    </row>
    <row r="905" ht="12.75" customHeight="1">
      <c r="A905" s="2"/>
      <c r="B905" s="2"/>
      <c r="C905" s="2"/>
      <c r="D905" s="2"/>
    </row>
    <row r="906" ht="12.75" customHeight="1">
      <c r="A906" s="2"/>
      <c r="B906" s="2"/>
      <c r="C906" s="2"/>
      <c r="D906" s="2"/>
    </row>
    <row r="907" ht="12.75" customHeight="1">
      <c r="A907" s="2"/>
      <c r="B907" s="2"/>
      <c r="C907" s="2"/>
      <c r="D907" s="2"/>
    </row>
    <row r="908" ht="12.75" customHeight="1">
      <c r="A908" s="2"/>
      <c r="B908" s="2"/>
      <c r="C908" s="2"/>
      <c r="D908" s="2"/>
    </row>
    <row r="909" ht="12.75" customHeight="1">
      <c r="A909" s="2"/>
      <c r="B909" s="2"/>
      <c r="C909" s="2"/>
      <c r="D909" s="2"/>
    </row>
    <row r="910" ht="12.75" customHeight="1">
      <c r="A910" s="2"/>
      <c r="B910" s="2"/>
      <c r="C910" s="2"/>
      <c r="D910" s="2"/>
    </row>
    <row r="911" ht="12.75" customHeight="1">
      <c r="A911" s="2"/>
      <c r="B911" s="2"/>
      <c r="C911" s="2"/>
      <c r="D911" s="2"/>
    </row>
    <row r="912" ht="12.75" customHeight="1">
      <c r="A912" s="2"/>
      <c r="B912" s="2"/>
      <c r="C912" s="2"/>
      <c r="D912" s="2"/>
    </row>
    <row r="913" ht="12.75" customHeight="1">
      <c r="A913" s="2"/>
      <c r="B913" s="2"/>
      <c r="C913" s="2"/>
      <c r="D913" s="2"/>
    </row>
    <row r="914" ht="12.75" customHeight="1">
      <c r="A914" s="2"/>
      <c r="B914" s="2"/>
      <c r="C914" s="2"/>
      <c r="D914" s="2"/>
    </row>
    <row r="915" ht="12.75" customHeight="1">
      <c r="A915" s="2"/>
      <c r="B915" s="2"/>
      <c r="C915" s="2"/>
      <c r="D915" s="2"/>
    </row>
    <row r="916" ht="12.75" customHeight="1">
      <c r="A916" s="2"/>
      <c r="B916" s="2"/>
      <c r="C916" s="2"/>
      <c r="D916" s="2"/>
    </row>
    <row r="917" ht="12.75" customHeight="1">
      <c r="A917" s="2"/>
      <c r="B917" s="2"/>
      <c r="C917" s="2"/>
      <c r="D917" s="2"/>
    </row>
    <row r="918" ht="12.75" customHeight="1">
      <c r="A918" s="2"/>
      <c r="B918" s="2"/>
      <c r="C918" s="2"/>
      <c r="D918" s="2"/>
    </row>
    <row r="919" ht="12.75" customHeight="1">
      <c r="A919" s="2"/>
      <c r="B919" s="2"/>
      <c r="C919" s="2"/>
      <c r="D919" s="2"/>
    </row>
    <row r="920" ht="12.75" customHeight="1">
      <c r="A920" s="2"/>
      <c r="B920" s="2"/>
      <c r="C920" s="2"/>
      <c r="D920" s="2"/>
    </row>
    <row r="921" ht="12.75" customHeight="1">
      <c r="A921" s="2"/>
      <c r="B921" s="2"/>
      <c r="C921" s="2"/>
      <c r="D921" s="2"/>
    </row>
    <row r="922" ht="12.75" customHeight="1">
      <c r="A922" s="2"/>
      <c r="B922" s="2"/>
      <c r="C922" s="2"/>
      <c r="D922" s="2"/>
    </row>
    <row r="923" ht="12.75" customHeight="1">
      <c r="A923" s="2"/>
      <c r="B923" s="2"/>
      <c r="C923" s="2"/>
      <c r="D923" s="2"/>
    </row>
    <row r="924" ht="12.75" customHeight="1">
      <c r="A924" s="2"/>
      <c r="B924" s="2"/>
      <c r="C924" s="2"/>
      <c r="D924" s="2"/>
    </row>
    <row r="925" ht="12.75" customHeight="1">
      <c r="A925" s="2"/>
      <c r="B925" s="2"/>
      <c r="C925" s="2"/>
      <c r="D925" s="2"/>
    </row>
    <row r="926" ht="12.75" customHeight="1">
      <c r="A926" s="2"/>
      <c r="B926" s="2"/>
      <c r="C926" s="2"/>
      <c r="D926" s="2"/>
    </row>
    <row r="927" ht="12.75" customHeight="1">
      <c r="A927" s="2"/>
      <c r="B927" s="2"/>
      <c r="C927" s="2"/>
      <c r="D927" s="2"/>
    </row>
    <row r="928" ht="12.75" customHeight="1">
      <c r="A928" s="2"/>
      <c r="B928" s="2"/>
      <c r="C928" s="2"/>
      <c r="D928" s="2"/>
    </row>
    <row r="929" ht="12.75" customHeight="1">
      <c r="A929" s="2"/>
      <c r="B929" s="2"/>
      <c r="C929" s="2"/>
      <c r="D929" s="2"/>
    </row>
    <row r="930" ht="12.75" customHeight="1">
      <c r="A930" s="2"/>
      <c r="B930" s="2"/>
      <c r="C930" s="2"/>
      <c r="D930" s="2"/>
    </row>
    <row r="931" ht="12.75" customHeight="1">
      <c r="A931" s="2"/>
      <c r="B931" s="2"/>
      <c r="C931" s="2"/>
      <c r="D931" s="2"/>
    </row>
    <row r="932" ht="12.75" customHeight="1">
      <c r="A932" s="2"/>
      <c r="B932" s="2"/>
      <c r="C932" s="2"/>
      <c r="D932" s="2"/>
    </row>
    <row r="933" ht="12.75" customHeight="1">
      <c r="A933" s="2"/>
      <c r="B933" s="2"/>
      <c r="C933" s="2"/>
      <c r="D933" s="2"/>
    </row>
    <row r="934" ht="12.75" customHeight="1">
      <c r="A934" s="2"/>
      <c r="B934" s="2"/>
      <c r="C934" s="2"/>
      <c r="D934" s="2"/>
    </row>
    <row r="935" ht="12.75" customHeight="1">
      <c r="A935" s="2"/>
      <c r="B935" s="2"/>
      <c r="C935" s="2"/>
      <c r="D935" s="2"/>
    </row>
    <row r="936" ht="12.75" customHeight="1">
      <c r="A936" s="2"/>
      <c r="B936" s="2"/>
      <c r="C936" s="2"/>
      <c r="D936" s="2"/>
    </row>
    <row r="937" ht="12.75" customHeight="1">
      <c r="A937" s="2"/>
      <c r="B937" s="2"/>
      <c r="C937" s="2"/>
      <c r="D937" s="2"/>
    </row>
    <row r="938" ht="12.75" customHeight="1">
      <c r="A938" s="2"/>
      <c r="B938" s="2"/>
      <c r="C938" s="2"/>
      <c r="D938" s="2"/>
    </row>
    <row r="939" ht="12.75" customHeight="1">
      <c r="A939" s="2"/>
      <c r="B939" s="2"/>
      <c r="C939" s="2"/>
      <c r="D939" s="2"/>
    </row>
    <row r="940" ht="12.75" customHeight="1">
      <c r="A940" s="2"/>
      <c r="B940" s="2"/>
      <c r="C940" s="2"/>
      <c r="D940" s="2"/>
    </row>
    <row r="941" ht="12.75" customHeight="1">
      <c r="A941" s="2"/>
      <c r="B941" s="2"/>
      <c r="C941" s="2"/>
      <c r="D941" s="2"/>
    </row>
    <row r="942" ht="12.75" customHeight="1">
      <c r="A942" s="2"/>
      <c r="B942" s="2"/>
      <c r="C942" s="2"/>
      <c r="D942" s="2"/>
    </row>
    <row r="943" ht="12.75" customHeight="1">
      <c r="A943" s="2"/>
      <c r="B943" s="2"/>
      <c r="C943" s="2"/>
      <c r="D943" s="2"/>
    </row>
    <row r="944" ht="12.75" customHeight="1">
      <c r="A944" s="2"/>
      <c r="B944" s="2"/>
      <c r="C944" s="2"/>
      <c r="D944" s="2"/>
    </row>
    <row r="945" ht="12.75" customHeight="1">
      <c r="A945" s="2"/>
      <c r="B945" s="2"/>
      <c r="C945" s="2"/>
      <c r="D945" s="2"/>
    </row>
    <row r="946" ht="12.75" customHeight="1">
      <c r="A946" s="2"/>
      <c r="B946" s="2"/>
      <c r="C946" s="2"/>
      <c r="D946" s="2"/>
    </row>
    <row r="947" ht="12.75" customHeight="1">
      <c r="A947" s="2"/>
      <c r="B947" s="2"/>
      <c r="C947" s="2"/>
      <c r="D947" s="2"/>
    </row>
    <row r="948" ht="12.75" customHeight="1">
      <c r="A948" s="2"/>
      <c r="B948" s="2"/>
      <c r="C948" s="2"/>
      <c r="D948" s="2"/>
    </row>
    <row r="949" ht="12.75" customHeight="1">
      <c r="A949" s="2"/>
      <c r="B949" s="2"/>
      <c r="C949" s="2"/>
      <c r="D949" s="2"/>
    </row>
    <row r="950" ht="12.75" customHeight="1">
      <c r="A950" s="2"/>
      <c r="B950" s="2"/>
      <c r="C950" s="2"/>
      <c r="D950" s="2"/>
    </row>
    <row r="951" ht="12.75" customHeight="1">
      <c r="A951" s="2"/>
      <c r="B951" s="2"/>
      <c r="C951" s="2"/>
      <c r="D951" s="2"/>
    </row>
    <row r="952" ht="12.75" customHeight="1">
      <c r="A952" s="2"/>
      <c r="B952" s="2"/>
      <c r="C952" s="2"/>
      <c r="D952" s="2"/>
    </row>
    <row r="953" ht="12.75" customHeight="1">
      <c r="A953" s="2"/>
      <c r="B953" s="2"/>
      <c r="C953" s="2"/>
      <c r="D953" s="2"/>
    </row>
    <row r="954" ht="12.75" customHeight="1">
      <c r="A954" s="2"/>
      <c r="B954" s="2"/>
      <c r="C954" s="2"/>
      <c r="D954" s="2"/>
    </row>
    <row r="955" ht="12.75" customHeight="1">
      <c r="A955" s="2"/>
      <c r="B955" s="2"/>
      <c r="C955" s="2"/>
      <c r="D955" s="2"/>
    </row>
    <row r="956" ht="12.75" customHeight="1">
      <c r="A956" s="2"/>
      <c r="B956" s="2"/>
      <c r="C956" s="2"/>
      <c r="D956" s="2"/>
    </row>
    <row r="957" ht="12.75" customHeight="1">
      <c r="A957" s="2"/>
      <c r="B957" s="2"/>
      <c r="C957" s="2"/>
      <c r="D957" s="2"/>
    </row>
    <row r="958" ht="12.75" customHeight="1">
      <c r="A958" s="2"/>
      <c r="B958" s="2"/>
      <c r="C958" s="2"/>
      <c r="D958" s="2"/>
    </row>
    <row r="959" ht="12.75" customHeight="1">
      <c r="A959" s="2"/>
      <c r="B959" s="2"/>
      <c r="C959" s="2"/>
      <c r="D959" s="2"/>
    </row>
    <row r="960" ht="12.75" customHeight="1">
      <c r="A960" s="2"/>
      <c r="B960" s="2"/>
      <c r="C960" s="2"/>
      <c r="D960" s="2"/>
    </row>
    <row r="961" ht="12.75" customHeight="1">
      <c r="A961" s="2"/>
      <c r="B961" s="2"/>
      <c r="C961" s="2"/>
      <c r="D961" s="2"/>
    </row>
    <row r="962" ht="12.75" customHeight="1">
      <c r="A962" s="2"/>
      <c r="B962" s="2"/>
      <c r="C962" s="2"/>
      <c r="D962" s="2"/>
    </row>
    <row r="963" ht="12.75" customHeight="1">
      <c r="A963" s="2"/>
      <c r="B963" s="2"/>
      <c r="C963" s="2"/>
      <c r="D963" s="2"/>
    </row>
    <row r="964" ht="12.75" customHeight="1">
      <c r="A964" s="2"/>
      <c r="B964" s="2"/>
      <c r="C964" s="2"/>
      <c r="D964" s="2"/>
    </row>
    <row r="965" ht="12.75" customHeight="1">
      <c r="A965" s="2"/>
      <c r="B965" s="2"/>
      <c r="C965" s="2"/>
      <c r="D965" s="2"/>
    </row>
    <row r="966" ht="12.75" customHeight="1">
      <c r="A966" s="2"/>
      <c r="B966" s="2"/>
      <c r="C966" s="2"/>
      <c r="D966" s="2"/>
    </row>
    <row r="967" ht="12.75" customHeight="1">
      <c r="A967" s="2"/>
      <c r="B967" s="2"/>
      <c r="C967" s="2"/>
      <c r="D967" s="2"/>
    </row>
    <row r="968" ht="12.75" customHeight="1">
      <c r="A968" s="2"/>
      <c r="B968" s="2"/>
      <c r="C968" s="2"/>
      <c r="D968" s="2"/>
    </row>
    <row r="969" ht="12.75" customHeight="1">
      <c r="A969" s="2"/>
      <c r="B969" s="2"/>
      <c r="C969" s="2"/>
      <c r="D969" s="2"/>
    </row>
    <row r="970" ht="12.75" customHeight="1">
      <c r="A970" s="2"/>
      <c r="B970" s="2"/>
      <c r="C970" s="2"/>
      <c r="D970" s="2"/>
    </row>
    <row r="971" ht="12.75" customHeight="1">
      <c r="A971" s="2"/>
      <c r="B971" s="2"/>
      <c r="C971" s="2"/>
      <c r="D971" s="2"/>
    </row>
    <row r="972" ht="12.75" customHeight="1">
      <c r="A972" s="2"/>
      <c r="B972" s="2"/>
      <c r="C972" s="2"/>
      <c r="D972" s="2"/>
    </row>
    <row r="973" ht="12.75" customHeight="1">
      <c r="A973" s="2"/>
      <c r="B973" s="2"/>
      <c r="C973" s="2"/>
      <c r="D973" s="2"/>
    </row>
    <row r="974" ht="12.75" customHeight="1">
      <c r="A974" s="2"/>
      <c r="B974" s="2"/>
      <c r="C974" s="2"/>
      <c r="D974" s="2"/>
    </row>
    <row r="975" ht="12.75" customHeight="1">
      <c r="A975" s="2"/>
      <c r="B975" s="2"/>
      <c r="C975" s="2"/>
      <c r="D975" s="2"/>
    </row>
    <row r="976" ht="12.75" customHeight="1">
      <c r="A976" s="2"/>
      <c r="B976" s="2"/>
      <c r="C976" s="2"/>
      <c r="D976" s="2"/>
    </row>
    <row r="977" ht="12.75" customHeight="1">
      <c r="A977" s="2"/>
      <c r="B977" s="2"/>
      <c r="C977" s="2"/>
      <c r="D977" s="2"/>
    </row>
    <row r="978" ht="12.75" customHeight="1">
      <c r="A978" s="2"/>
      <c r="B978" s="2"/>
      <c r="C978" s="2"/>
      <c r="D978" s="2"/>
    </row>
    <row r="979" ht="12.75" customHeight="1">
      <c r="A979" s="2"/>
      <c r="B979" s="2"/>
      <c r="C979" s="2"/>
      <c r="D979" s="2"/>
    </row>
    <row r="980" ht="12.75" customHeight="1">
      <c r="A980" s="2"/>
      <c r="B980" s="2"/>
      <c r="C980" s="2"/>
      <c r="D980" s="2"/>
    </row>
    <row r="981" ht="12.75" customHeight="1">
      <c r="A981" s="2"/>
      <c r="B981" s="2"/>
      <c r="C981" s="2"/>
      <c r="D981" s="2"/>
    </row>
    <row r="982" ht="12.75" customHeight="1">
      <c r="A982" s="2"/>
      <c r="B982" s="2"/>
      <c r="C982" s="2"/>
      <c r="D982" s="2"/>
    </row>
    <row r="983" ht="12.75" customHeight="1">
      <c r="A983" s="2"/>
      <c r="B983" s="2"/>
      <c r="C983" s="2"/>
      <c r="D983" s="2"/>
    </row>
    <row r="984" ht="12.75" customHeight="1">
      <c r="A984" s="2"/>
      <c r="B984" s="2"/>
      <c r="C984" s="2"/>
      <c r="D984" s="2"/>
    </row>
    <row r="985" ht="12.75" customHeight="1">
      <c r="A985" s="2"/>
      <c r="B985" s="2"/>
      <c r="C985" s="2"/>
      <c r="D985" s="2"/>
    </row>
    <row r="986" ht="12.75" customHeight="1">
      <c r="A986" s="2"/>
      <c r="B986" s="2"/>
      <c r="C986" s="2"/>
      <c r="D986" s="2"/>
    </row>
    <row r="987" ht="12.75" customHeight="1">
      <c r="A987" s="2"/>
      <c r="B987" s="2"/>
      <c r="C987" s="2"/>
      <c r="D987" s="2"/>
    </row>
    <row r="988" ht="12.75" customHeight="1">
      <c r="A988" s="2"/>
      <c r="B988" s="2"/>
      <c r="C988" s="2"/>
      <c r="D988" s="2"/>
    </row>
    <row r="989" ht="12.75" customHeight="1">
      <c r="A989" s="2"/>
      <c r="B989" s="2"/>
      <c r="C989" s="2"/>
      <c r="D989" s="2"/>
    </row>
    <row r="990" ht="12.75" customHeight="1">
      <c r="A990" s="2"/>
      <c r="B990" s="2"/>
      <c r="C990" s="2"/>
      <c r="D990" s="2"/>
    </row>
    <row r="991" ht="12.75" customHeight="1">
      <c r="A991" s="2"/>
      <c r="B991" s="2"/>
      <c r="C991" s="2"/>
      <c r="D991" s="2"/>
    </row>
    <row r="992" ht="12.75" customHeight="1">
      <c r="A992" s="2"/>
      <c r="B992" s="2"/>
      <c r="C992" s="2"/>
      <c r="D992" s="2"/>
    </row>
    <row r="993" ht="12.75" customHeight="1">
      <c r="A993" s="2"/>
      <c r="B993" s="2"/>
      <c r="C993" s="2"/>
      <c r="D993" s="2"/>
    </row>
    <row r="994" ht="12.75" customHeight="1">
      <c r="A994" s="2"/>
      <c r="B994" s="2"/>
      <c r="C994" s="2"/>
      <c r="D994" s="2"/>
    </row>
    <row r="995" ht="12.75" customHeight="1">
      <c r="A995" s="2"/>
      <c r="B995" s="2"/>
      <c r="C995" s="2"/>
      <c r="D995" s="2"/>
    </row>
    <row r="996" ht="12.75" customHeight="1">
      <c r="A996" s="2"/>
      <c r="B996" s="2"/>
      <c r="C996" s="2"/>
      <c r="D996" s="2"/>
    </row>
    <row r="997" ht="12.75" customHeight="1">
      <c r="A997" s="2"/>
      <c r="B997" s="2"/>
      <c r="C997" s="2"/>
      <c r="D997" s="2"/>
    </row>
    <row r="998" ht="12.75" customHeight="1">
      <c r="A998" s="2"/>
      <c r="B998" s="2"/>
      <c r="C998" s="2"/>
      <c r="D998" s="2"/>
    </row>
    <row r="999" ht="12.75" customHeight="1">
      <c r="A999" s="2"/>
      <c r="B999" s="2"/>
      <c r="C999" s="2"/>
      <c r="D999" s="2"/>
    </row>
    <row r="1000" ht="12.75" customHeight="1">
      <c r="A1000" s="2"/>
      <c r="B1000" s="2"/>
      <c r="C1000" s="2"/>
      <c r="D1000" s="2"/>
    </row>
  </sheetData>
  <mergeCells count="2">
    <mergeCell ref="A2:D2"/>
    <mergeCell ref="A3:D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3" width="8.0"/>
    <col customWidth="1" min="4" max="4" width="10.0"/>
    <col customWidth="1" min="5" max="26" width="8.0"/>
  </cols>
  <sheetData>
    <row r="1" ht="12.75" customHeight="1">
      <c r="D1" s="2"/>
    </row>
    <row r="2" ht="12.75" customHeight="1">
      <c r="D2" s="2"/>
    </row>
    <row r="3" ht="12.75" customHeight="1">
      <c r="D3" s="2">
        <v>3.20081025E8</v>
      </c>
      <c r="E3" s="2">
        <v>1.0</v>
      </c>
    </row>
    <row r="4" ht="12.75" customHeight="1">
      <c r="D4" s="2">
        <v>3.20081021E8</v>
      </c>
      <c r="E4" s="2">
        <v>2.0</v>
      </c>
    </row>
    <row r="5" ht="12.75" customHeight="1">
      <c r="D5" s="2">
        <v>3.20081019E8</v>
      </c>
      <c r="E5" s="2">
        <v>3.0</v>
      </c>
    </row>
    <row r="6" ht="12.75" customHeight="1">
      <c r="D6" s="2">
        <v>3.20081009E8</v>
      </c>
      <c r="E6" s="2">
        <v>4.0</v>
      </c>
    </row>
    <row r="7" ht="12.75" customHeight="1">
      <c r="D7" s="2">
        <v>3.20081017E8</v>
      </c>
      <c r="E7" s="2">
        <v>5.0</v>
      </c>
    </row>
    <row r="8" ht="12.75" customHeight="1">
      <c r="D8" s="2">
        <v>3.20081031E8</v>
      </c>
      <c r="E8" s="2">
        <v>6.0</v>
      </c>
    </row>
    <row r="9" ht="12.75" customHeight="1">
      <c r="D9" s="2">
        <v>3.20081028E8</v>
      </c>
      <c r="E9" s="2">
        <v>7.0</v>
      </c>
    </row>
    <row r="10" ht="12.75" customHeight="1">
      <c r="D10" s="2">
        <v>3.20080994E8</v>
      </c>
      <c r="E10" s="2">
        <v>8.0</v>
      </c>
    </row>
    <row r="11" ht="12.75" customHeight="1">
      <c r="D11" s="2">
        <v>3.20080992E8</v>
      </c>
      <c r="E11" s="2">
        <v>9.0</v>
      </c>
    </row>
    <row r="12" ht="12.75" customHeight="1">
      <c r="D12" s="2">
        <v>3.2008099E8</v>
      </c>
      <c r="E12" s="2">
        <v>10.0</v>
      </c>
    </row>
    <row r="13" ht="12.75" customHeight="1">
      <c r="D13" s="2">
        <v>3.20080999E8</v>
      </c>
      <c r="E13" s="2">
        <v>11.0</v>
      </c>
    </row>
    <row r="14" ht="12.75" customHeight="1">
      <c r="D14" s="2">
        <v>3.20081E8</v>
      </c>
      <c r="E14" s="2">
        <v>12.0</v>
      </c>
    </row>
    <row r="15" ht="12.75" customHeight="1">
      <c r="D15" s="2">
        <v>3.20080984E8</v>
      </c>
      <c r="E15" s="2">
        <v>13.0</v>
      </c>
    </row>
    <row r="16" ht="12.75" customHeight="1">
      <c r="D16" s="2">
        <v>3.20080989E8</v>
      </c>
      <c r="E16" s="2">
        <v>14.0</v>
      </c>
    </row>
    <row r="17" ht="12.75" customHeight="1">
      <c r="D17" s="2">
        <v>3.20080983E8</v>
      </c>
      <c r="E17" s="2">
        <v>15.0</v>
      </c>
    </row>
    <row r="18" ht="12.75" customHeight="1">
      <c r="D18" s="2">
        <v>3.2008098E8</v>
      </c>
      <c r="E18" s="2">
        <v>16.0</v>
      </c>
    </row>
    <row r="19" ht="12.75" customHeight="1">
      <c r="D19" s="2">
        <v>3.20080986E8</v>
      </c>
      <c r="E19" s="2">
        <v>17.0</v>
      </c>
    </row>
    <row r="20" ht="12.75" customHeight="1">
      <c r="D20" s="2">
        <v>3.20081026E8</v>
      </c>
      <c r="E20" s="2">
        <v>18.0</v>
      </c>
    </row>
    <row r="21" ht="12.75" customHeight="1">
      <c r="D21" s="2">
        <v>3.20081005E8</v>
      </c>
      <c r="E21" s="2">
        <v>19.0</v>
      </c>
    </row>
    <row r="22" ht="12.75" customHeight="1">
      <c r="D22" s="2">
        <v>3.20081014E8</v>
      </c>
      <c r="E22" s="2">
        <v>20.0</v>
      </c>
    </row>
    <row r="23" ht="12.75" customHeight="1">
      <c r="D23" s="2">
        <v>3.20081012E8</v>
      </c>
      <c r="E23" s="2">
        <v>21.0</v>
      </c>
    </row>
    <row r="24" ht="12.75" customHeight="1">
      <c r="D24" s="2">
        <v>3.20080997E8</v>
      </c>
      <c r="E24" s="2">
        <v>22.0</v>
      </c>
    </row>
    <row r="25" ht="12.75" customHeight="1">
      <c r="D25" s="2">
        <v>3.20081011E8</v>
      </c>
      <c r="E25" s="2">
        <v>23.0</v>
      </c>
    </row>
    <row r="26" ht="12.75" customHeight="1">
      <c r="D26" s="2">
        <v>3.20081006E8</v>
      </c>
      <c r="E26" s="2">
        <v>24.0</v>
      </c>
    </row>
    <row r="27" ht="12.75" customHeight="1">
      <c r="D27" s="2">
        <v>3.20081003E8</v>
      </c>
      <c r="E27" s="2">
        <v>25.0</v>
      </c>
    </row>
    <row r="28" ht="12.75" customHeight="1">
      <c r="D28" s="2">
        <v>3.20081023E8</v>
      </c>
      <c r="E28" s="2">
        <v>26.0</v>
      </c>
    </row>
    <row r="29" ht="12.75" customHeight="1">
      <c r="D29" s="2">
        <v>3.20081063E8</v>
      </c>
      <c r="E29" s="2">
        <v>27.0</v>
      </c>
    </row>
    <row r="30" ht="12.75" customHeight="1">
      <c r="D30" s="2">
        <v>3.20081064E8</v>
      </c>
      <c r="E30" s="2">
        <v>28.0</v>
      </c>
    </row>
    <row r="31" ht="12.75" customHeight="1">
      <c r="D31" s="2">
        <v>3.20081035E8</v>
      </c>
      <c r="E31" s="2">
        <v>29.0</v>
      </c>
    </row>
    <row r="32" ht="12.75" customHeight="1">
      <c r="D32" s="2">
        <v>3.20081051E8</v>
      </c>
      <c r="E32" s="2">
        <v>30.0</v>
      </c>
    </row>
    <row r="33" ht="12.75" customHeight="1">
      <c r="D33" s="2">
        <v>3.20081053E8</v>
      </c>
      <c r="E33" s="2">
        <v>31.0</v>
      </c>
    </row>
    <row r="34" ht="12.75" customHeight="1">
      <c r="D34" s="2">
        <v>3.20081041E8</v>
      </c>
      <c r="E34" s="2">
        <v>32.0</v>
      </c>
    </row>
    <row r="35" ht="12.75" customHeight="1">
      <c r="D35" s="2">
        <v>3.20081043E8</v>
      </c>
      <c r="E35" s="2">
        <v>33.0</v>
      </c>
    </row>
    <row r="36" ht="12.75" customHeight="1">
      <c r="D36" s="2">
        <v>3.20081045E8</v>
      </c>
      <c r="E36" s="2">
        <v>34.0</v>
      </c>
    </row>
    <row r="37" ht="12.75" customHeight="1">
      <c r="D37" s="2">
        <v>3.20081047E8</v>
      </c>
      <c r="E37" s="2">
        <v>35.0</v>
      </c>
    </row>
    <row r="38" ht="12.75" customHeight="1">
      <c r="D38" s="2">
        <v>3.20081071E8</v>
      </c>
      <c r="E38" s="2">
        <v>36.0</v>
      </c>
    </row>
    <row r="39" ht="12.75" customHeight="1">
      <c r="D39" s="2">
        <v>3.20081059E8</v>
      </c>
      <c r="E39" s="2">
        <v>37.0</v>
      </c>
    </row>
    <row r="40" ht="12.75" customHeight="1">
      <c r="D40" s="2">
        <v>3.20081036E8</v>
      </c>
      <c r="E40" s="2">
        <v>38.0</v>
      </c>
    </row>
    <row r="41" ht="12.75" customHeight="1">
      <c r="D41" s="2">
        <v>3.20081054E8</v>
      </c>
      <c r="E41" s="2">
        <v>39.0</v>
      </c>
    </row>
    <row r="42" ht="12.75" customHeight="1">
      <c r="D42" s="2">
        <v>3.20081057E8</v>
      </c>
      <c r="E42" s="2">
        <v>40.0</v>
      </c>
    </row>
    <row r="43" ht="12.75" customHeight="1">
      <c r="D43" s="2">
        <v>3.20081039E8</v>
      </c>
      <c r="E43" s="2">
        <v>41.0</v>
      </c>
    </row>
    <row r="44" ht="12.75" customHeight="1">
      <c r="D44" s="2">
        <v>3.20081032E8</v>
      </c>
      <c r="E44" s="2">
        <v>42.0</v>
      </c>
    </row>
    <row r="45" ht="12.75" customHeight="1">
      <c r="D45" s="2">
        <v>3.20081067E8</v>
      </c>
      <c r="E45" s="2">
        <v>43.0</v>
      </c>
    </row>
    <row r="46" ht="12.75" customHeight="1">
      <c r="D46" s="2">
        <v>3.20081068E8</v>
      </c>
      <c r="E46" s="2">
        <v>44.0</v>
      </c>
    </row>
    <row r="47" ht="12.75" customHeight="1">
      <c r="D47" s="2">
        <v>3.20081048E8</v>
      </c>
      <c r="E47" s="2">
        <v>45.0</v>
      </c>
    </row>
    <row r="48" ht="12.75" customHeight="1">
      <c r="D48" s="2">
        <v>3.2008106E8</v>
      </c>
      <c r="E48" s="2">
        <v>46.0</v>
      </c>
    </row>
    <row r="49" ht="12.75" customHeight="1">
      <c r="D49" s="2">
        <v>3.20083891E8</v>
      </c>
      <c r="E49" s="2">
        <v>47.0</v>
      </c>
    </row>
    <row r="50" ht="12.75" customHeight="1">
      <c r="D50" s="2">
        <v>3.20083902E8</v>
      </c>
      <c r="E50" s="2">
        <v>48.0</v>
      </c>
    </row>
    <row r="51" ht="12.75" customHeight="1">
      <c r="D51" s="2">
        <v>3.20083898E8</v>
      </c>
      <c r="E51" s="2">
        <v>49.0</v>
      </c>
    </row>
    <row r="52" ht="12.75" customHeight="1">
      <c r="D52" s="2">
        <v>3.20083899E8</v>
      </c>
      <c r="E52" s="2">
        <v>50.0</v>
      </c>
    </row>
    <row r="53" ht="12.75" customHeight="1">
      <c r="D53" s="2">
        <v>3.20083894E8</v>
      </c>
      <c r="E53" s="2">
        <v>51.0</v>
      </c>
    </row>
    <row r="54" ht="12.75" customHeight="1">
      <c r="D54" s="2">
        <v>3.20083895E8</v>
      </c>
      <c r="E54" s="2">
        <v>52.0</v>
      </c>
    </row>
    <row r="55" ht="12.75" customHeight="1">
      <c r="D55" s="2">
        <v>3.20083915E8</v>
      </c>
      <c r="E55" s="2">
        <v>53.0</v>
      </c>
    </row>
    <row r="56" ht="12.75" customHeight="1">
      <c r="D56" s="2">
        <v>3.20083913E8</v>
      </c>
      <c r="E56" s="2">
        <v>54.0</v>
      </c>
    </row>
    <row r="57" ht="12.75" customHeight="1">
      <c r="D57" s="2">
        <v>3.20083907E8</v>
      </c>
      <c r="E57" s="2">
        <v>55.0</v>
      </c>
    </row>
    <row r="58" ht="12.75" customHeight="1">
      <c r="D58" s="2">
        <v>3.20083904E8</v>
      </c>
      <c r="E58" s="2">
        <v>56.0</v>
      </c>
    </row>
    <row r="59" ht="12.75" customHeight="1">
      <c r="D59" s="2">
        <v>3.20083905E8</v>
      </c>
      <c r="E59" s="2">
        <v>57.0</v>
      </c>
    </row>
    <row r="60" ht="12.75" customHeight="1">
      <c r="D60" s="2">
        <v>3.20083912E8</v>
      </c>
      <c r="E60" s="2">
        <v>58.0</v>
      </c>
    </row>
    <row r="61" ht="12.75" customHeight="1">
      <c r="D61" s="2">
        <v>3.20083909E8</v>
      </c>
      <c r="E61" s="2">
        <v>59.0</v>
      </c>
    </row>
    <row r="62" ht="12.75" customHeight="1">
      <c r="D62" s="2">
        <v>3.20083917E8</v>
      </c>
      <c r="E62" s="2">
        <v>60.0</v>
      </c>
    </row>
    <row r="63" ht="12.75" customHeight="1">
      <c r="D63" s="2">
        <v>3.20083919E8</v>
      </c>
      <c r="E63" s="2">
        <v>61.0</v>
      </c>
    </row>
    <row r="64" ht="12.75" customHeight="1">
      <c r="D64" s="2">
        <v>3.20083922E8</v>
      </c>
      <c r="E64" s="2">
        <v>62.0</v>
      </c>
    </row>
    <row r="65" ht="12.75" customHeight="1">
      <c r="D65" s="2">
        <v>3.20083924E8</v>
      </c>
      <c r="E65" s="2">
        <v>63.0</v>
      </c>
    </row>
    <row r="66" ht="12.75" customHeight="1">
      <c r="D66" s="2">
        <v>3.20083939E8</v>
      </c>
      <c r="E66" s="2">
        <v>64.0</v>
      </c>
    </row>
    <row r="67" ht="12.75" customHeight="1">
      <c r="D67" s="2">
        <v>3.20083942E8</v>
      </c>
      <c r="E67" s="2">
        <v>65.0</v>
      </c>
    </row>
    <row r="68" ht="12.75" customHeight="1">
      <c r="D68" s="2">
        <v>3.20083944E8</v>
      </c>
      <c r="E68" s="2">
        <v>66.0</v>
      </c>
    </row>
    <row r="69" ht="12.75" customHeight="1">
      <c r="D69" s="2">
        <v>3.20083937E8</v>
      </c>
      <c r="E69" s="2">
        <v>67.0</v>
      </c>
    </row>
    <row r="70" ht="12.75" customHeight="1">
      <c r="D70" s="2">
        <v>3.20083936E8</v>
      </c>
      <c r="E70" s="2">
        <v>68.0</v>
      </c>
    </row>
    <row r="71" ht="12.75" customHeight="1">
      <c r="D71" s="2">
        <v>3.20083932E8</v>
      </c>
      <c r="E71" s="2">
        <v>69.0</v>
      </c>
    </row>
    <row r="72" ht="12.75" customHeight="1">
      <c r="D72" s="2">
        <v>3.20083934E8</v>
      </c>
      <c r="E72" s="2">
        <v>70.0</v>
      </c>
    </row>
    <row r="73" ht="12.75" customHeight="1">
      <c r="D73" s="2">
        <v>3.20083927E8</v>
      </c>
      <c r="E73" s="2">
        <v>71.0</v>
      </c>
    </row>
    <row r="74" ht="12.75" customHeight="1">
      <c r="D74" s="2">
        <v>3.2008393E8</v>
      </c>
      <c r="E74" s="2">
        <v>72.0</v>
      </c>
    </row>
    <row r="75" ht="12.75" customHeight="1">
      <c r="D75" s="2">
        <v>3.20083926E8</v>
      </c>
      <c r="E75" s="2">
        <v>73.0</v>
      </c>
    </row>
    <row r="76" ht="12.75" customHeight="1">
      <c r="D76" s="2">
        <v>3.20083964E8</v>
      </c>
      <c r="E76" s="2">
        <v>74.0</v>
      </c>
    </row>
    <row r="77" ht="12.75" customHeight="1">
      <c r="D77" s="2">
        <v>3.20083966E8</v>
      </c>
      <c r="E77" s="2">
        <v>75.0</v>
      </c>
    </row>
    <row r="78" ht="12.75" customHeight="1">
      <c r="D78" s="2">
        <v>3.20083967E8</v>
      </c>
      <c r="E78" s="2">
        <v>76.0</v>
      </c>
    </row>
    <row r="79" ht="12.75" customHeight="1">
      <c r="D79" s="2">
        <v>3.20083962E8</v>
      </c>
      <c r="E79" s="2">
        <v>77.0</v>
      </c>
    </row>
    <row r="80" ht="12.75" customHeight="1">
      <c r="D80" s="2">
        <v>3.20083959E8</v>
      </c>
      <c r="E80" s="2">
        <v>78.0</v>
      </c>
    </row>
    <row r="81" ht="12.75" customHeight="1">
      <c r="D81" s="2">
        <v>3.20084E8</v>
      </c>
      <c r="E81" s="2">
        <v>79.0</v>
      </c>
    </row>
    <row r="82" ht="12.75" customHeight="1">
      <c r="D82" s="2">
        <v>3.20083992E8</v>
      </c>
      <c r="E82" s="2">
        <v>80.0</v>
      </c>
    </row>
    <row r="83" ht="12.75" customHeight="1">
      <c r="D83" s="2">
        <v>3.20084005E8</v>
      </c>
      <c r="E83" s="2">
        <v>81.0</v>
      </c>
    </row>
    <row r="84" ht="12.75" customHeight="1">
      <c r="D84" s="2">
        <v>3.20084004E8</v>
      </c>
      <c r="E84" s="2">
        <v>82.0</v>
      </c>
    </row>
    <row r="85" ht="12.75" customHeight="1">
      <c r="D85" s="2">
        <v>3.20083998E8</v>
      </c>
      <c r="E85" s="2">
        <v>83.0</v>
      </c>
    </row>
    <row r="86" ht="12.75" customHeight="1">
      <c r="D86" s="2">
        <v>3.20083989E8</v>
      </c>
      <c r="E86" s="2">
        <v>84.0</v>
      </c>
    </row>
    <row r="87" ht="12.75" customHeight="1">
      <c r="D87" s="2">
        <v>3.20084009E8</v>
      </c>
      <c r="E87" s="2">
        <v>85.0</v>
      </c>
    </row>
    <row r="88" ht="12.75" customHeight="1">
      <c r="D88" s="2">
        <v>3.20083986E8</v>
      </c>
      <c r="E88" s="2">
        <v>86.0</v>
      </c>
    </row>
    <row r="89" ht="12.75" customHeight="1">
      <c r="D89" s="2">
        <v>3.20083996E8</v>
      </c>
      <c r="E89" s="2">
        <v>87.0</v>
      </c>
    </row>
    <row r="90" ht="12.75" customHeight="1">
      <c r="D90" s="2">
        <v>3.20084007E8</v>
      </c>
      <c r="E90" s="2">
        <v>88.0</v>
      </c>
    </row>
    <row r="91" ht="12.75" customHeight="1">
      <c r="D91" s="2">
        <v>3.20083993E8</v>
      </c>
      <c r="E91" s="2">
        <v>89.0</v>
      </c>
    </row>
    <row r="92" ht="12.75" customHeight="1">
      <c r="D92" s="2">
        <v>3.20084002E8</v>
      </c>
      <c r="E92" s="2">
        <v>90.0</v>
      </c>
    </row>
    <row r="93" ht="12.75" customHeight="1">
      <c r="D93" s="2">
        <v>3.20084076E8</v>
      </c>
      <c r="E93" s="2">
        <v>91.0</v>
      </c>
    </row>
    <row r="94" ht="12.75" customHeight="1">
      <c r="D94" s="2">
        <v>3.20084079E8</v>
      </c>
      <c r="E94" s="2">
        <v>92.0</v>
      </c>
    </row>
    <row r="95" ht="12.75" customHeight="1">
      <c r="D95" s="2">
        <v>3.20084081E8</v>
      </c>
      <c r="E95" s="2">
        <v>93.0</v>
      </c>
    </row>
    <row r="96" ht="12.75" customHeight="1">
      <c r="D96" s="2">
        <v>3.20084126E8</v>
      </c>
      <c r="E96" s="2">
        <v>94.0</v>
      </c>
    </row>
    <row r="97" ht="12.75" customHeight="1">
      <c r="D97" s="2">
        <v>3.20084131E8</v>
      </c>
      <c r="E97" s="2">
        <v>95.0</v>
      </c>
    </row>
    <row r="98" ht="12.75" customHeight="1">
      <c r="D98" s="2">
        <v>3.20084128E8</v>
      </c>
      <c r="E98" s="2">
        <v>96.0</v>
      </c>
    </row>
    <row r="99" ht="12.75" customHeight="1">
      <c r="D99" s="2">
        <v>3.20084129E8</v>
      </c>
      <c r="E99" s="2">
        <v>97.0</v>
      </c>
    </row>
    <row r="100" ht="12.75" customHeight="1">
      <c r="D100" s="2">
        <v>3.20084176E8</v>
      </c>
      <c r="E100" s="2">
        <v>98.0</v>
      </c>
    </row>
    <row r="101" ht="12.75" customHeight="1">
      <c r="D101" s="2">
        <v>3.20084174E8</v>
      </c>
      <c r="E101" s="2">
        <v>99.0</v>
      </c>
    </row>
    <row r="102" ht="12.75" customHeight="1">
      <c r="D102" s="2">
        <v>3.20084172E8</v>
      </c>
      <c r="E102" s="2">
        <v>100.0</v>
      </c>
    </row>
    <row r="103" ht="12.75" customHeight="1">
      <c r="D103" s="2">
        <v>3.20084165E8</v>
      </c>
      <c r="E103" s="2">
        <v>101.0</v>
      </c>
    </row>
    <row r="104" ht="12.75" customHeight="1">
      <c r="D104" s="2">
        <v>3.20084167E8</v>
      </c>
      <c r="E104" s="2">
        <v>102.0</v>
      </c>
    </row>
    <row r="105" ht="12.75" customHeight="1">
      <c r="D105" s="2">
        <v>3.20084171E8</v>
      </c>
      <c r="E105" s="2">
        <v>103.0</v>
      </c>
    </row>
    <row r="106" ht="12.75" customHeight="1">
      <c r="D106" s="2">
        <v>3.20084158E8</v>
      </c>
      <c r="E106" s="2">
        <v>104.0</v>
      </c>
    </row>
    <row r="107" ht="12.75" customHeight="1">
      <c r="D107" s="2">
        <v>3.20084161E8</v>
      </c>
      <c r="E107" s="2">
        <v>105.0</v>
      </c>
    </row>
    <row r="108" ht="12.75" customHeight="1">
      <c r="D108" s="2">
        <v>3.20084157E8</v>
      </c>
      <c r="E108" s="2">
        <v>106.0</v>
      </c>
    </row>
    <row r="109" ht="12.75" customHeight="1">
      <c r="D109" s="2">
        <v>3.20084162E8</v>
      </c>
      <c r="E109" s="2">
        <v>107.0</v>
      </c>
    </row>
    <row r="110" ht="12.75" customHeight="1">
      <c r="D110" s="2">
        <v>3.20084168E8</v>
      </c>
      <c r="E110" s="2">
        <v>108.0</v>
      </c>
    </row>
    <row r="111" ht="12.75" customHeight="1">
      <c r="D111" s="2">
        <v>3.2008418E8</v>
      </c>
      <c r="E111" s="2">
        <v>109.0</v>
      </c>
    </row>
    <row r="112" ht="12.75" customHeight="1">
      <c r="D112" s="2">
        <v>3.20084279E8</v>
      </c>
      <c r="E112" s="2">
        <v>110.0</v>
      </c>
    </row>
    <row r="113" ht="12.75" customHeight="1">
      <c r="D113" s="2">
        <v>3.20084401E8</v>
      </c>
      <c r="E113" s="2">
        <v>111.0</v>
      </c>
    </row>
    <row r="114" ht="12.75" customHeight="1">
      <c r="D114" s="2">
        <v>3.20084399E8</v>
      </c>
      <c r="E114" s="2">
        <v>112.0</v>
      </c>
    </row>
    <row r="115" ht="12.75" customHeight="1">
      <c r="D115" s="2">
        <v>3.20084405E8</v>
      </c>
      <c r="E115" s="2">
        <v>113.0</v>
      </c>
    </row>
    <row r="116" ht="12.75" customHeight="1">
      <c r="D116" s="2">
        <v>3.20084402E8</v>
      </c>
      <c r="E116" s="2">
        <v>114.0</v>
      </c>
    </row>
    <row r="117" ht="12.75" customHeight="1">
      <c r="D117" s="2">
        <v>3.20084734E8</v>
      </c>
      <c r="E117" s="2">
        <v>115.0</v>
      </c>
    </row>
    <row r="118" ht="12.75" customHeight="1">
      <c r="D118" s="2">
        <v>3.20084732E8</v>
      </c>
      <c r="E118" s="2">
        <v>116.0</v>
      </c>
    </row>
    <row r="119" ht="12.75" customHeight="1">
      <c r="D119" s="2">
        <v>3.2008473E8</v>
      </c>
      <c r="E119" s="2">
        <v>117.0</v>
      </c>
    </row>
    <row r="120" ht="12.75" customHeight="1">
      <c r="D120" s="2">
        <v>3.20084727E8</v>
      </c>
      <c r="E120" s="2">
        <v>118.0</v>
      </c>
    </row>
    <row r="121" ht="12.75" customHeight="1">
      <c r="D121" s="2">
        <v>3.20084723E8</v>
      </c>
      <c r="E121" s="2">
        <v>119.0</v>
      </c>
    </row>
    <row r="122" ht="12.75" customHeight="1">
      <c r="D122" s="2">
        <v>3.20084725E8</v>
      </c>
      <c r="E122" s="2">
        <v>120.0</v>
      </c>
    </row>
    <row r="123" ht="12.75" customHeight="1">
      <c r="D123" s="2">
        <v>3.20048903E8</v>
      </c>
      <c r="E123" s="2">
        <v>121.0</v>
      </c>
    </row>
    <row r="124" ht="12.75" customHeight="1">
      <c r="D124" s="2">
        <v>3.200489E8</v>
      </c>
      <c r="E124" s="2">
        <v>122.0</v>
      </c>
    </row>
    <row r="125" ht="12.75" customHeight="1">
      <c r="D125" s="2">
        <v>3.20050449E8</v>
      </c>
      <c r="E125" s="2">
        <v>123.0</v>
      </c>
    </row>
    <row r="126" ht="12.75" customHeight="1">
      <c r="D126" s="2">
        <v>3.20050487E8</v>
      </c>
      <c r="E126" s="2">
        <v>124.0</v>
      </c>
    </row>
    <row r="127" ht="12.75" customHeight="1">
      <c r="D127" s="2">
        <v>3.20050489E8</v>
      </c>
      <c r="E127" s="2">
        <v>125.0</v>
      </c>
    </row>
    <row r="128" ht="12.75" customHeight="1">
      <c r="D128" s="2">
        <v>3.20050485E8</v>
      </c>
      <c r="E128" s="2">
        <v>126.0</v>
      </c>
    </row>
    <row r="129" ht="12.75" customHeight="1">
      <c r="D129" s="2">
        <v>3.20050545E8</v>
      </c>
      <c r="E129" s="2">
        <v>127.0</v>
      </c>
    </row>
    <row r="130" ht="12.75" customHeight="1">
      <c r="D130" s="2">
        <v>3.20050575E8</v>
      </c>
      <c r="E130" s="2">
        <v>128.0</v>
      </c>
    </row>
    <row r="131" ht="12.75" customHeight="1">
      <c r="D131" s="2">
        <v>3.20050577E8</v>
      </c>
      <c r="E131" s="2">
        <v>129.0</v>
      </c>
    </row>
    <row r="132" ht="12.75" customHeight="1">
      <c r="D132" s="2">
        <v>3.2005061E8</v>
      </c>
      <c r="E132" s="2">
        <v>130.0</v>
      </c>
    </row>
    <row r="133" ht="12.75" customHeight="1">
      <c r="D133" s="2">
        <v>3.20050608E8</v>
      </c>
      <c r="E133" s="2">
        <v>131.0</v>
      </c>
    </row>
    <row r="134" ht="12.75" customHeight="1">
      <c r="D134" s="2">
        <v>3.20050615E8</v>
      </c>
      <c r="E134" s="2">
        <v>132.0</v>
      </c>
    </row>
    <row r="135" ht="12.75" customHeight="1">
      <c r="D135" s="2">
        <v>3.20050618E8</v>
      </c>
      <c r="E135" s="2">
        <v>133.0</v>
      </c>
    </row>
    <row r="136" ht="12.75" customHeight="1">
      <c r="D136" s="2">
        <v>3.20050617E8</v>
      </c>
      <c r="E136" s="2">
        <v>134.0</v>
      </c>
    </row>
    <row r="137" ht="12.75" customHeight="1">
      <c r="D137" s="2">
        <v>3.2005062E8</v>
      </c>
      <c r="E137" s="2">
        <v>135.0</v>
      </c>
    </row>
    <row r="138" ht="12.75" customHeight="1">
      <c r="D138" s="2">
        <v>3.20050621E8</v>
      </c>
      <c r="E138" s="2">
        <v>136.0</v>
      </c>
    </row>
    <row r="139" ht="12.75" customHeight="1">
      <c r="D139" s="2">
        <v>3.20050623E8</v>
      </c>
      <c r="E139" s="2">
        <v>137.0</v>
      </c>
    </row>
    <row r="140" ht="12.75" customHeight="1">
      <c r="D140" s="2">
        <v>3.20050624E8</v>
      </c>
      <c r="E140" s="2">
        <v>138.0</v>
      </c>
    </row>
    <row r="141" ht="12.75" customHeight="1">
      <c r="D141" s="2">
        <v>3.20050645E8</v>
      </c>
      <c r="E141" s="2">
        <v>139.0</v>
      </c>
    </row>
    <row r="142" ht="12.75" customHeight="1">
      <c r="D142" s="2">
        <v>3.20050647E8</v>
      </c>
      <c r="E142" s="2">
        <v>140.0</v>
      </c>
    </row>
    <row r="143" ht="12.75" customHeight="1">
      <c r="D143" s="2">
        <v>3.2005071E8</v>
      </c>
      <c r="E143" s="2">
        <v>141.0</v>
      </c>
    </row>
    <row r="144" ht="12.75" customHeight="1">
      <c r="D144" s="2">
        <v>3.20050723E8</v>
      </c>
      <c r="E144" s="2">
        <v>142.0</v>
      </c>
    </row>
    <row r="145" ht="12.75" customHeight="1">
      <c r="D145" s="2">
        <v>3.20050722E8</v>
      </c>
      <c r="E145" s="2">
        <v>143.0</v>
      </c>
    </row>
    <row r="146" ht="12.75" customHeight="1">
      <c r="D146" s="2">
        <v>3.2005072E8</v>
      </c>
      <c r="E146" s="2">
        <v>144.0</v>
      </c>
    </row>
    <row r="147" ht="12.75" customHeight="1">
      <c r="D147" s="2">
        <v>3.20050719E8</v>
      </c>
      <c r="E147" s="2">
        <v>145.0</v>
      </c>
    </row>
    <row r="148" ht="12.75" customHeight="1">
      <c r="D148" s="2">
        <v>3.20051582E8</v>
      </c>
      <c r="E148" s="2">
        <v>146.0</v>
      </c>
    </row>
    <row r="149" ht="12.75" customHeight="1">
      <c r="D149" s="2">
        <v>3.20051584E8</v>
      </c>
      <c r="E149" s="2">
        <v>147.0</v>
      </c>
    </row>
    <row r="150" ht="12.75" customHeight="1">
      <c r="D150" s="2">
        <v>3.20052414E8</v>
      </c>
      <c r="E150" s="2">
        <v>148.0</v>
      </c>
    </row>
    <row r="151" ht="12.75" customHeight="1">
      <c r="D151" s="2">
        <v>3.20052413E8</v>
      </c>
      <c r="E151" s="2">
        <v>149.0</v>
      </c>
    </row>
    <row r="152" ht="12.75" customHeight="1">
      <c r="D152" s="2">
        <v>3.20052412E8</v>
      </c>
      <c r="E152" s="2">
        <v>150.0</v>
      </c>
    </row>
    <row r="153" ht="12.75" customHeight="1">
      <c r="D153" s="2">
        <v>3.20052411E8</v>
      </c>
      <c r="E153" s="2">
        <v>151.0</v>
      </c>
    </row>
    <row r="154" ht="12.75" customHeight="1">
      <c r="D154" s="2">
        <v>3.20052404E8</v>
      </c>
      <c r="E154" s="2">
        <v>152.0</v>
      </c>
    </row>
    <row r="155" ht="12.75" customHeight="1">
      <c r="D155" s="2">
        <v>3.20052407E8</v>
      </c>
      <c r="E155" s="2">
        <v>153.0</v>
      </c>
    </row>
    <row r="156" ht="12.75" customHeight="1">
      <c r="D156" s="2">
        <v>3.20052409E8</v>
      </c>
      <c r="E156" s="2">
        <v>154.0</v>
      </c>
    </row>
    <row r="157" ht="12.75" customHeight="1">
      <c r="D157" s="2">
        <v>3.20052406E8</v>
      </c>
      <c r="E157" s="2">
        <v>155.0</v>
      </c>
    </row>
    <row r="158" ht="12.75" customHeight="1">
      <c r="D158" s="2">
        <v>3.2005239E8</v>
      </c>
      <c r="E158" s="2">
        <v>156.0</v>
      </c>
    </row>
    <row r="159" ht="12.75" customHeight="1">
      <c r="D159" s="2">
        <v>3.20052391E8</v>
      </c>
      <c r="E159" s="2">
        <v>157.0</v>
      </c>
    </row>
    <row r="160" ht="12.75" customHeight="1">
      <c r="D160" s="2">
        <v>3.200524E8</v>
      </c>
      <c r="E160" s="2">
        <v>158.0</v>
      </c>
    </row>
    <row r="161" ht="12.75" customHeight="1">
      <c r="D161" s="2">
        <v>3.20052402E8</v>
      </c>
      <c r="E161" s="2">
        <v>159.0</v>
      </c>
    </row>
    <row r="162" ht="12.75" customHeight="1">
      <c r="D162" s="2">
        <v>3.20052399E8</v>
      </c>
      <c r="E162" s="2">
        <v>160.0</v>
      </c>
    </row>
    <row r="163" ht="12.75" customHeight="1">
      <c r="D163" s="2">
        <v>3.20052398E8</v>
      </c>
      <c r="E163" s="2">
        <v>161.0</v>
      </c>
    </row>
    <row r="164" ht="12.75" customHeight="1">
      <c r="D164" s="2">
        <v>3.20052396E8</v>
      </c>
      <c r="E164" s="2">
        <v>162.0</v>
      </c>
    </row>
    <row r="165" ht="12.75" customHeight="1">
      <c r="D165" s="2">
        <v>3.20052395E8</v>
      </c>
      <c r="E165" s="2">
        <v>163.0</v>
      </c>
    </row>
    <row r="166" ht="12.75" customHeight="1">
      <c r="D166" s="2">
        <v>3.20052393E8</v>
      </c>
      <c r="E166" s="2">
        <v>164.0</v>
      </c>
    </row>
    <row r="167" ht="12.75" customHeight="1">
      <c r="D167" s="2">
        <v>3.20052392E8</v>
      </c>
      <c r="E167" s="2">
        <v>165.0</v>
      </c>
    </row>
    <row r="168" ht="12.75" customHeight="1">
      <c r="D168" s="2">
        <v>3.20052418E8</v>
      </c>
      <c r="E168" s="2">
        <v>166.0</v>
      </c>
    </row>
    <row r="169" ht="12.75" customHeight="1">
      <c r="D169" s="2">
        <v>3.20052417E8</v>
      </c>
      <c r="E169" s="2">
        <v>167.0</v>
      </c>
    </row>
    <row r="170" ht="12.75" customHeight="1">
      <c r="D170" s="2">
        <v>3.2005242E8</v>
      </c>
      <c r="E170" s="2">
        <v>168.0</v>
      </c>
    </row>
    <row r="171" ht="12.75" customHeight="1">
      <c r="D171" s="2">
        <v>3.20052421E8</v>
      </c>
      <c r="E171" s="2">
        <v>169.0</v>
      </c>
    </row>
    <row r="172" ht="12.75" customHeight="1">
      <c r="D172" s="2">
        <v>3.20052428E8</v>
      </c>
      <c r="E172" s="2">
        <v>170.0</v>
      </c>
    </row>
    <row r="173" ht="12.75" customHeight="1">
      <c r="D173" s="2">
        <v>3.2005243E8</v>
      </c>
      <c r="E173" s="2">
        <v>171.0</v>
      </c>
    </row>
    <row r="174" ht="12.75" customHeight="1">
      <c r="D174" s="2">
        <v>3.20052432E8</v>
      </c>
      <c r="E174" s="2">
        <v>172.0</v>
      </c>
    </row>
    <row r="175" ht="12.75" customHeight="1">
      <c r="D175" s="2">
        <v>3.20052431E8</v>
      </c>
      <c r="E175" s="2">
        <v>173.0</v>
      </c>
    </row>
    <row r="176" ht="12.75" customHeight="1">
      <c r="D176" s="2">
        <v>3.20052435E8</v>
      </c>
      <c r="E176" s="2">
        <v>174.0</v>
      </c>
    </row>
    <row r="177" ht="12.75" customHeight="1">
      <c r="D177" s="2">
        <v>3.20052433E8</v>
      </c>
      <c r="E177" s="2">
        <v>175.0</v>
      </c>
    </row>
    <row r="178" ht="12.75" customHeight="1">
      <c r="D178" s="2">
        <v>3.20052438E8</v>
      </c>
      <c r="E178" s="2">
        <v>176.0</v>
      </c>
    </row>
    <row r="179" ht="12.75" customHeight="1">
      <c r="D179" s="2">
        <v>3.20052437E8</v>
      </c>
      <c r="E179" s="2">
        <v>177.0</v>
      </c>
    </row>
    <row r="180" ht="12.75" customHeight="1">
      <c r="D180" s="2">
        <v>3.20052426E8</v>
      </c>
      <c r="E180" s="2">
        <v>178.0</v>
      </c>
    </row>
    <row r="181" ht="12.75" customHeight="1">
      <c r="D181" s="2">
        <v>3.20052425E8</v>
      </c>
      <c r="E181" s="2">
        <v>179.0</v>
      </c>
    </row>
    <row r="182" ht="12.75" customHeight="1">
      <c r="D182" s="2">
        <v>3.20052423E8</v>
      </c>
      <c r="E182" s="2">
        <v>180.0</v>
      </c>
    </row>
    <row r="183" ht="12.75" customHeight="1">
      <c r="D183" s="2">
        <v>3.20052424E8</v>
      </c>
      <c r="E183" s="2">
        <v>181.0</v>
      </c>
    </row>
    <row r="184" ht="12.75" customHeight="1">
      <c r="D184" s="2">
        <v>3.20052442E8</v>
      </c>
      <c r="E184" s="2">
        <v>182.0</v>
      </c>
    </row>
    <row r="185" ht="12.75" customHeight="1">
      <c r="D185" s="2">
        <v>3.2005244E8</v>
      </c>
      <c r="E185" s="2">
        <v>183.0</v>
      </c>
    </row>
    <row r="186" ht="12.75" customHeight="1">
      <c r="D186" s="2">
        <v>3.20052444E8</v>
      </c>
      <c r="E186" s="2">
        <v>184.0</v>
      </c>
    </row>
    <row r="187" ht="12.75" customHeight="1">
      <c r="D187" s="2">
        <v>3.20052443E8</v>
      </c>
      <c r="E187" s="2">
        <v>185.0</v>
      </c>
    </row>
    <row r="188" ht="12.75" customHeight="1">
      <c r="D188" s="2">
        <v>3.20052448E8</v>
      </c>
      <c r="E188" s="2">
        <v>186.0</v>
      </c>
    </row>
    <row r="189" ht="12.75" customHeight="1">
      <c r="D189" s="2">
        <v>3.20052446E8</v>
      </c>
      <c r="E189" s="2">
        <v>187.0</v>
      </c>
    </row>
    <row r="190" ht="12.75" customHeight="1">
      <c r="D190" s="2">
        <v>3.2005245E8</v>
      </c>
      <c r="E190" s="2">
        <v>188.0</v>
      </c>
    </row>
    <row r="191" ht="12.75" customHeight="1">
      <c r="D191" s="2">
        <v>3.20052449E8</v>
      </c>
      <c r="E191" s="2">
        <v>189.0</v>
      </c>
    </row>
    <row r="192" ht="12.75" customHeight="1">
      <c r="D192" s="2">
        <v>3.20052453E8</v>
      </c>
      <c r="E192" s="2">
        <v>190.0</v>
      </c>
    </row>
    <row r="193" ht="12.75" customHeight="1">
      <c r="D193" s="2">
        <v>3.20052452E8</v>
      </c>
      <c r="E193" s="2">
        <v>191.0</v>
      </c>
    </row>
    <row r="194" ht="12.75" customHeight="1">
      <c r="D194" s="2">
        <v>3.20052456E8</v>
      </c>
      <c r="E194" s="2">
        <v>192.0</v>
      </c>
    </row>
    <row r="195" ht="12.75" customHeight="1">
      <c r="D195" s="2">
        <v>3.20052455E8</v>
      </c>
      <c r="E195" s="2">
        <v>193.0</v>
      </c>
    </row>
    <row r="196" ht="12.75" customHeight="1">
      <c r="D196" s="2">
        <v>3.20052475E8</v>
      </c>
      <c r="E196" s="2">
        <v>194.0</v>
      </c>
    </row>
    <row r="197" ht="12.75" customHeight="1">
      <c r="D197" s="2">
        <v>3.20052474E8</v>
      </c>
      <c r="E197" s="2">
        <v>195.0</v>
      </c>
    </row>
    <row r="198" ht="12.75" customHeight="1">
      <c r="D198" s="2">
        <v>3.20052483E8</v>
      </c>
      <c r="E198" s="2">
        <v>196.0</v>
      </c>
    </row>
    <row r="199" ht="12.75" customHeight="1">
      <c r="D199" s="2">
        <v>3.20052484E8</v>
      </c>
      <c r="E199" s="2">
        <v>197.0</v>
      </c>
    </row>
    <row r="200" ht="12.75" customHeight="1">
      <c r="D200" s="2">
        <v>3.20052477E8</v>
      </c>
      <c r="E200" s="2">
        <v>198.0</v>
      </c>
    </row>
    <row r="201" ht="12.75" customHeight="1">
      <c r="D201" s="2">
        <v>3.20052476E8</v>
      </c>
      <c r="E201" s="2">
        <v>199.0</v>
      </c>
    </row>
    <row r="202" ht="12.75" customHeight="1">
      <c r="D202" s="2">
        <v>3.20052479E8</v>
      </c>
      <c r="E202" s="2">
        <v>200.0</v>
      </c>
    </row>
    <row r="203" ht="12.75" customHeight="1">
      <c r="D203" s="2">
        <v>3.2005248E8</v>
      </c>
      <c r="E203" s="2">
        <v>201.0</v>
      </c>
    </row>
    <row r="204" ht="12.75" customHeight="1">
      <c r="D204" s="2">
        <v>3.20052485E8</v>
      </c>
      <c r="E204" s="2">
        <v>202.0</v>
      </c>
    </row>
    <row r="205" ht="12.75" customHeight="1">
      <c r="D205" s="2">
        <v>3.20052486E8</v>
      </c>
      <c r="E205" s="2">
        <v>203.0</v>
      </c>
    </row>
    <row r="206" ht="12.75" customHeight="1">
      <c r="D206" s="2">
        <v>3.2005247E8</v>
      </c>
      <c r="E206" s="2">
        <v>204.0</v>
      </c>
    </row>
    <row r="207" ht="12.75" customHeight="1">
      <c r="D207" s="2">
        <v>3.20052471E8</v>
      </c>
      <c r="E207" s="2">
        <v>205.0</v>
      </c>
    </row>
    <row r="208" ht="12.75" customHeight="1">
      <c r="D208" s="2">
        <v>3.20052461E8</v>
      </c>
      <c r="E208" s="2">
        <v>206.0</v>
      </c>
    </row>
    <row r="209" ht="12.75" customHeight="1">
      <c r="D209" s="2">
        <v>3.20052463E8</v>
      </c>
      <c r="E209" s="2">
        <v>207.0</v>
      </c>
    </row>
    <row r="210" ht="12.75" customHeight="1">
      <c r="D210" s="2">
        <v>3.20052458E8</v>
      </c>
      <c r="E210" s="2">
        <v>208.0</v>
      </c>
    </row>
    <row r="211" ht="12.75" customHeight="1">
      <c r="D211" s="2">
        <v>3.2005246E8</v>
      </c>
      <c r="E211" s="2">
        <v>209.0</v>
      </c>
    </row>
    <row r="212" ht="12.75" customHeight="1">
      <c r="D212" s="2">
        <v>3.20052465E8</v>
      </c>
      <c r="E212" s="2">
        <v>210.0</v>
      </c>
    </row>
    <row r="213" ht="12.75" customHeight="1">
      <c r="D213" s="2">
        <v>3.20052464E8</v>
      </c>
      <c r="E213" s="2">
        <v>211.0</v>
      </c>
    </row>
    <row r="214" ht="12.75" customHeight="1">
      <c r="D214" s="2">
        <v>3.20052468E8</v>
      </c>
      <c r="E214" s="2">
        <v>212.0</v>
      </c>
    </row>
    <row r="215" ht="12.75" customHeight="1">
      <c r="D215" s="2">
        <v>3.20052469E8</v>
      </c>
      <c r="E215" s="2">
        <v>213.0</v>
      </c>
    </row>
    <row r="216" ht="12.75" customHeight="1">
      <c r="D216" s="2">
        <v>3.20052492E8</v>
      </c>
      <c r="E216" s="2">
        <v>214.0</v>
      </c>
    </row>
    <row r="217" ht="12.75" customHeight="1">
      <c r="D217" s="2">
        <v>3.20052491E8</v>
      </c>
      <c r="E217" s="2">
        <v>215.0</v>
      </c>
    </row>
    <row r="218" ht="12.75" customHeight="1">
      <c r="D218" s="2">
        <v>3.20052498E8</v>
      </c>
      <c r="E218" s="2">
        <v>216.0</v>
      </c>
    </row>
    <row r="219" ht="12.75" customHeight="1">
      <c r="D219" s="2">
        <v>3.20052499E8</v>
      </c>
      <c r="E219" s="2">
        <v>217.0</v>
      </c>
    </row>
    <row r="220" ht="12.75" customHeight="1">
      <c r="D220" s="2">
        <v>3.20052488E8</v>
      </c>
      <c r="E220" s="2">
        <v>218.0</v>
      </c>
    </row>
    <row r="221" ht="12.75" customHeight="1">
      <c r="D221" s="2">
        <v>3.20052489E8</v>
      </c>
      <c r="E221" s="2">
        <v>219.0</v>
      </c>
    </row>
    <row r="222" ht="12.75" customHeight="1">
      <c r="D222" s="2">
        <v>3.20052509E8</v>
      </c>
      <c r="E222" s="2">
        <v>220.0</v>
      </c>
    </row>
    <row r="223" ht="12.75" customHeight="1">
      <c r="D223" s="2">
        <v>3.20052511E8</v>
      </c>
      <c r="E223" s="2">
        <v>221.0</v>
      </c>
    </row>
    <row r="224" ht="12.75" customHeight="1">
      <c r="D224" s="2">
        <v>3.20052504E8</v>
      </c>
      <c r="E224" s="2">
        <v>222.0</v>
      </c>
    </row>
    <row r="225" ht="12.75" customHeight="1">
      <c r="D225" s="2">
        <v>3.20052505E8</v>
      </c>
      <c r="E225" s="2">
        <v>223.0</v>
      </c>
    </row>
    <row r="226" ht="12.75" customHeight="1">
      <c r="D226" s="2">
        <v>3.20052507E8</v>
      </c>
      <c r="E226" s="2">
        <v>224.0</v>
      </c>
    </row>
    <row r="227" ht="12.75" customHeight="1">
      <c r="D227" s="2">
        <v>3.20052508E8</v>
      </c>
      <c r="E227" s="2">
        <v>225.0</v>
      </c>
    </row>
    <row r="228" ht="12.75" customHeight="1">
      <c r="D228" s="2">
        <v>3.20052502E8</v>
      </c>
      <c r="E228" s="2">
        <v>226.0</v>
      </c>
    </row>
    <row r="229" ht="12.75" customHeight="1">
      <c r="D229" s="2">
        <v>3.200525E8</v>
      </c>
      <c r="E229" s="2">
        <v>227.0</v>
      </c>
    </row>
    <row r="230" ht="12.75" customHeight="1">
      <c r="D230" s="2">
        <v>3.20052496E8</v>
      </c>
      <c r="E230" s="2">
        <v>228.0</v>
      </c>
    </row>
    <row r="231" ht="12.75" customHeight="1">
      <c r="D231" s="2">
        <v>3.20052495E8</v>
      </c>
      <c r="E231" s="2">
        <v>229.0</v>
      </c>
    </row>
    <row r="232" ht="12.75" customHeight="1">
      <c r="D232" s="2">
        <v>3.20052518E8</v>
      </c>
      <c r="E232" s="2">
        <v>230.0</v>
      </c>
    </row>
    <row r="233" ht="12.75" customHeight="1">
      <c r="D233" s="2">
        <v>3.20052519E8</v>
      </c>
      <c r="E233" s="2">
        <v>231.0</v>
      </c>
    </row>
    <row r="234" ht="12.75" customHeight="1">
      <c r="D234" s="2">
        <v>3.20052515E8</v>
      </c>
      <c r="E234" s="2">
        <v>232.0</v>
      </c>
    </row>
    <row r="235" ht="12.75" customHeight="1">
      <c r="D235" s="2">
        <v>3.20052516E8</v>
      </c>
      <c r="E235" s="2">
        <v>233.0</v>
      </c>
    </row>
    <row r="236" ht="12.75" customHeight="1">
      <c r="D236" s="2">
        <v>3.20052525E8</v>
      </c>
      <c r="E236" s="2">
        <v>234.0</v>
      </c>
    </row>
    <row r="237" ht="12.75" customHeight="1">
      <c r="D237" s="2">
        <v>3.20052526E8</v>
      </c>
      <c r="E237" s="2">
        <v>235.0</v>
      </c>
    </row>
    <row r="238" ht="12.75" customHeight="1">
      <c r="D238" s="2">
        <v>3.20052514E8</v>
      </c>
      <c r="E238" s="2">
        <v>236.0</v>
      </c>
    </row>
    <row r="239" ht="12.75" customHeight="1">
      <c r="D239" s="2">
        <v>3.20052512E8</v>
      </c>
      <c r="E239" s="2">
        <v>237.0</v>
      </c>
    </row>
    <row r="240" ht="12.75" customHeight="1">
      <c r="D240" s="2">
        <v>3.20052522E8</v>
      </c>
      <c r="E240" s="2">
        <v>238.0</v>
      </c>
    </row>
    <row r="241" ht="12.75" customHeight="1">
      <c r="D241" s="2">
        <v>3.20052523E8</v>
      </c>
      <c r="E241" s="2">
        <v>239.0</v>
      </c>
    </row>
    <row r="242" ht="12.75" customHeight="1">
      <c r="D242" s="2">
        <v>3.20052528E8</v>
      </c>
      <c r="E242" s="2">
        <v>240.0</v>
      </c>
    </row>
    <row r="243" ht="12.75" customHeight="1">
      <c r="D243" s="2">
        <v>3.20052529E8</v>
      </c>
      <c r="E243" s="2">
        <v>241.0</v>
      </c>
    </row>
    <row r="244" ht="12.75" customHeight="1">
      <c r="D244" s="2">
        <v>3.20052595E8</v>
      </c>
      <c r="E244" s="2">
        <v>242.0</v>
      </c>
    </row>
    <row r="245" ht="12.75" customHeight="1">
      <c r="D245" s="2">
        <v>3.20052596E8</v>
      </c>
      <c r="E245" s="2">
        <v>243.0</v>
      </c>
    </row>
    <row r="246" ht="12.75" customHeight="1">
      <c r="D246" s="2">
        <v>3.2005259E8</v>
      </c>
      <c r="E246" s="2">
        <v>244.0</v>
      </c>
    </row>
    <row r="247" ht="12.75" customHeight="1">
      <c r="D247" s="2">
        <v>3.20052589E8</v>
      </c>
      <c r="E247" s="2">
        <v>245.0</v>
      </c>
    </row>
    <row r="248" ht="12.75" customHeight="1">
      <c r="D248" s="2">
        <v>3.20052593E8</v>
      </c>
      <c r="E248" s="2">
        <v>246.0</v>
      </c>
    </row>
    <row r="249" ht="12.75" customHeight="1">
      <c r="D249" s="2">
        <v>3.20052592E8</v>
      </c>
      <c r="E249" s="2">
        <v>247.0</v>
      </c>
    </row>
    <row r="250" ht="12.75" customHeight="1">
      <c r="D250" s="2">
        <v>3.20052584E8</v>
      </c>
      <c r="E250" s="2">
        <v>248.0</v>
      </c>
    </row>
    <row r="251" ht="12.75" customHeight="1">
      <c r="D251" s="2">
        <v>3.20052583E8</v>
      </c>
      <c r="E251" s="2">
        <v>249.0</v>
      </c>
    </row>
    <row r="252" ht="12.75" customHeight="1">
      <c r="D252" s="2">
        <v>3.20052586E8</v>
      </c>
      <c r="E252" s="2">
        <v>250.0</v>
      </c>
    </row>
    <row r="253" ht="12.75" customHeight="1">
      <c r="D253" s="2">
        <v>3.20052587E8</v>
      </c>
      <c r="E253" s="2">
        <v>251.0</v>
      </c>
    </row>
    <row r="254" ht="12.75" customHeight="1">
      <c r="D254" s="2">
        <v>3.20054313E8</v>
      </c>
      <c r="E254" s="2">
        <v>252.0</v>
      </c>
    </row>
    <row r="255" ht="12.75" customHeight="1">
      <c r="D255" s="2">
        <v>3.20054315E8</v>
      </c>
      <c r="E255" s="2">
        <v>253.0</v>
      </c>
    </row>
    <row r="256" ht="12.75" customHeight="1">
      <c r="D256" s="2">
        <v>3.20054317E8</v>
      </c>
      <c r="E256" s="2">
        <v>254.0</v>
      </c>
    </row>
    <row r="257" ht="12.75" customHeight="1">
      <c r="D257" s="2">
        <v>3.20054327E8</v>
      </c>
      <c r="E257" s="2">
        <v>255.0</v>
      </c>
    </row>
    <row r="258" ht="12.75" customHeight="1">
      <c r="D258" s="2">
        <v>3.20054325E8</v>
      </c>
      <c r="E258" s="2">
        <v>256.0</v>
      </c>
    </row>
    <row r="259" ht="12.75" customHeight="1">
      <c r="D259" s="2">
        <v>3.20054319E8</v>
      </c>
      <c r="E259" s="2">
        <v>257.0</v>
      </c>
    </row>
    <row r="260" ht="12.75" customHeight="1">
      <c r="D260" s="2">
        <v>3.2005432E8</v>
      </c>
      <c r="E260" s="2">
        <v>258.0</v>
      </c>
    </row>
    <row r="261" ht="12.75" customHeight="1">
      <c r="D261" s="2">
        <v>3.20054322E8</v>
      </c>
      <c r="E261" s="2">
        <v>259.0</v>
      </c>
    </row>
    <row r="262" ht="12.75" customHeight="1">
      <c r="D262" s="2">
        <v>3.20054331E8</v>
      </c>
      <c r="E262" s="2">
        <v>260.0</v>
      </c>
    </row>
    <row r="263" ht="12.75" customHeight="1">
      <c r="D263" s="2">
        <v>3.20054329E8</v>
      </c>
      <c r="E263" s="2">
        <v>261.0</v>
      </c>
    </row>
    <row r="264" ht="12.75" customHeight="1">
      <c r="D264" s="2">
        <v>3.20054332E8</v>
      </c>
      <c r="E264" s="2">
        <v>262.0</v>
      </c>
    </row>
    <row r="265" ht="12.75" customHeight="1">
      <c r="D265" s="2">
        <v>3.20054337E8</v>
      </c>
      <c r="E265" s="2">
        <v>263.0</v>
      </c>
    </row>
    <row r="266" ht="12.75" customHeight="1">
      <c r="D266" s="2">
        <v>3.20054335E8</v>
      </c>
      <c r="E266" s="2">
        <v>264.0</v>
      </c>
    </row>
    <row r="267" ht="12.75" customHeight="1">
      <c r="D267" s="2">
        <v>3.20054338E8</v>
      </c>
      <c r="E267" s="2">
        <v>265.0</v>
      </c>
    </row>
    <row r="268" ht="12.75" customHeight="1">
      <c r="D268" s="2">
        <v>3.20054341E8</v>
      </c>
      <c r="E268" s="2">
        <v>266.0</v>
      </c>
    </row>
    <row r="269" ht="12.75" customHeight="1">
      <c r="D269" s="2">
        <v>3.20054342E8</v>
      </c>
      <c r="E269" s="2">
        <v>267.0</v>
      </c>
    </row>
    <row r="270" ht="12.75" customHeight="1">
      <c r="D270" s="2">
        <v>3.20054345E8</v>
      </c>
      <c r="E270" s="2">
        <v>268.0</v>
      </c>
    </row>
    <row r="271" ht="12.75" customHeight="1">
      <c r="D271" s="2">
        <v>3.20054347E8</v>
      </c>
      <c r="E271" s="2">
        <v>269.0</v>
      </c>
    </row>
    <row r="272" ht="12.75" customHeight="1">
      <c r="D272" s="2">
        <v>3.20054348E8</v>
      </c>
      <c r="E272" s="2">
        <v>270.0</v>
      </c>
    </row>
    <row r="273" ht="12.75" customHeight="1">
      <c r="D273" s="2">
        <v>3.20054351E8</v>
      </c>
      <c r="E273" s="2">
        <v>271.0</v>
      </c>
    </row>
    <row r="274" ht="12.75" customHeight="1">
      <c r="D274" s="2">
        <v>3.20054352E8</v>
      </c>
      <c r="E274" s="2">
        <v>272.0</v>
      </c>
    </row>
    <row r="275" ht="12.75" customHeight="1">
      <c r="D275" s="2">
        <v>3.20054355E8</v>
      </c>
      <c r="E275" s="2">
        <v>273.0</v>
      </c>
    </row>
    <row r="276" ht="12.75" customHeight="1">
      <c r="D276" s="2">
        <v>3.20054357E8</v>
      </c>
      <c r="E276" s="2">
        <v>274.0</v>
      </c>
    </row>
    <row r="277" ht="12.75" customHeight="1">
      <c r="D277" s="2">
        <v>3.20054359E8</v>
      </c>
      <c r="E277" s="2">
        <v>275.0</v>
      </c>
    </row>
    <row r="278" ht="12.75" customHeight="1">
      <c r="D278" s="2">
        <v>3.2005436E8</v>
      </c>
      <c r="E278" s="2">
        <v>276.0</v>
      </c>
    </row>
    <row r="279" ht="12.75" customHeight="1">
      <c r="D279" s="2">
        <v>3.20054363E8</v>
      </c>
      <c r="E279" s="2">
        <v>277.0</v>
      </c>
    </row>
    <row r="280" ht="12.75" customHeight="1">
      <c r="D280" s="2">
        <v>3.20054365E8</v>
      </c>
      <c r="E280" s="2">
        <v>278.0</v>
      </c>
    </row>
    <row r="281" ht="12.75" customHeight="1">
      <c r="D281" s="2">
        <v>3.20054367E8</v>
      </c>
      <c r="E281" s="2">
        <v>279.0</v>
      </c>
    </row>
    <row r="282" ht="12.75" customHeight="1">
      <c r="D282" s="2">
        <v>3.20054372E8</v>
      </c>
      <c r="E282" s="2">
        <v>280.0</v>
      </c>
    </row>
    <row r="283" ht="12.75" customHeight="1">
      <c r="D283" s="2">
        <v>3.20054368E8</v>
      </c>
      <c r="E283" s="2">
        <v>281.0</v>
      </c>
    </row>
    <row r="284" ht="12.75" customHeight="1">
      <c r="D284" s="2">
        <v>3.20054371E8</v>
      </c>
      <c r="E284" s="2">
        <v>282.0</v>
      </c>
    </row>
    <row r="285" ht="12.75" customHeight="1">
      <c r="D285" s="2">
        <v>3.20054374E8</v>
      </c>
      <c r="E285" s="2">
        <v>283.0</v>
      </c>
    </row>
    <row r="286" ht="12.75" customHeight="1">
      <c r="D286" s="2">
        <v>3.20054377E8</v>
      </c>
      <c r="E286" s="2">
        <v>284.0</v>
      </c>
    </row>
    <row r="287" ht="12.75" customHeight="1">
      <c r="D287" s="2">
        <v>3.20054379E8</v>
      </c>
      <c r="E287" s="2">
        <v>285.0</v>
      </c>
    </row>
    <row r="288" ht="12.75" customHeight="1">
      <c r="D288" s="2">
        <v>3.2005438E8</v>
      </c>
      <c r="E288" s="2">
        <v>286.0</v>
      </c>
    </row>
    <row r="289" ht="12.75" customHeight="1">
      <c r="D289" s="2">
        <v>3.20054383E8</v>
      </c>
      <c r="E289" s="2">
        <v>287.0</v>
      </c>
    </row>
    <row r="290" ht="12.75" customHeight="1">
      <c r="D290" s="2">
        <v>3.20054385E8</v>
      </c>
      <c r="E290" s="2">
        <v>288.0</v>
      </c>
    </row>
    <row r="291" ht="12.75" customHeight="1">
      <c r="D291" s="2">
        <v>3.20054386E8</v>
      </c>
      <c r="E291" s="2">
        <v>289.0</v>
      </c>
    </row>
    <row r="292" ht="12.75" customHeight="1">
      <c r="D292" s="2">
        <v>3.20054394E8</v>
      </c>
      <c r="E292" s="2">
        <v>290.0</v>
      </c>
    </row>
    <row r="293" ht="12.75" customHeight="1">
      <c r="D293" s="2">
        <v>3.20054389E8</v>
      </c>
      <c r="E293" s="2">
        <v>291.0</v>
      </c>
    </row>
    <row r="294" ht="12.75" customHeight="1">
      <c r="D294" s="2">
        <v>3.2005439E8</v>
      </c>
      <c r="E294" s="2">
        <v>292.0</v>
      </c>
    </row>
    <row r="295" ht="12.75" customHeight="1">
      <c r="D295" s="2">
        <v>3.20054393E8</v>
      </c>
      <c r="E295" s="2">
        <v>293.0</v>
      </c>
    </row>
    <row r="296" ht="12.75" customHeight="1">
      <c r="D296" s="2">
        <v>3.20054397E8</v>
      </c>
      <c r="E296" s="2">
        <v>294.0</v>
      </c>
    </row>
    <row r="297" ht="12.75" customHeight="1">
      <c r="D297" s="2">
        <v>3.200544E8</v>
      </c>
      <c r="E297" s="2">
        <v>295.0</v>
      </c>
    </row>
    <row r="298" ht="12.75" customHeight="1">
      <c r="D298" s="2">
        <v>3.20054403E8</v>
      </c>
      <c r="E298" s="2">
        <v>296.0</v>
      </c>
    </row>
    <row r="299" ht="12.75" customHeight="1">
      <c r="D299" s="2">
        <v>3.20054398E8</v>
      </c>
      <c r="E299" s="2">
        <v>297.0</v>
      </c>
    </row>
    <row r="300" ht="12.75" customHeight="1">
      <c r="D300" s="2">
        <v>3.20054405E8</v>
      </c>
      <c r="E300" s="2">
        <v>298.0</v>
      </c>
    </row>
    <row r="301" ht="12.75" customHeight="1">
      <c r="D301" s="2">
        <v>3.20054407E8</v>
      </c>
      <c r="E301" s="2">
        <v>299.0</v>
      </c>
    </row>
    <row r="302" ht="12.75" customHeight="1">
      <c r="D302" s="2">
        <v>3.20054408E8</v>
      </c>
      <c r="E302" s="2">
        <v>300.0</v>
      </c>
    </row>
    <row r="303" ht="12.75" customHeight="1">
      <c r="D303" s="2">
        <v>3.20054411E8</v>
      </c>
      <c r="E303" s="2">
        <v>301.0</v>
      </c>
    </row>
    <row r="304" ht="12.75" customHeight="1">
      <c r="D304" s="2">
        <v>3.20054413E8</v>
      </c>
      <c r="E304" s="2">
        <v>302.0</v>
      </c>
    </row>
    <row r="305" ht="12.75" customHeight="1">
      <c r="D305" s="2">
        <v>3.20054418E8</v>
      </c>
      <c r="E305" s="2">
        <v>303.0</v>
      </c>
    </row>
    <row r="306" ht="12.75" customHeight="1">
      <c r="D306" s="2">
        <v>3.20054415E8</v>
      </c>
      <c r="E306" s="2">
        <v>304.0</v>
      </c>
    </row>
    <row r="307" ht="12.75" customHeight="1">
      <c r="D307" s="2">
        <v>3.20054416E8</v>
      </c>
      <c r="E307" s="2">
        <v>305.0</v>
      </c>
    </row>
    <row r="308" ht="12.75" customHeight="1">
      <c r="D308" s="2">
        <v>3.20054421E8</v>
      </c>
      <c r="E308" s="2">
        <v>306.0</v>
      </c>
    </row>
    <row r="309" ht="12.75" customHeight="1">
      <c r="D309" s="2">
        <v>3.2005443E8</v>
      </c>
      <c r="E309" s="2">
        <v>307.0</v>
      </c>
    </row>
    <row r="310" ht="12.75" customHeight="1">
      <c r="D310" s="2">
        <v>3.20054423E8</v>
      </c>
      <c r="E310" s="2">
        <v>308.0</v>
      </c>
    </row>
    <row r="311" ht="12.75" customHeight="1">
      <c r="D311" s="2">
        <v>3.20054425E8</v>
      </c>
      <c r="E311" s="2">
        <v>309.0</v>
      </c>
    </row>
    <row r="312" ht="12.75" customHeight="1">
      <c r="D312" s="2">
        <v>3.20054427E8</v>
      </c>
      <c r="E312" s="2">
        <v>310.0</v>
      </c>
    </row>
    <row r="313" ht="12.75" customHeight="1">
      <c r="D313" s="2">
        <v>3.20054428E8</v>
      </c>
      <c r="E313" s="2">
        <v>311.0</v>
      </c>
    </row>
    <row r="314" ht="12.75" customHeight="1">
      <c r="D314" s="2">
        <v>3.20054433E8</v>
      </c>
      <c r="E314" s="2">
        <v>312.0</v>
      </c>
    </row>
    <row r="315" ht="12.75" customHeight="1">
      <c r="D315" s="2">
        <v>3.20054434E8</v>
      </c>
      <c r="E315" s="2">
        <v>313.0</v>
      </c>
    </row>
    <row r="316" ht="12.75" customHeight="1">
      <c r="D316" s="2">
        <v>3.20054437E8</v>
      </c>
      <c r="E316" s="2">
        <v>314.0</v>
      </c>
    </row>
    <row r="317" ht="12.75" customHeight="1">
      <c r="D317" s="2">
        <v>3.2005444E8</v>
      </c>
      <c r="E317" s="2">
        <v>315.0</v>
      </c>
    </row>
    <row r="318" ht="12.75" customHeight="1">
      <c r="D318" s="2">
        <v>3.20054438E8</v>
      </c>
      <c r="E318" s="2">
        <v>316.0</v>
      </c>
    </row>
    <row r="319" ht="12.75" customHeight="1">
      <c r="D319" s="2">
        <v>3.20054445E8</v>
      </c>
      <c r="E319" s="2">
        <v>317.0</v>
      </c>
    </row>
    <row r="320" ht="12.75" customHeight="1">
      <c r="D320" s="2">
        <v>3.20054443E8</v>
      </c>
      <c r="E320" s="2">
        <v>318.0</v>
      </c>
    </row>
    <row r="321" ht="12.75" customHeight="1">
      <c r="D321" s="2">
        <v>3.20054446E8</v>
      </c>
      <c r="E321" s="2">
        <v>319.0</v>
      </c>
    </row>
    <row r="322" ht="12.75" customHeight="1">
      <c r="D322" s="2">
        <v>3.20054449E8</v>
      </c>
      <c r="E322" s="2">
        <v>320.0</v>
      </c>
    </row>
    <row r="323" ht="12.75" customHeight="1">
      <c r="D323" s="2">
        <v>3.20054451E8</v>
      </c>
      <c r="E323" s="2">
        <v>321.0</v>
      </c>
    </row>
    <row r="324" ht="12.75" customHeight="1">
      <c r="D324" s="2">
        <v>3.20054452E8</v>
      </c>
      <c r="E324" s="2">
        <v>322.0</v>
      </c>
    </row>
    <row r="325" ht="12.75" customHeight="1">
      <c r="D325" s="2">
        <v>3.20054455E8</v>
      </c>
      <c r="E325" s="2">
        <v>323.0</v>
      </c>
    </row>
    <row r="326" ht="12.75" customHeight="1">
      <c r="D326" s="2">
        <v>3.20054469E8</v>
      </c>
      <c r="E326" s="2">
        <v>324.0</v>
      </c>
    </row>
    <row r="327" ht="12.75" customHeight="1">
      <c r="D327" s="2">
        <v>3.20054466E8</v>
      </c>
      <c r="E327" s="2">
        <v>325.0</v>
      </c>
    </row>
    <row r="328" ht="12.75" customHeight="1">
      <c r="D328" s="2">
        <v>3.20054457E8</v>
      </c>
      <c r="E328" s="2">
        <v>326.0</v>
      </c>
    </row>
    <row r="329" ht="12.75" customHeight="1">
      <c r="D329" s="2">
        <v>3.20054471E8</v>
      </c>
      <c r="E329" s="2">
        <v>327.0</v>
      </c>
    </row>
    <row r="330" ht="12.75" customHeight="1">
      <c r="D330" s="2">
        <v>3.20054458E8</v>
      </c>
      <c r="E330" s="2">
        <v>328.0</v>
      </c>
    </row>
    <row r="331" ht="12.75" customHeight="1">
      <c r="D331" s="2">
        <v>3.20054465E8</v>
      </c>
      <c r="E331" s="2">
        <v>329.0</v>
      </c>
    </row>
    <row r="332" ht="12.75" customHeight="1">
      <c r="D332" s="2">
        <v>3.20054462E8</v>
      </c>
      <c r="E332" s="2">
        <v>330.0</v>
      </c>
    </row>
    <row r="333" ht="12.75" customHeight="1">
      <c r="D333" s="2">
        <v>3.2005446E8</v>
      </c>
      <c r="E333" s="2">
        <v>331.0</v>
      </c>
    </row>
    <row r="334" ht="12.75" customHeight="1">
      <c r="D334" s="2">
        <v>3.20054473E8</v>
      </c>
      <c r="E334" s="2">
        <v>332.0</v>
      </c>
    </row>
    <row r="335" ht="12.75" customHeight="1">
      <c r="D335" s="2">
        <v>3.20054474E8</v>
      </c>
      <c r="E335" s="2">
        <v>333.0</v>
      </c>
    </row>
    <row r="336" ht="12.75" customHeight="1">
      <c r="D336" s="2">
        <v>3.20054531E8</v>
      </c>
      <c r="E336" s="2">
        <v>334.0</v>
      </c>
    </row>
    <row r="337" ht="12.75" customHeight="1">
      <c r="D337" s="2">
        <v>3.20054528E8</v>
      </c>
      <c r="E337" s="2">
        <v>335.0</v>
      </c>
    </row>
    <row r="338" ht="12.75" customHeight="1">
      <c r="D338" s="2">
        <v>3.2005453E8</v>
      </c>
      <c r="E338" s="2">
        <v>336.0</v>
      </c>
    </row>
    <row r="339" ht="12.75" customHeight="1">
      <c r="D339" s="2">
        <v>3.20054525E8</v>
      </c>
      <c r="E339" s="2">
        <v>337.0</v>
      </c>
    </row>
    <row r="340" ht="12.75" customHeight="1">
      <c r="D340" s="2">
        <v>3.20054638E8</v>
      </c>
      <c r="E340" s="2">
        <v>338.0</v>
      </c>
    </row>
    <row r="341" ht="12.75" customHeight="1">
      <c r="D341" s="2">
        <v>3.20054643E8</v>
      </c>
      <c r="E341" s="2">
        <v>339.0</v>
      </c>
    </row>
    <row r="342" ht="12.75" customHeight="1">
      <c r="D342" s="2">
        <v>3.20054641E8</v>
      </c>
      <c r="E342" s="2">
        <v>340.0</v>
      </c>
    </row>
    <row r="343" ht="12.75" customHeight="1">
      <c r="D343" s="2">
        <v>3.20054662E8</v>
      </c>
      <c r="E343" s="2">
        <v>341.0</v>
      </c>
    </row>
    <row r="344" ht="12.75" customHeight="1">
      <c r="D344" s="2">
        <v>3.2005472E8</v>
      </c>
      <c r="E344" s="2">
        <v>342.0</v>
      </c>
    </row>
    <row r="345" ht="12.75" customHeight="1">
      <c r="D345" s="2">
        <v>3.20054718E8</v>
      </c>
      <c r="E345" s="2">
        <v>343.0</v>
      </c>
    </row>
    <row r="346" ht="12.75" customHeight="1">
      <c r="D346" s="2">
        <v>3.20054734E8</v>
      </c>
      <c r="E346" s="2">
        <v>344.0</v>
      </c>
    </row>
    <row r="347" ht="12.75" customHeight="1">
      <c r="D347" s="2">
        <v>3.20054732E8</v>
      </c>
      <c r="E347" s="2">
        <v>345.0</v>
      </c>
    </row>
    <row r="348" ht="12.75" customHeight="1">
      <c r="D348" s="2">
        <v>3.20054754E8</v>
      </c>
      <c r="E348" s="2">
        <v>346.0</v>
      </c>
    </row>
    <row r="349" ht="12.75" customHeight="1">
      <c r="D349" s="2">
        <v>3.20054755E8</v>
      </c>
      <c r="E349" s="2">
        <v>347.0</v>
      </c>
    </row>
    <row r="350" ht="12.75" customHeight="1">
      <c r="D350" s="2">
        <v>3.20054751E8</v>
      </c>
      <c r="E350" s="2">
        <v>348.0</v>
      </c>
    </row>
    <row r="351" ht="12.75" customHeight="1">
      <c r="D351" s="2">
        <v>3.20054762E8</v>
      </c>
      <c r="E351" s="2">
        <v>349.0</v>
      </c>
    </row>
    <row r="352" ht="12.75" customHeight="1">
      <c r="D352" s="2">
        <v>3.20054803E8</v>
      </c>
      <c r="E352" s="2">
        <v>350.0</v>
      </c>
    </row>
    <row r="353" ht="12.75" customHeight="1">
      <c r="D353" s="2">
        <v>3.20054824E8</v>
      </c>
      <c r="E353" s="2">
        <v>351.0</v>
      </c>
    </row>
    <row r="354" ht="12.75" customHeight="1">
      <c r="D354" s="2">
        <v>3.20054825E8</v>
      </c>
      <c r="E354" s="2">
        <v>352.0</v>
      </c>
    </row>
    <row r="355" ht="12.75" customHeight="1">
      <c r="D355" s="2">
        <v>3.20054828E8</v>
      </c>
      <c r="E355" s="2">
        <v>353.0</v>
      </c>
    </row>
    <row r="356" ht="12.75" customHeight="1">
      <c r="D356" s="2">
        <v>3.2005518E8</v>
      </c>
      <c r="E356" s="2">
        <v>354.0</v>
      </c>
    </row>
    <row r="357" ht="12.75" customHeight="1">
      <c r="D357" s="2">
        <v>3.20055218E8</v>
      </c>
      <c r="E357" s="2">
        <v>355.0</v>
      </c>
    </row>
    <row r="358" ht="12.75" customHeight="1">
      <c r="D358" s="2">
        <v>3.20055251E8</v>
      </c>
      <c r="E358" s="2">
        <v>356.0</v>
      </c>
    </row>
    <row r="359" ht="12.75" customHeight="1">
      <c r="D359" s="2">
        <v>3.20055309E8</v>
      </c>
      <c r="E359" s="2">
        <v>357.0</v>
      </c>
    </row>
    <row r="360" ht="12.75" customHeight="1">
      <c r="D360" s="2">
        <v>3.20055314E8</v>
      </c>
      <c r="E360" s="2">
        <v>358.0</v>
      </c>
    </row>
    <row r="361" ht="12.75" customHeight="1">
      <c r="D361" s="2">
        <v>3.20055313E8</v>
      </c>
      <c r="E361" s="2">
        <v>359.0</v>
      </c>
    </row>
    <row r="362" ht="12.75" customHeight="1">
      <c r="D362" s="2">
        <v>3.2005531E8</v>
      </c>
      <c r="E362" s="2">
        <v>360.0</v>
      </c>
    </row>
    <row r="363" ht="12.75" customHeight="1">
      <c r="D363" s="2">
        <v>3.20055577E8</v>
      </c>
      <c r="E363" s="2">
        <v>361.0</v>
      </c>
    </row>
    <row r="364" ht="12.75" customHeight="1">
      <c r="D364" s="2">
        <v>3.20055578E8</v>
      </c>
      <c r="E364" s="2">
        <v>362.0</v>
      </c>
    </row>
    <row r="365" ht="12.75" customHeight="1">
      <c r="D365" s="2">
        <v>3.2005558E8</v>
      </c>
      <c r="E365" s="2">
        <v>363.0</v>
      </c>
    </row>
    <row r="366" ht="12.75" customHeight="1">
      <c r="D366" s="2">
        <v>3.20055579E8</v>
      </c>
      <c r="E366" s="2">
        <v>364.0</v>
      </c>
    </row>
    <row r="367" ht="12.75" customHeight="1">
      <c r="D367" s="2">
        <v>3.20055574E8</v>
      </c>
      <c r="E367" s="2">
        <v>365.0</v>
      </c>
    </row>
    <row r="368" ht="12.75" customHeight="1">
      <c r="D368" s="2">
        <v>3.20055724E8</v>
      </c>
      <c r="E368" s="2">
        <v>366.0</v>
      </c>
    </row>
    <row r="369" ht="12.75" customHeight="1">
      <c r="D369" s="2">
        <v>3.20055737E8</v>
      </c>
      <c r="E369" s="2">
        <v>367.0</v>
      </c>
    </row>
    <row r="370" ht="12.75" customHeight="1">
      <c r="D370" s="2">
        <v>3.20055735E8</v>
      </c>
      <c r="E370" s="2">
        <v>368.0</v>
      </c>
    </row>
    <row r="371" ht="12.75" customHeight="1">
      <c r="D371" s="2">
        <v>3.2005576E8</v>
      </c>
      <c r="E371" s="2">
        <v>369.0</v>
      </c>
    </row>
    <row r="372" ht="12.75" customHeight="1">
      <c r="D372" s="2">
        <v>3.20055759E8</v>
      </c>
      <c r="E372" s="2">
        <v>370.0</v>
      </c>
    </row>
    <row r="373" ht="12.75" customHeight="1">
      <c r="D373" s="2">
        <v>3.20055763E8</v>
      </c>
      <c r="E373" s="2">
        <v>371.0</v>
      </c>
    </row>
    <row r="374" ht="12.75" customHeight="1">
      <c r="D374" s="2">
        <v>3.20055764E8</v>
      </c>
      <c r="E374" s="2">
        <v>372.0</v>
      </c>
    </row>
    <row r="375" ht="12.75" customHeight="1">
      <c r="D375" s="2">
        <v>3.2005605E8</v>
      </c>
      <c r="E375" s="2">
        <v>373.0</v>
      </c>
    </row>
    <row r="376" ht="12.75" customHeight="1">
      <c r="D376" s="2">
        <v>3.20056048E8</v>
      </c>
      <c r="E376" s="2">
        <v>374.0</v>
      </c>
    </row>
    <row r="377" ht="12.75" customHeight="1">
      <c r="D377" s="2">
        <v>3.20056705E8</v>
      </c>
      <c r="E377" s="2">
        <v>375.0</v>
      </c>
    </row>
    <row r="378" ht="12.75" customHeight="1">
      <c r="D378" s="2">
        <v>3.20056806E8</v>
      </c>
      <c r="E378" s="2">
        <v>376.0</v>
      </c>
    </row>
    <row r="379" ht="12.75" customHeight="1">
      <c r="D379" s="2">
        <v>3.20056871E8</v>
      </c>
      <c r="E379" s="2">
        <v>377.0</v>
      </c>
    </row>
    <row r="380" ht="12.75" customHeight="1">
      <c r="D380" s="2">
        <v>3.20056875E8</v>
      </c>
      <c r="E380" s="2">
        <v>378.0</v>
      </c>
    </row>
    <row r="381" ht="12.75" customHeight="1">
      <c r="D381" s="2">
        <v>3.20056874E8</v>
      </c>
      <c r="E381" s="2">
        <v>379.0</v>
      </c>
    </row>
    <row r="382" ht="12.75" customHeight="1">
      <c r="D382" s="2">
        <v>3.20056873E8</v>
      </c>
      <c r="E382" s="2">
        <v>380.0</v>
      </c>
    </row>
    <row r="383" ht="12.75" customHeight="1">
      <c r="D383" s="2">
        <v>3.20056893E8</v>
      </c>
      <c r="E383" s="2">
        <v>381.0</v>
      </c>
    </row>
    <row r="384" ht="12.75" customHeight="1">
      <c r="D384" s="2">
        <v>3.20056891E8</v>
      </c>
      <c r="E384" s="2">
        <v>382.0</v>
      </c>
    </row>
    <row r="385" ht="12.75" customHeight="1">
      <c r="D385" s="2">
        <v>3.20056904E8</v>
      </c>
      <c r="E385" s="2">
        <v>383.0</v>
      </c>
    </row>
    <row r="386" ht="12.75" customHeight="1">
      <c r="D386" s="2">
        <v>3.20056902E8</v>
      </c>
      <c r="E386" s="2">
        <v>384.0</v>
      </c>
    </row>
    <row r="387" ht="12.75" customHeight="1">
      <c r="D387" s="2">
        <v>3.20056914E8</v>
      </c>
      <c r="E387" s="2">
        <v>385.0</v>
      </c>
    </row>
    <row r="388" ht="12.75" customHeight="1">
      <c r="D388" s="2">
        <v>3.20056915E8</v>
      </c>
      <c r="E388" s="2">
        <v>386.0</v>
      </c>
    </row>
    <row r="389" ht="12.75" customHeight="1">
      <c r="D389" s="2">
        <v>3.20056916E8</v>
      </c>
      <c r="E389" s="2">
        <v>387.0</v>
      </c>
    </row>
    <row r="390" ht="12.75" customHeight="1">
      <c r="D390" s="2">
        <v>3.20056917E8</v>
      </c>
      <c r="E390" s="2">
        <v>388.0</v>
      </c>
    </row>
    <row r="391" ht="12.75" customHeight="1">
      <c r="D391" s="2">
        <v>3.20056928E8</v>
      </c>
      <c r="E391" s="2">
        <v>389.0</v>
      </c>
    </row>
    <row r="392" ht="12.75" customHeight="1">
      <c r="D392" s="2">
        <v>3.20056926E8</v>
      </c>
      <c r="E392" s="2">
        <v>390.0</v>
      </c>
    </row>
    <row r="393" ht="12.75" customHeight="1">
      <c r="D393" s="2">
        <v>3.20057668E8</v>
      </c>
      <c r="E393" s="2">
        <v>391.0</v>
      </c>
    </row>
    <row r="394" ht="12.75" customHeight="1">
      <c r="D394" s="2">
        <v>3.20057737E8</v>
      </c>
      <c r="E394" s="2">
        <v>392.0</v>
      </c>
    </row>
    <row r="395" ht="12.75" customHeight="1">
      <c r="D395" s="2">
        <v>3.20057736E8</v>
      </c>
      <c r="E395" s="2">
        <v>393.0</v>
      </c>
    </row>
    <row r="396" ht="12.75" customHeight="1">
      <c r="D396" s="2">
        <v>3.20057735E8</v>
      </c>
      <c r="E396" s="2">
        <v>394.0</v>
      </c>
    </row>
    <row r="397" ht="12.75" customHeight="1">
      <c r="D397" s="2">
        <v>3.20057741E8</v>
      </c>
      <c r="E397" s="2">
        <v>395.0</v>
      </c>
    </row>
    <row r="398" ht="12.75" customHeight="1">
      <c r="D398" s="2">
        <v>3.2005774E8</v>
      </c>
      <c r="E398" s="2">
        <v>396.0</v>
      </c>
    </row>
    <row r="399" ht="12.75" customHeight="1">
      <c r="D399" s="2">
        <v>3.20057739E8</v>
      </c>
      <c r="E399" s="2">
        <v>397.0</v>
      </c>
    </row>
    <row r="400" ht="12.75" customHeight="1">
      <c r="D400" s="2">
        <v>3.20057769E8</v>
      </c>
      <c r="E400" s="2">
        <v>398.0</v>
      </c>
    </row>
    <row r="401" ht="12.75" customHeight="1">
      <c r="D401" s="2">
        <v>3.20057822E8</v>
      </c>
      <c r="E401" s="2">
        <v>399.0</v>
      </c>
    </row>
    <row r="402" ht="12.75" customHeight="1">
      <c r="D402" s="2">
        <v>3.2005782E8</v>
      </c>
      <c r="E402" s="2">
        <v>400.0</v>
      </c>
    </row>
    <row r="403" ht="12.75" customHeight="1">
      <c r="D403" s="2">
        <v>3.2005785E8</v>
      </c>
      <c r="E403" s="2">
        <v>401.0</v>
      </c>
    </row>
    <row r="404" ht="12.75" customHeight="1">
      <c r="D404" s="2">
        <v>3.20057849E8</v>
      </c>
      <c r="E404" s="2">
        <v>402.0</v>
      </c>
    </row>
    <row r="405" ht="12.75" customHeight="1">
      <c r="D405" s="2">
        <v>3.20057855E8</v>
      </c>
      <c r="E405" s="2">
        <v>403.0</v>
      </c>
    </row>
    <row r="406" ht="12.75" customHeight="1">
      <c r="D406" s="2">
        <v>3.20057856E8</v>
      </c>
      <c r="E406" s="2">
        <v>404.0</v>
      </c>
    </row>
    <row r="407" ht="12.75" customHeight="1">
      <c r="D407" s="2">
        <v>3.20057852E8</v>
      </c>
      <c r="E407" s="2">
        <v>405.0</v>
      </c>
    </row>
    <row r="408" ht="12.75" customHeight="1">
      <c r="D408" s="2">
        <v>3.20057853E8</v>
      </c>
      <c r="E408" s="2">
        <v>406.0</v>
      </c>
    </row>
    <row r="409" ht="12.75" customHeight="1">
      <c r="D409" s="2">
        <v>3.20058697E8</v>
      </c>
      <c r="E409" s="2">
        <v>407.0</v>
      </c>
    </row>
    <row r="410" ht="12.75" customHeight="1">
      <c r="D410" s="2">
        <v>3.20058709E8</v>
      </c>
      <c r="E410" s="2">
        <v>408.0</v>
      </c>
    </row>
    <row r="411" ht="12.75" customHeight="1">
      <c r="D411" s="2">
        <v>3.20058711E8</v>
      </c>
      <c r="E411" s="2">
        <v>409.0</v>
      </c>
    </row>
    <row r="412" ht="12.75" customHeight="1">
      <c r="D412" s="2">
        <v>3.20058734E8</v>
      </c>
      <c r="E412" s="2">
        <v>410.0</v>
      </c>
    </row>
    <row r="413" ht="12.75" customHeight="1">
      <c r="D413" s="2">
        <v>3.20058741E8</v>
      </c>
      <c r="E413" s="2">
        <v>411.0</v>
      </c>
    </row>
    <row r="414" ht="12.75" customHeight="1">
      <c r="D414" s="2">
        <v>3.20058764E8</v>
      </c>
      <c r="E414" s="2">
        <v>412.0</v>
      </c>
    </row>
    <row r="415" ht="12.75" customHeight="1">
      <c r="D415" s="2">
        <v>3.20058766E8</v>
      </c>
      <c r="E415" s="2">
        <v>413.0</v>
      </c>
    </row>
    <row r="416" ht="12.75" customHeight="1">
      <c r="D416" s="2">
        <v>3.2005877E8</v>
      </c>
      <c r="E416" s="2">
        <v>414.0</v>
      </c>
    </row>
    <row r="417" ht="12.75" customHeight="1">
      <c r="D417" s="2">
        <v>3.20058769E8</v>
      </c>
      <c r="E417" s="2">
        <v>415.0</v>
      </c>
    </row>
    <row r="418" ht="12.75" customHeight="1">
      <c r="D418" s="2">
        <v>3.20058773E8</v>
      </c>
      <c r="E418" s="2">
        <v>416.0</v>
      </c>
    </row>
    <row r="419" ht="12.75" customHeight="1">
      <c r="D419" s="2">
        <v>3.20058842E8</v>
      </c>
      <c r="E419" s="2">
        <v>417.0</v>
      </c>
    </row>
    <row r="420" ht="12.75" customHeight="1">
      <c r="D420" s="2">
        <v>3.20058844E8</v>
      </c>
      <c r="E420" s="2">
        <v>418.0</v>
      </c>
    </row>
    <row r="421" ht="12.75" customHeight="1">
      <c r="D421" s="2">
        <v>3.20058843E8</v>
      </c>
      <c r="E421" s="2">
        <v>419.0</v>
      </c>
    </row>
    <row r="422" ht="12.75" customHeight="1">
      <c r="D422" s="2">
        <v>3.20058869E8</v>
      </c>
      <c r="E422" s="2">
        <v>420.0</v>
      </c>
    </row>
    <row r="423" ht="12.75" customHeight="1">
      <c r="D423" s="2">
        <v>3.20058877E8</v>
      </c>
      <c r="E423" s="2">
        <v>421.0</v>
      </c>
    </row>
    <row r="424" ht="12.75" customHeight="1">
      <c r="D424" s="2">
        <v>3.20058878E8</v>
      </c>
      <c r="E424" s="2">
        <v>422.0</v>
      </c>
    </row>
    <row r="425" ht="12.75" customHeight="1">
      <c r="D425" s="2">
        <v>3.2005887E8</v>
      </c>
      <c r="E425" s="2">
        <v>423.0</v>
      </c>
    </row>
    <row r="426" ht="12.75" customHeight="1">
      <c r="D426" s="2">
        <v>3.20058872E8</v>
      </c>
      <c r="E426" s="2">
        <v>424.0</v>
      </c>
    </row>
    <row r="427" ht="12.75" customHeight="1">
      <c r="D427" s="2">
        <v>3.20058873E8</v>
      </c>
      <c r="E427" s="2">
        <v>425.0</v>
      </c>
    </row>
    <row r="428" ht="12.75" customHeight="1">
      <c r="D428" s="2">
        <v>3.20058875E8</v>
      </c>
      <c r="E428" s="2">
        <v>426.0</v>
      </c>
    </row>
    <row r="429" ht="12.75" customHeight="1">
      <c r="D429" s="2">
        <v>3.20058886E8</v>
      </c>
      <c r="E429" s="2">
        <v>427.0</v>
      </c>
    </row>
    <row r="430" ht="12.75" customHeight="1">
      <c r="D430" s="2">
        <v>3.20058888E8</v>
      </c>
      <c r="E430" s="2">
        <v>428.0</v>
      </c>
    </row>
    <row r="431" ht="12.75" customHeight="1">
      <c r="D431" s="2">
        <v>3.20058887E8</v>
      </c>
      <c r="E431" s="2">
        <v>429.0</v>
      </c>
    </row>
    <row r="432" ht="12.75" customHeight="1">
      <c r="D432" s="2">
        <v>3.20058995E8</v>
      </c>
      <c r="E432" s="2">
        <v>430.0</v>
      </c>
    </row>
    <row r="433" ht="12.75" customHeight="1">
      <c r="D433" s="2">
        <v>3.2005902E8</v>
      </c>
      <c r="E433" s="2">
        <v>431.0</v>
      </c>
    </row>
    <row r="434" ht="12.75" customHeight="1">
      <c r="D434" s="2">
        <v>3.20059019E8</v>
      </c>
      <c r="E434" s="2">
        <v>432.0</v>
      </c>
    </row>
    <row r="435" ht="12.75" customHeight="1">
      <c r="D435" s="2">
        <v>3.20059025E8</v>
      </c>
      <c r="E435" s="2">
        <v>433.0</v>
      </c>
    </row>
    <row r="436" ht="12.75" customHeight="1">
      <c r="D436" s="2">
        <v>3.20059027E8</v>
      </c>
      <c r="E436" s="2">
        <v>434.0</v>
      </c>
    </row>
    <row r="437" ht="12.75" customHeight="1">
      <c r="D437" s="2">
        <v>3.20059028E8</v>
      </c>
      <c r="E437" s="2">
        <v>435.0</v>
      </c>
    </row>
    <row r="438" ht="12.75" customHeight="1">
      <c r="D438" s="2">
        <v>3.20059029E8</v>
      </c>
      <c r="E438" s="2">
        <v>436.0</v>
      </c>
    </row>
    <row r="439" ht="12.75" customHeight="1">
      <c r="D439" s="2">
        <v>3.20059022E8</v>
      </c>
      <c r="E439" s="2">
        <v>437.0</v>
      </c>
    </row>
    <row r="440" ht="12.75" customHeight="1">
      <c r="D440" s="2">
        <v>3.20059023E8</v>
      </c>
      <c r="E440" s="2">
        <v>438.0</v>
      </c>
    </row>
    <row r="441" ht="12.75" customHeight="1">
      <c r="D441" s="2">
        <v>3.20059049E8</v>
      </c>
      <c r="E441" s="2">
        <v>439.0</v>
      </c>
    </row>
    <row r="442" ht="12.75" customHeight="1">
      <c r="D442" s="2">
        <v>3.20059047E8</v>
      </c>
      <c r="E442" s="2">
        <v>440.0</v>
      </c>
    </row>
    <row r="443" ht="12.75" customHeight="1">
      <c r="D443" s="2">
        <v>3.20059051E8</v>
      </c>
      <c r="E443" s="2">
        <v>441.0</v>
      </c>
    </row>
    <row r="444" ht="12.75" customHeight="1">
      <c r="D444" s="2">
        <v>3.20059106E8</v>
      </c>
      <c r="E444" s="2">
        <v>442.0</v>
      </c>
    </row>
    <row r="445" ht="12.75" customHeight="1">
      <c r="D445" s="2">
        <v>3.20059108E8</v>
      </c>
      <c r="E445" s="2">
        <v>443.0</v>
      </c>
    </row>
    <row r="446" ht="12.75" customHeight="1">
      <c r="D446" s="2">
        <v>3.20059125E8</v>
      </c>
      <c r="E446" s="2">
        <v>444.0</v>
      </c>
    </row>
    <row r="447" ht="12.75" customHeight="1">
      <c r="D447" s="2">
        <v>3.20060013E8</v>
      </c>
      <c r="E447" s="2">
        <v>445.0</v>
      </c>
    </row>
    <row r="448" ht="12.75" customHeight="1">
      <c r="D448" s="2">
        <v>3.20060011E8</v>
      </c>
      <c r="E448" s="2">
        <v>446.0</v>
      </c>
    </row>
    <row r="449" ht="12.75" customHeight="1">
      <c r="D449" s="2">
        <v>3.20060028E8</v>
      </c>
      <c r="E449" s="2">
        <v>447.0</v>
      </c>
    </row>
    <row r="450" ht="12.75" customHeight="1">
      <c r="D450" s="2">
        <v>3.20063405E8</v>
      </c>
      <c r="E450" s="2">
        <v>448.0</v>
      </c>
    </row>
    <row r="451" ht="12.75" customHeight="1">
      <c r="D451" s="2">
        <v>3.20063403E8</v>
      </c>
      <c r="E451" s="2">
        <v>449.0</v>
      </c>
    </row>
    <row r="452" ht="12.75" customHeight="1">
      <c r="D452" s="2">
        <v>3.20081786E8</v>
      </c>
      <c r="E452" s="2">
        <v>450.0</v>
      </c>
    </row>
    <row r="453" ht="12.75" customHeight="1">
      <c r="D453" s="2">
        <v>2.0</v>
      </c>
      <c r="E453" s="2">
        <v>451.0</v>
      </c>
    </row>
    <row r="454" ht="12.75" customHeight="1">
      <c r="D454" s="2">
        <v>3.20081789E8</v>
      </c>
      <c r="E454" s="2">
        <v>452.0</v>
      </c>
    </row>
    <row r="455" ht="12.75" customHeight="1">
      <c r="D455" s="2">
        <v>3.0</v>
      </c>
      <c r="E455" s="2">
        <v>453.0</v>
      </c>
    </row>
    <row r="456" ht="12.75" customHeight="1">
      <c r="D456" s="2">
        <v>3.20081793E8</v>
      </c>
      <c r="E456" s="2">
        <v>454.0</v>
      </c>
    </row>
    <row r="457" ht="12.75" customHeight="1">
      <c r="D457" s="2">
        <v>7.0</v>
      </c>
      <c r="E457" s="2">
        <v>455.0</v>
      </c>
    </row>
    <row r="458" ht="12.75" customHeight="1">
      <c r="D458" s="2">
        <v>3.20081792E8</v>
      </c>
      <c r="E458" s="2">
        <v>456.0</v>
      </c>
    </row>
    <row r="459" ht="12.75" customHeight="1">
      <c r="D459" s="2">
        <v>8.0</v>
      </c>
      <c r="E459" s="2">
        <v>457.0</v>
      </c>
    </row>
    <row r="460" ht="12.75" customHeight="1">
      <c r="D460" s="2">
        <v>3.20081795E8</v>
      </c>
      <c r="E460" s="2">
        <v>458.0</v>
      </c>
    </row>
    <row r="461" ht="12.75" customHeight="1">
      <c r="D461" s="2">
        <v>13.0</v>
      </c>
      <c r="E461" s="2">
        <v>459.0</v>
      </c>
    </row>
    <row r="462" ht="12.75" customHeight="1">
      <c r="D462" s="2">
        <v>3.20081794E8</v>
      </c>
      <c r="E462" s="2">
        <v>460.0</v>
      </c>
    </row>
    <row r="463" ht="12.75" customHeight="1">
      <c r="D463" s="2">
        <v>14.0</v>
      </c>
      <c r="E463" s="2">
        <v>461.0</v>
      </c>
    </row>
    <row r="464" ht="12.75" customHeight="1">
      <c r="D464" s="2">
        <v>3.20081801E8</v>
      </c>
      <c r="E464" s="2">
        <v>462.0</v>
      </c>
    </row>
    <row r="465" ht="12.75" customHeight="1">
      <c r="D465" s="2">
        <v>17.0</v>
      </c>
      <c r="E465" s="2">
        <v>463.0</v>
      </c>
    </row>
    <row r="466" ht="12.75" customHeight="1">
      <c r="D466" s="2">
        <v>3.20081798E8</v>
      </c>
      <c r="E466" s="2">
        <v>464.0</v>
      </c>
    </row>
    <row r="467" ht="12.75" customHeight="1">
      <c r="D467" s="2">
        <v>16.0</v>
      </c>
      <c r="E467" s="2">
        <v>465.0</v>
      </c>
    </row>
    <row r="468" ht="12.75" customHeight="1">
      <c r="D468" s="2">
        <v>3.20081804E8</v>
      </c>
      <c r="E468" s="2">
        <v>466.0</v>
      </c>
    </row>
    <row r="469" ht="12.75" customHeight="1">
      <c r="D469" s="2">
        <v>24.0</v>
      </c>
      <c r="E469" s="2">
        <v>467.0</v>
      </c>
    </row>
    <row r="470" ht="12.75" customHeight="1">
      <c r="D470" s="2">
        <v>3.20081802E8</v>
      </c>
      <c r="E470" s="2">
        <v>468.0</v>
      </c>
    </row>
    <row r="471" ht="12.75" customHeight="1">
      <c r="D471" s="2">
        <v>22.0</v>
      </c>
      <c r="E471" s="2">
        <v>469.0</v>
      </c>
    </row>
    <row r="472" ht="12.75" customHeight="1">
      <c r="D472" s="2">
        <v>3.20081808E8</v>
      </c>
      <c r="E472" s="2">
        <v>470.0</v>
      </c>
    </row>
    <row r="473" ht="12.75" customHeight="1">
      <c r="D473" s="2">
        <v>26.0</v>
      </c>
      <c r="E473" s="2">
        <v>471.0</v>
      </c>
    </row>
    <row r="474" ht="12.75" customHeight="1">
      <c r="D474" s="2">
        <v>3.20081806E8</v>
      </c>
      <c r="E474" s="2">
        <v>472.0</v>
      </c>
    </row>
    <row r="475" ht="12.75" customHeight="1">
      <c r="D475" s="2">
        <v>28.0</v>
      </c>
      <c r="E475" s="2">
        <v>473.0</v>
      </c>
    </row>
    <row r="476" ht="12.75" customHeight="1">
      <c r="D476" s="2">
        <v>3.2008181E8</v>
      </c>
      <c r="E476" s="2">
        <v>474.0</v>
      </c>
    </row>
    <row r="477" ht="12.75" customHeight="1">
      <c r="D477" s="2">
        <v>3.20081814E8</v>
      </c>
      <c r="E477" s="2">
        <v>475.0</v>
      </c>
    </row>
    <row r="478" ht="12.75" customHeight="1">
      <c r="D478" s="2">
        <v>3.20081816E8</v>
      </c>
      <c r="E478" s="2">
        <v>476.0</v>
      </c>
    </row>
    <row r="479" ht="12.75" customHeight="1">
      <c r="D479" s="2">
        <v>3.20081817E8</v>
      </c>
      <c r="E479" s="2">
        <v>477.0</v>
      </c>
    </row>
    <row r="480" ht="12.75" customHeight="1">
      <c r="D480" s="2">
        <v>3.20081815E8</v>
      </c>
      <c r="E480" s="2">
        <v>478.0</v>
      </c>
    </row>
    <row r="481" ht="12.75" customHeight="1">
      <c r="D481" s="2">
        <v>3.20081821E8</v>
      </c>
      <c r="E481" s="2">
        <v>479.0</v>
      </c>
    </row>
    <row r="482" ht="12.75" customHeight="1">
      <c r="D482" s="2">
        <v>3.20075892E8</v>
      </c>
      <c r="E482" s="2">
        <v>480.0</v>
      </c>
    </row>
    <row r="483" ht="12.75" customHeight="1">
      <c r="D483" s="2">
        <v>3.20081822E8</v>
      </c>
      <c r="E483" s="2">
        <v>481.0</v>
      </c>
    </row>
    <row r="484" ht="12.75" customHeight="1">
      <c r="D484" s="2">
        <v>3.20081823E8</v>
      </c>
      <c r="E484" s="2">
        <v>482.0</v>
      </c>
    </row>
    <row r="485" ht="12.75" customHeight="1">
      <c r="D485" s="2">
        <v>3.20075888E8</v>
      </c>
      <c r="E485" s="2">
        <v>483.0</v>
      </c>
    </row>
    <row r="486" ht="12.75" customHeight="1">
      <c r="D486" s="2">
        <v>3.20075887E8</v>
      </c>
      <c r="E486" s="2">
        <v>484.0</v>
      </c>
    </row>
    <row r="487" ht="12.75" customHeight="1">
      <c r="D487" s="2">
        <v>3.20081824E8</v>
      </c>
      <c r="E487" s="2">
        <v>485.0</v>
      </c>
    </row>
    <row r="488" ht="12.75" customHeight="1">
      <c r="D488" s="2">
        <v>3.20075947E8</v>
      </c>
      <c r="E488" s="2">
        <v>486.0</v>
      </c>
    </row>
    <row r="489" ht="12.75" customHeight="1">
      <c r="D489" s="2">
        <v>3.20075962E8</v>
      </c>
      <c r="E489" s="2">
        <v>487.0</v>
      </c>
    </row>
    <row r="490" ht="12.75" customHeight="1">
      <c r="D490" s="2">
        <v>3.20081827E8</v>
      </c>
      <c r="E490" s="2">
        <v>488.0</v>
      </c>
    </row>
    <row r="491" ht="12.75" customHeight="1">
      <c r="D491" s="2">
        <v>3.20075971E8</v>
      </c>
      <c r="E491" s="2">
        <v>489.0</v>
      </c>
    </row>
    <row r="492" ht="12.75" customHeight="1">
      <c r="D492" s="2">
        <v>3.20081829E8</v>
      </c>
      <c r="E492" s="2">
        <v>490.0</v>
      </c>
    </row>
    <row r="493" ht="12.75" customHeight="1">
      <c r="D493" s="2">
        <v>3.2008183E8</v>
      </c>
      <c r="E493" s="2">
        <v>491.0</v>
      </c>
    </row>
    <row r="494" ht="12.75" customHeight="1">
      <c r="D494" s="2">
        <v>3.20081831E8</v>
      </c>
      <c r="E494" s="2">
        <v>492.0</v>
      </c>
    </row>
    <row r="495" ht="12.75" customHeight="1">
      <c r="D495" s="2">
        <v>3.20081832E8</v>
      </c>
      <c r="E495" s="2">
        <v>493.0</v>
      </c>
    </row>
    <row r="496" ht="12.75" customHeight="1">
      <c r="D496" s="2">
        <v>3.2007658E8</v>
      </c>
      <c r="E496" s="2">
        <v>494.0</v>
      </c>
    </row>
    <row r="497" ht="12.75" customHeight="1">
      <c r="D497" s="2">
        <v>3.20081834E8</v>
      </c>
      <c r="E497" s="2">
        <v>495.0</v>
      </c>
    </row>
    <row r="498" ht="12.75" customHeight="1">
      <c r="D498" s="2">
        <v>3.20081835E8</v>
      </c>
      <c r="E498" s="2">
        <v>496.0</v>
      </c>
    </row>
    <row r="499" ht="12.75" customHeight="1">
      <c r="D499" s="2">
        <v>3.20081836E8</v>
      </c>
      <c r="E499" s="2">
        <v>497.0</v>
      </c>
    </row>
    <row r="500" ht="12.75" customHeight="1">
      <c r="D500" s="2">
        <v>3.20081837E8</v>
      </c>
      <c r="E500" s="2">
        <v>498.0</v>
      </c>
    </row>
    <row r="501" ht="12.75" customHeight="1">
      <c r="D501" s="2">
        <v>3.2007679E8</v>
      </c>
      <c r="E501" s="2">
        <v>499.0</v>
      </c>
    </row>
    <row r="502" ht="12.75" customHeight="1">
      <c r="D502" s="2">
        <v>3.20076789E8</v>
      </c>
      <c r="E502" s="2">
        <v>500.0</v>
      </c>
    </row>
    <row r="503" ht="12.75" customHeight="1">
      <c r="D503" s="2">
        <v>3.2008184E8</v>
      </c>
      <c r="E503" s="2">
        <v>501.0</v>
      </c>
    </row>
    <row r="504" ht="12.75" customHeight="1">
      <c r="D504" s="2">
        <v>3.20081841E8</v>
      </c>
      <c r="E504" s="2">
        <v>502.0</v>
      </c>
    </row>
    <row r="505" ht="12.75" customHeight="1">
      <c r="D505" s="2">
        <v>3.20081842E8</v>
      </c>
      <c r="E505" s="2">
        <v>503.0</v>
      </c>
    </row>
    <row r="506" ht="12.75" customHeight="1">
      <c r="D506" s="2">
        <v>3.20076892E8</v>
      </c>
      <c r="E506" s="2">
        <v>504.0</v>
      </c>
    </row>
    <row r="507" ht="12.75" customHeight="1">
      <c r="D507" s="2">
        <v>3.20081844E8</v>
      </c>
      <c r="E507" s="2">
        <v>505.0</v>
      </c>
    </row>
    <row r="508" ht="12.75" customHeight="1">
      <c r="D508" s="2">
        <v>3.2007692E8</v>
      </c>
      <c r="E508" s="2">
        <v>506.0</v>
      </c>
    </row>
    <row r="509" ht="12.75" customHeight="1">
      <c r="D509" s="2">
        <v>3.20081847E8</v>
      </c>
      <c r="E509" s="2">
        <v>507.0</v>
      </c>
    </row>
    <row r="510" ht="12.75" customHeight="1">
      <c r="D510" s="2">
        <v>3.20076921E8</v>
      </c>
      <c r="E510" s="2">
        <v>508.0</v>
      </c>
    </row>
    <row r="511" ht="12.75" customHeight="1">
      <c r="D511" s="2">
        <v>3.20081848E8</v>
      </c>
      <c r="E511" s="2">
        <v>509.0</v>
      </c>
    </row>
    <row r="512" ht="12.75" customHeight="1">
      <c r="D512" s="2">
        <v>3.20077087E8</v>
      </c>
      <c r="E512" s="2">
        <v>510.0</v>
      </c>
    </row>
    <row r="513" ht="12.75" customHeight="1">
      <c r="D513" s="2">
        <v>3.20081849E8</v>
      </c>
      <c r="E513" s="2">
        <v>511.0</v>
      </c>
    </row>
    <row r="514" ht="12.75" customHeight="1">
      <c r="D514" s="2">
        <v>3.20077086E8</v>
      </c>
      <c r="E514" s="2">
        <v>512.0</v>
      </c>
    </row>
    <row r="515" ht="12.75" customHeight="1">
      <c r="D515" s="2">
        <v>3.20081852E8</v>
      </c>
      <c r="E515" s="2">
        <v>513.0</v>
      </c>
    </row>
    <row r="516" ht="12.75" customHeight="1">
      <c r="D516" s="2">
        <v>3.20077089E8</v>
      </c>
      <c r="E516" s="2">
        <v>514.0</v>
      </c>
    </row>
    <row r="517" ht="12.75" customHeight="1">
      <c r="D517" s="2">
        <v>3.20081854E8</v>
      </c>
      <c r="E517" s="2">
        <v>515.0</v>
      </c>
    </row>
    <row r="518" ht="12.75" customHeight="1">
      <c r="D518" s="2">
        <v>3.20077092E8</v>
      </c>
      <c r="E518" s="2">
        <v>516.0</v>
      </c>
    </row>
    <row r="519" ht="12.75" customHeight="1">
      <c r="D519" s="2">
        <v>3.20081855E8</v>
      </c>
      <c r="E519" s="2">
        <v>517.0</v>
      </c>
    </row>
    <row r="520" ht="12.75" customHeight="1">
      <c r="D520" s="2">
        <v>3.20077094E8</v>
      </c>
      <c r="E520" s="2">
        <v>518.0</v>
      </c>
    </row>
    <row r="521" ht="12.75" customHeight="1">
      <c r="D521" s="2">
        <v>3.20081857E8</v>
      </c>
      <c r="E521" s="2">
        <v>519.0</v>
      </c>
    </row>
    <row r="522" ht="12.75" customHeight="1">
      <c r="D522" s="2">
        <v>3.20077096E8</v>
      </c>
      <c r="E522" s="2">
        <v>520.0</v>
      </c>
    </row>
    <row r="523" ht="12.75" customHeight="1">
      <c r="D523" s="2">
        <v>3.2008186E8</v>
      </c>
      <c r="E523" s="2">
        <v>521.0</v>
      </c>
    </row>
    <row r="524" ht="12.75" customHeight="1">
      <c r="D524" s="2">
        <v>3.20077098E8</v>
      </c>
      <c r="E524" s="2">
        <v>522.0</v>
      </c>
    </row>
    <row r="525" ht="12.75" customHeight="1">
      <c r="D525" s="2">
        <v>3.20081862E8</v>
      </c>
      <c r="E525" s="2">
        <v>523.0</v>
      </c>
    </row>
    <row r="526" ht="12.75" customHeight="1">
      <c r="D526" s="2">
        <v>3.200771E8</v>
      </c>
      <c r="E526" s="2">
        <v>524.0</v>
      </c>
    </row>
    <row r="527" ht="12.75" customHeight="1">
      <c r="D527" s="2">
        <v>3.20081864E8</v>
      </c>
      <c r="E527" s="2">
        <v>525.0</v>
      </c>
    </row>
    <row r="528" ht="12.75" customHeight="1">
      <c r="D528" s="2">
        <v>3.20077566E8</v>
      </c>
      <c r="E528" s="2">
        <v>526.0</v>
      </c>
    </row>
    <row r="529" ht="12.75" customHeight="1">
      <c r="D529" s="2">
        <v>3.20081865E8</v>
      </c>
      <c r="E529" s="2">
        <v>527.0</v>
      </c>
    </row>
    <row r="530" ht="12.75" customHeight="1">
      <c r="D530" s="2">
        <v>3.20077565E8</v>
      </c>
      <c r="E530" s="2">
        <v>528.0</v>
      </c>
    </row>
    <row r="531" ht="12.75" customHeight="1">
      <c r="D531" s="2">
        <v>3.20081872E8</v>
      </c>
      <c r="E531" s="2">
        <v>529.0</v>
      </c>
    </row>
    <row r="532" ht="12.75" customHeight="1">
      <c r="D532" s="2">
        <v>3.20077584E8</v>
      </c>
      <c r="E532" s="2">
        <v>530.0</v>
      </c>
    </row>
    <row r="533" ht="12.75" customHeight="1">
      <c r="D533" s="2">
        <v>3.2008187E8</v>
      </c>
      <c r="E533" s="2">
        <v>531.0</v>
      </c>
    </row>
    <row r="534" ht="12.75" customHeight="1">
      <c r="D534" s="2">
        <v>3.20077628E8</v>
      </c>
      <c r="E534" s="2">
        <v>532.0</v>
      </c>
    </row>
    <row r="535" ht="12.75" customHeight="1">
      <c r="D535" s="2">
        <v>3.20081875E8</v>
      </c>
      <c r="E535" s="2">
        <v>533.0</v>
      </c>
    </row>
    <row r="536" ht="12.75" customHeight="1">
      <c r="D536" s="2">
        <v>3.20077629E8</v>
      </c>
      <c r="E536" s="2">
        <v>534.0</v>
      </c>
    </row>
    <row r="537" ht="12.75" customHeight="1">
      <c r="D537" s="2">
        <v>3.20081878E8</v>
      </c>
      <c r="E537" s="2">
        <v>535.0</v>
      </c>
    </row>
    <row r="538" ht="12.75" customHeight="1">
      <c r="D538" s="2">
        <v>3.20077726E8</v>
      </c>
      <c r="E538" s="2">
        <v>536.0</v>
      </c>
    </row>
    <row r="539" ht="12.75" customHeight="1">
      <c r="D539" s="2">
        <v>3.20081877E8</v>
      </c>
      <c r="E539" s="2">
        <v>537.0</v>
      </c>
    </row>
    <row r="540" ht="12.75" customHeight="1">
      <c r="D540" s="2">
        <v>3.20077729E8</v>
      </c>
      <c r="E540" s="2">
        <v>538.0</v>
      </c>
    </row>
    <row r="541" ht="12.75" customHeight="1">
      <c r="D541" s="2">
        <v>3.20083061E8</v>
      </c>
      <c r="E541" s="2">
        <v>539.0</v>
      </c>
    </row>
    <row r="542" ht="12.75" customHeight="1">
      <c r="D542" s="2">
        <v>3.20083062E8</v>
      </c>
      <c r="E542" s="2">
        <v>540.0</v>
      </c>
    </row>
    <row r="543" ht="12.75" customHeight="1">
      <c r="D543" s="2">
        <v>3.20083058E8</v>
      </c>
      <c r="E543" s="2">
        <v>541.0</v>
      </c>
    </row>
    <row r="544" ht="12.75" customHeight="1">
      <c r="D544" s="2">
        <v>3.20083085E8</v>
      </c>
      <c r="E544" s="2">
        <v>542.0</v>
      </c>
    </row>
    <row r="545" ht="12.75" customHeight="1">
      <c r="D545" s="2">
        <v>3.20083088E8</v>
      </c>
      <c r="E545" s="2">
        <v>543.0</v>
      </c>
    </row>
    <row r="546" ht="12.75" customHeight="1">
      <c r="D546" s="2">
        <v>3.20083099E8</v>
      </c>
      <c r="E546" s="2">
        <v>544.0</v>
      </c>
    </row>
    <row r="547" ht="12.75" customHeight="1">
      <c r="D547" s="2"/>
    </row>
    <row r="548" ht="12.75" customHeight="1">
      <c r="D548" s="2"/>
    </row>
    <row r="549" ht="12.75" customHeight="1">
      <c r="D549" s="2"/>
    </row>
    <row r="550" ht="12.75" customHeight="1">
      <c r="D550" s="2"/>
    </row>
    <row r="551" ht="12.75" customHeight="1">
      <c r="D551" s="2"/>
    </row>
    <row r="552" ht="12.75" customHeight="1">
      <c r="D552" s="2"/>
    </row>
    <row r="553" ht="12.75" customHeight="1">
      <c r="D553" s="2"/>
    </row>
    <row r="554" ht="12.75" customHeight="1">
      <c r="D554" s="2"/>
    </row>
    <row r="555" ht="12.75" customHeight="1">
      <c r="D555" s="2"/>
    </row>
    <row r="556" ht="12.75" customHeight="1">
      <c r="D556" s="2"/>
    </row>
    <row r="557" ht="12.75" customHeight="1">
      <c r="D557" s="2"/>
    </row>
    <row r="558" ht="12.75" customHeight="1">
      <c r="D558" s="2"/>
    </row>
    <row r="559" ht="12.75" customHeight="1">
      <c r="D559" s="2"/>
    </row>
    <row r="560" ht="12.75" customHeight="1">
      <c r="D560" s="2"/>
    </row>
    <row r="561" ht="12.75" customHeight="1">
      <c r="D561" s="2"/>
    </row>
    <row r="562" ht="12.75" customHeight="1">
      <c r="D562" s="2"/>
    </row>
    <row r="563" ht="12.75" customHeight="1">
      <c r="D563" s="2"/>
    </row>
    <row r="564" ht="12.75" customHeight="1">
      <c r="D564" s="2"/>
    </row>
    <row r="565" ht="12.75" customHeight="1">
      <c r="D565" s="2"/>
    </row>
    <row r="566" ht="12.75" customHeight="1">
      <c r="D566" s="2"/>
    </row>
    <row r="567" ht="12.75" customHeight="1">
      <c r="D567" s="2"/>
    </row>
    <row r="568" ht="12.75" customHeight="1">
      <c r="D568" s="2"/>
    </row>
    <row r="569" ht="12.75" customHeight="1">
      <c r="D569" s="2"/>
    </row>
    <row r="570" ht="12.75" customHeight="1">
      <c r="D570" s="2"/>
    </row>
    <row r="571" ht="12.75" customHeight="1">
      <c r="D571" s="2"/>
    </row>
    <row r="572" ht="12.75" customHeight="1">
      <c r="D572" s="2"/>
    </row>
    <row r="573" ht="12.75" customHeight="1">
      <c r="D573" s="2"/>
    </row>
    <row r="574" ht="12.75" customHeight="1">
      <c r="D574" s="2"/>
    </row>
    <row r="575" ht="12.75" customHeight="1">
      <c r="D575" s="2"/>
    </row>
    <row r="576" ht="12.75" customHeight="1">
      <c r="D576" s="2"/>
    </row>
    <row r="577" ht="12.75" customHeight="1">
      <c r="D577" s="2"/>
    </row>
    <row r="578" ht="12.75" customHeight="1">
      <c r="D578" s="2"/>
    </row>
    <row r="579" ht="12.75" customHeight="1">
      <c r="D579" s="2"/>
    </row>
    <row r="580" ht="12.75" customHeight="1">
      <c r="D580" s="2"/>
    </row>
    <row r="581" ht="12.75" customHeight="1">
      <c r="D581" s="2"/>
    </row>
    <row r="582" ht="12.75" customHeight="1">
      <c r="D582" s="2"/>
    </row>
    <row r="583" ht="12.75" customHeight="1">
      <c r="D583" s="2"/>
    </row>
    <row r="584" ht="12.75" customHeight="1">
      <c r="D584" s="2"/>
    </row>
    <row r="585" ht="12.75" customHeight="1">
      <c r="D585" s="2"/>
    </row>
    <row r="586" ht="12.75" customHeight="1">
      <c r="D586" s="2"/>
    </row>
    <row r="587" ht="12.75" customHeight="1">
      <c r="D587" s="2"/>
    </row>
    <row r="588" ht="12.75" customHeight="1">
      <c r="D588" s="2"/>
    </row>
    <row r="589" ht="12.75" customHeight="1">
      <c r="D589" s="2"/>
    </row>
    <row r="590" ht="12.75" customHeight="1">
      <c r="D590" s="2"/>
    </row>
    <row r="591" ht="12.75" customHeight="1">
      <c r="D591" s="2"/>
    </row>
    <row r="592" ht="12.75" customHeight="1">
      <c r="D592" s="2"/>
    </row>
    <row r="593" ht="12.75" customHeight="1">
      <c r="D593" s="2"/>
    </row>
    <row r="594" ht="12.75" customHeight="1">
      <c r="D594" s="2"/>
    </row>
    <row r="595" ht="12.75" customHeight="1">
      <c r="D595" s="2"/>
    </row>
    <row r="596" ht="12.75" customHeight="1">
      <c r="D596" s="2"/>
    </row>
    <row r="597" ht="12.75" customHeight="1">
      <c r="D597" s="2"/>
    </row>
    <row r="598" ht="12.75" customHeight="1">
      <c r="D598" s="2"/>
    </row>
    <row r="599" ht="12.75" customHeight="1">
      <c r="D599" s="2"/>
    </row>
    <row r="600" ht="12.75" customHeight="1">
      <c r="D600" s="2"/>
    </row>
    <row r="601" ht="12.75" customHeight="1">
      <c r="D601" s="2"/>
    </row>
    <row r="602" ht="12.75" customHeight="1">
      <c r="D602" s="2"/>
    </row>
    <row r="603" ht="12.75" customHeight="1">
      <c r="D603" s="2"/>
    </row>
    <row r="604" ht="12.75" customHeight="1">
      <c r="D604" s="2"/>
    </row>
    <row r="605" ht="12.75" customHeight="1">
      <c r="D605" s="2"/>
    </row>
    <row r="606" ht="12.75" customHeight="1">
      <c r="D606" s="2"/>
    </row>
    <row r="607" ht="12.75" customHeight="1">
      <c r="D607" s="2"/>
    </row>
    <row r="608" ht="12.75" customHeight="1">
      <c r="D608" s="2"/>
    </row>
    <row r="609" ht="12.75" customHeight="1">
      <c r="D609" s="2"/>
    </row>
    <row r="610" ht="12.75" customHeight="1">
      <c r="D610" s="2"/>
    </row>
    <row r="611" ht="12.75" customHeight="1">
      <c r="D611" s="2"/>
    </row>
    <row r="612" ht="12.75" customHeight="1">
      <c r="D612" s="2"/>
    </row>
    <row r="613" ht="12.75" customHeight="1">
      <c r="D613" s="2"/>
    </row>
    <row r="614" ht="12.75" customHeight="1">
      <c r="D614" s="2"/>
    </row>
    <row r="615" ht="12.75" customHeight="1">
      <c r="D615" s="2"/>
    </row>
    <row r="616" ht="12.75" customHeight="1">
      <c r="D616" s="2"/>
    </row>
    <row r="617" ht="12.75" customHeight="1">
      <c r="D617" s="2"/>
    </row>
    <row r="618" ht="12.75" customHeight="1">
      <c r="D618" s="2"/>
    </row>
    <row r="619" ht="12.75" customHeight="1">
      <c r="D619" s="2"/>
    </row>
    <row r="620" ht="12.75" customHeight="1">
      <c r="D620" s="2"/>
    </row>
    <row r="621" ht="12.75" customHeight="1">
      <c r="D621" s="2"/>
    </row>
    <row r="622" ht="12.75" customHeight="1">
      <c r="D622" s="2"/>
    </row>
    <row r="623" ht="12.75" customHeight="1">
      <c r="D623" s="2"/>
    </row>
    <row r="624" ht="12.75" customHeight="1">
      <c r="D624" s="2"/>
    </row>
    <row r="625" ht="12.75" customHeight="1">
      <c r="D625" s="2"/>
    </row>
    <row r="626" ht="12.75" customHeight="1">
      <c r="D626" s="2"/>
    </row>
    <row r="627" ht="12.75" customHeight="1">
      <c r="D627" s="2"/>
    </row>
    <row r="628" ht="12.75" customHeight="1">
      <c r="D628" s="2"/>
    </row>
    <row r="629" ht="12.75" customHeight="1">
      <c r="D629" s="2"/>
    </row>
    <row r="630" ht="12.75" customHeight="1">
      <c r="D630" s="2"/>
    </row>
    <row r="631" ht="12.75" customHeight="1">
      <c r="D631" s="2"/>
    </row>
    <row r="632" ht="12.75" customHeight="1">
      <c r="D632" s="2"/>
    </row>
    <row r="633" ht="12.75" customHeight="1">
      <c r="D633" s="2"/>
    </row>
    <row r="634" ht="12.75" customHeight="1">
      <c r="D634" s="2"/>
    </row>
    <row r="635" ht="12.75" customHeight="1">
      <c r="D635" s="2"/>
    </row>
    <row r="636" ht="12.75" customHeight="1">
      <c r="D636" s="2"/>
    </row>
    <row r="637" ht="12.75" customHeight="1">
      <c r="D637" s="2"/>
    </row>
    <row r="638" ht="12.75" customHeight="1">
      <c r="D638" s="2"/>
    </row>
    <row r="639" ht="12.75" customHeight="1">
      <c r="D639" s="2"/>
    </row>
    <row r="640" ht="12.75" customHeight="1">
      <c r="D640" s="2"/>
    </row>
    <row r="641" ht="12.75" customHeight="1">
      <c r="D641" s="2"/>
    </row>
    <row r="642" ht="12.75" customHeight="1">
      <c r="D642" s="2"/>
    </row>
    <row r="643" ht="12.75" customHeight="1">
      <c r="D643" s="2"/>
    </row>
    <row r="644" ht="12.75" customHeight="1">
      <c r="D644" s="2"/>
    </row>
    <row r="645" ht="12.75" customHeight="1">
      <c r="D645" s="2"/>
    </row>
    <row r="646" ht="12.75" customHeight="1">
      <c r="D646" s="2"/>
    </row>
    <row r="647" ht="12.75" customHeight="1">
      <c r="D647" s="2"/>
    </row>
    <row r="648" ht="12.75" customHeight="1">
      <c r="D648" s="2"/>
    </row>
    <row r="649" ht="12.75" customHeight="1">
      <c r="D649" s="2"/>
    </row>
    <row r="650" ht="12.75" customHeight="1">
      <c r="D650" s="2"/>
    </row>
    <row r="651" ht="12.75" customHeight="1">
      <c r="D651" s="2"/>
    </row>
    <row r="652" ht="12.75" customHeight="1">
      <c r="D652" s="2"/>
    </row>
    <row r="653" ht="12.75" customHeight="1">
      <c r="D653" s="2"/>
    </row>
    <row r="654" ht="12.75" customHeight="1">
      <c r="D654" s="2"/>
    </row>
    <row r="655" ht="12.75" customHeight="1">
      <c r="D655" s="2"/>
    </row>
    <row r="656" ht="12.75" customHeight="1">
      <c r="D656" s="2"/>
    </row>
    <row r="657" ht="12.75" customHeight="1">
      <c r="D657" s="2"/>
    </row>
    <row r="658" ht="12.75" customHeight="1">
      <c r="D658" s="2"/>
    </row>
    <row r="659" ht="12.75" customHeight="1">
      <c r="D659" s="2"/>
    </row>
    <row r="660" ht="12.75" customHeight="1">
      <c r="D660" s="2"/>
    </row>
    <row r="661" ht="12.75" customHeight="1">
      <c r="D661" s="2"/>
    </row>
    <row r="662" ht="12.75" customHeight="1">
      <c r="D662" s="2"/>
    </row>
    <row r="663" ht="12.75" customHeight="1">
      <c r="D663" s="2"/>
    </row>
    <row r="664" ht="12.75" customHeight="1">
      <c r="D664" s="2"/>
    </row>
    <row r="665" ht="12.75" customHeight="1">
      <c r="D665" s="2"/>
    </row>
    <row r="666" ht="12.75" customHeight="1">
      <c r="D666" s="2"/>
    </row>
    <row r="667" ht="12.75" customHeight="1">
      <c r="D667" s="2"/>
    </row>
    <row r="668" ht="12.75" customHeight="1">
      <c r="D668" s="2"/>
    </row>
    <row r="669" ht="12.75" customHeight="1">
      <c r="D669" s="2"/>
    </row>
    <row r="670" ht="12.75" customHeight="1">
      <c r="D670" s="2"/>
    </row>
    <row r="671" ht="12.75" customHeight="1">
      <c r="D671" s="2"/>
    </row>
    <row r="672" ht="12.75" customHeight="1">
      <c r="D672" s="2"/>
    </row>
    <row r="673" ht="12.75" customHeight="1">
      <c r="D673" s="2"/>
    </row>
    <row r="674" ht="12.75" customHeight="1">
      <c r="D674" s="2"/>
    </row>
    <row r="675" ht="12.75" customHeight="1">
      <c r="D675" s="2"/>
    </row>
    <row r="676" ht="12.75" customHeight="1">
      <c r="D676" s="2"/>
    </row>
    <row r="677" ht="12.75" customHeight="1">
      <c r="D677" s="2"/>
    </row>
    <row r="678" ht="12.75" customHeight="1">
      <c r="D678" s="2"/>
    </row>
    <row r="679" ht="12.75" customHeight="1">
      <c r="D679" s="2"/>
    </row>
    <row r="680" ht="12.75" customHeight="1">
      <c r="D680" s="2"/>
    </row>
    <row r="681" ht="12.75" customHeight="1">
      <c r="D681" s="2"/>
    </row>
    <row r="682" ht="12.75" customHeight="1">
      <c r="D682" s="2"/>
    </row>
    <row r="683" ht="12.75" customHeight="1">
      <c r="D683" s="2"/>
    </row>
    <row r="684" ht="12.75" customHeight="1">
      <c r="D684" s="2"/>
    </row>
    <row r="685" ht="12.75" customHeight="1">
      <c r="D685" s="2"/>
    </row>
    <row r="686" ht="12.75" customHeight="1">
      <c r="D686" s="2"/>
    </row>
    <row r="687" ht="12.75" customHeight="1">
      <c r="D687" s="2"/>
    </row>
    <row r="688" ht="12.75" customHeight="1">
      <c r="D688" s="2"/>
    </row>
    <row r="689" ht="12.75" customHeight="1">
      <c r="D689" s="2"/>
    </row>
    <row r="690" ht="12.75" customHeight="1">
      <c r="D690" s="2"/>
    </row>
    <row r="691" ht="12.75" customHeight="1">
      <c r="D691" s="2"/>
    </row>
    <row r="692" ht="12.75" customHeight="1">
      <c r="D692" s="2"/>
    </row>
    <row r="693" ht="12.75" customHeight="1">
      <c r="D693" s="2"/>
    </row>
    <row r="694" ht="12.75" customHeight="1">
      <c r="D694" s="2"/>
    </row>
    <row r="695" ht="12.75" customHeight="1">
      <c r="D695" s="2"/>
    </row>
    <row r="696" ht="12.75" customHeight="1">
      <c r="D696" s="2"/>
    </row>
    <row r="697" ht="12.75" customHeight="1">
      <c r="D697" s="2"/>
    </row>
    <row r="698" ht="12.75" customHeight="1">
      <c r="D698" s="2"/>
    </row>
    <row r="699" ht="12.75" customHeight="1">
      <c r="D699" s="2"/>
    </row>
    <row r="700" ht="12.75" customHeight="1">
      <c r="D700" s="2"/>
    </row>
    <row r="701" ht="12.75" customHeight="1">
      <c r="D701" s="2"/>
    </row>
    <row r="702" ht="12.75" customHeight="1">
      <c r="D702" s="2"/>
    </row>
    <row r="703" ht="12.75" customHeight="1">
      <c r="D703" s="2"/>
    </row>
    <row r="704" ht="12.75" customHeight="1">
      <c r="D704" s="2"/>
    </row>
    <row r="705" ht="12.75" customHeight="1">
      <c r="D705" s="2"/>
    </row>
    <row r="706" ht="12.75" customHeight="1">
      <c r="D706" s="2"/>
    </row>
    <row r="707" ht="12.75" customHeight="1">
      <c r="D707" s="2"/>
    </row>
    <row r="708" ht="12.75" customHeight="1">
      <c r="D708" s="2"/>
    </row>
    <row r="709" ht="12.75" customHeight="1">
      <c r="D709" s="2"/>
    </row>
    <row r="710" ht="12.75" customHeight="1">
      <c r="D710" s="2"/>
    </row>
    <row r="711" ht="12.75" customHeight="1">
      <c r="D711" s="2"/>
    </row>
    <row r="712" ht="12.75" customHeight="1">
      <c r="D712" s="2"/>
    </row>
    <row r="713" ht="12.75" customHeight="1">
      <c r="D713" s="2"/>
    </row>
    <row r="714" ht="12.75" customHeight="1">
      <c r="D714" s="2"/>
    </row>
    <row r="715" ht="12.75" customHeight="1">
      <c r="D715" s="2"/>
    </row>
    <row r="716" ht="12.75" customHeight="1">
      <c r="D716" s="2"/>
    </row>
    <row r="717" ht="12.75" customHeight="1">
      <c r="D717" s="2"/>
    </row>
    <row r="718" ht="12.75" customHeight="1">
      <c r="D718" s="2"/>
    </row>
    <row r="719" ht="12.75" customHeight="1">
      <c r="D719" s="2"/>
    </row>
    <row r="720" ht="12.75" customHeight="1">
      <c r="D720" s="2"/>
    </row>
    <row r="721" ht="12.75" customHeight="1">
      <c r="D721" s="2"/>
    </row>
    <row r="722" ht="12.75" customHeight="1">
      <c r="D722" s="2"/>
    </row>
    <row r="723" ht="12.75" customHeight="1">
      <c r="D723" s="2"/>
    </row>
    <row r="724" ht="12.75" customHeight="1">
      <c r="D724" s="2"/>
    </row>
    <row r="725" ht="12.75" customHeight="1">
      <c r="D725" s="2"/>
    </row>
    <row r="726" ht="12.75" customHeight="1">
      <c r="D726" s="2"/>
    </row>
    <row r="727" ht="12.75" customHeight="1">
      <c r="D727" s="2"/>
    </row>
    <row r="728" ht="12.75" customHeight="1">
      <c r="D728" s="2"/>
    </row>
    <row r="729" ht="12.75" customHeight="1">
      <c r="D729" s="2"/>
    </row>
    <row r="730" ht="12.75" customHeight="1">
      <c r="D730" s="2"/>
    </row>
    <row r="731" ht="12.75" customHeight="1">
      <c r="D731" s="2"/>
    </row>
    <row r="732" ht="12.75" customHeight="1">
      <c r="D732" s="2"/>
    </row>
    <row r="733" ht="12.75" customHeight="1">
      <c r="D733" s="2"/>
    </row>
    <row r="734" ht="12.75" customHeight="1">
      <c r="D734" s="2"/>
    </row>
    <row r="735" ht="12.75" customHeight="1">
      <c r="D735" s="2"/>
    </row>
    <row r="736" ht="12.75" customHeight="1">
      <c r="D736" s="2"/>
    </row>
    <row r="737" ht="12.75" customHeight="1">
      <c r="D737" s="2"/>
    </row>
    <row r="738" ht="12.75" customHeight="1">
      <c r="D738" s="2"/>
    </row>
    <row r="739" ht="12.75" customHeight="1">
      <c r="D739" s="2"/>
    </row>
    <row r="740" ht="12.75" customHeight="1">
      <c r="D740" s="2"/>
    </row>
    <row r="741" ht="12.75" customHeight="1">
      <c r="D741" s="2"/>
    </row>
    <row r="742" ht="12.75" customHeight="1">
      <c r="D742" s="2"/>
    </row>
    <row r="743" ht="12.75" customHeight="1">
      <c r="D743" s="2"/>
    </row>
    <row r="744" ht="12.75" customHeight="1">
      <c r="D744" s="2"/>
    </row>
    <row r="745" ht="12.75" customHeight="1">
      <c r="D745" s="2"/>
    </row>
    <row r="746" ht="12.75" customHeight="1">
      <c r="D746" s="2"/>
    </row>
    <row r="747" ht="12.75" customHeight="1">
      <c r="D747" s="2"/>
    </row>
    <row r="748" ht="12.75" customHeight="1">
      <c r="D748" s="2"/>
    </row>
    <row r="749" ht="12.75" customHeight="1">
      <c r="D749" s="2"/>
    </row>
    <row r="750" ht="12.75" customHeight="1">
      <c r="D750" s="2"/>
    </row>
    <row r="751" ht="12.75" customHeight="1">
      <c r="D751" s="2"/>
    </row>
    <row r="752" ht="12.75" customHeight="1">
      <c r="D752" s="2"/>
    </row>
    <row r="753" ht="12.75" customHeight="1">
      <c r="D753" s="2"/>
    </row>
    <row r="754" ht="12.75" customHeight="1">
      <c r="D754" s="2"/>
    </row>
    <row r="755" ht="12.75" customHeight="1">
      <c r="D755" s="2"/>
    </row>
    <row r="756" ht="12.75" customHeight="1">
      <c r="D756" s="2"/>
    </row>
    <row r="757" ht="12.75" customHeight="1">
      <c r="D757" s="2"/>
    </row>
    <row r="758" ht="12.75" customHeight="1">
      <c r="D758" s="2"/>
    </row>
    <row r="759" ht="12.75" customHeight="1">
      <c r="D759" s="2"/>
    </row>
    <row r="760" ht="12.75" customHeight="1">
      <c r="D760" s="2"/>
    </row>
    <row r="761" ht="12.75" customHeight="1">
      <c r="D761" s="2"/>
    </row>
    <row r="762" ht="12.75" customHeight="1">
      <c r="D762" s="2"/>
    </row>
    <row r="763" ht="12.75" customHeight="1">
      <c r="D763" s="2"/>
    </row>
    <row r="764" ht="12.75" customHeight="1">
      <c r="D764" s="2"/>
    </row>
    <row r="765" ht="12.75" customHeight="1">
      <c r="D765" s="2"/>
    </row>
    <row r="766" ht="12.75" customHeight="1">
      <c r="D766" s="2"/>
    </row>
    <row r="767" ht="12.75" customHeight="1">
      <c r="D767" s="2"/>
    </row>
    <row r="768" ht="12.75" customHeight="1">
      <c r="D768" s="2"/>
    </row>
    <row r="769" ht="12.75" customHeight="1">
      <c r="D769" s="2"/>
    </row>
    <row r="770" ht="12.75" customHeight="1">
      <c r="D770" s="2"/>
    </row>
    <row r="771" ht="12.75" customHeight="1">
      <c r="D771" s="2"/>
    </row>
    <row r="772" ht="12.75" customHeight="1">
      <c r="D772" s="2"/>
    </row>
    <row r="773" ht="12.75" customHeight="1">
      <c r="D773" s="2"/>
    </row>
    <row r="774" ht="12.75" customHeight="1">
      <c r="D774" s="2"/>
    </row>
    <row r="775" ht="12.75" customHeight="1">
      <c r="D775" s="2"/>
    </row>
    <row r="776" ht="12.75" customHeight="1">
      <c r="D776" s="2"/>
    </row>
    <row r="777" ht="12.75" customHeight="1">
      <c r="D777" s="2"/>
    </row>
    <row r="778" ht="12.75" customHeight="1">
      <c r="D778" s="2"/>
    </row>
    <row r="779" ht="12.75" customHeight="1">
      <c r="D779" s="2"/>
    </row>
    <row r="780" ht="12.75" customHeight="1">
      <c r="D780" s="2"/>
    </row>
    <row r="781" ht="12.75" customHeight="1">
      <c r="D781" s="2"/>
    </row>
    <row r="782" ht="12.75" customHeight="1">
      <c r="D782" s="2"/>
    </row>
    <row r="783" ht="12.75" customHeight="1">
      <c r="D783" s="2"/>
    </row>
    <row r="784" ht="12.75" customHeight="1">
      <c r="D784" s="2"/>
    </row>
    <row r="785" ht="12.75" customHeight="1">
      <c r="D785" s="2"/>
    </row>
    <row r="786" ht="12.75" customHeight="1">
      <c r="D786" s="2"/>
    </row>
    <row r="787" ht="12.75" customHeight="1">
      <c r="D787" s="2"/>
    </row>
    <row r="788" ht="12.75" customHeight="1">
      <c r="D788" s="2"/>
    </row>
    <row r="789" ht="12.75" customHeight="1">
      <c r="D789" s="2"/>
    </row>
    <row r="790" ht="12.75" customHeight="1">
      <c r="D790" s="2"/>
    </row>
    <row r="791" ht="12.75" customHeight="1">
      <c r="D791" s="2"/>
    </row>
    <row r="792" ht="12.75" customHeight="1">
      <c r="D792" s="2"/>
    </row>
    <row r="793" ht="12.75" customHeight="1">
      <c r="D793" s="2"/>
    </row>
    <row r="794" ht="12.75" customHeight="1">
      <c r="D794" s="2"/>
    </row>
    <row r="795" ht="12.75" customHeight="1">
      <c r="D795" s="2"/>
    </row>
    <row r="796" ht="12.75" customHeight="1">
      <c r="D796" s="2"/>
    </row>
    <row r="797" ht="12.75" customHeight="1">
      <c r="D797" s="2"/>
    </row>
    <row r="798" ht="12.75" customHeight="1">
      <c r="D798" s="2"/>
    </row>
    <row r="799" ht="12.75" customHeight="1">
      <c r="D799" s="2"/>
    </row>
    <row r="800" ht="12.75" customHeight="1">
      <c r="D800" s="2"/>
    </row>
    <row r="801" ht="12.75" customHeight="1">
      <c r="D801" s="2"/>
    </row>
    <row r="802" ht="12.75" customHeight="1">
      <c r="D802" s="2"/>
    </row>
    <row r="803" ht="12.75" customHeight="1">
      <c r="D803" s="2"/>
    </row>
    <row r="804" ht="12.75" customHeight="1">
      <c r="D804" s="2"/>
    </row>
    <row r="805" ht="12.75" customHeight="1">
      <c r="D805" s="2"/>
    </row>
    <row r="806" ht="12.75" customHeight="1">
      <c r="D806" s="2"/>
    </row>
    <row r="807" ht="12.75" customHeight="1">
      <c r="D807" s="2"/>
    </row>
    <row r="808" ht="12.75" customHeight="1">
      <c r="D808" s="2"/>
    </row>
    <row r="809" ht="12.75" customHeight="1">
      <c r="D809" s="2"/>
    </row>
    <row r="810" ht="12.75" customHeight="1">
      <c r="D810" s="2"/>
    </row>
    <row r="811" ht="12.75" customHeight="1">
      <c r="D811" s="2"/>
    </row>
    <row r="812" ht="12.75" customHeight="1">
      <c r="D812" s="2"/>
    </row>
    <row r="813" ht="12.75" customHeight="1">
      <c r="D813" s="2"/>
    </row>
    <row r="814" ht="12.75" customHeight="1">
      <c r="D814" s="2"/>
    </row>
    <row r="815" ht="12.75" customHeight="1">
      <c r="D815" s="2"/>
    </row>
    <row r="816" ht="12.75" customHeight="1">
      <c r="D816" s="2"/>
    </row>
    <row r="817" ht="12.75" customHeight="1">
      <c r="D817" s="2"/>
    </row>
    <row r="818" ht="12.75" customHeight="1">
      <c r="D818" s="2"/>
    </row>
    <row r="819" ht="12.75" customHeight="1">
      <c r="D819" s="2"/>
    </row>
    <row r="820" ht="12.75" customHeight="1">
      <c r="D820" s="2"/>
    </row>
    <row r="821" ht="12.75" customHeight="1">
      <c r="D821" s="2"/>
    </row>
    <row r="822" ht="12.75" customHeight="1">
      <c r="D822" s="2"/>
    </row>
    <row r="823" ht="12.75" customHeight="1">
      <c r="D823" s="2"/>
    </row>
    <row r="824" ht="12.75" customHeight="1">
      <c r="D824" s="2"/>
    </row>
    <row r="825" ht="12.75" customHeight="1">
      <c r="D825" s="2"/>
    </row>
    <row r="826" ht="12.75" customHeight="1">
      <c r="D826" s="2"/>
    </row>
    <row r="827" ht="12.75" customHeight="1">
      <c r="D827" s="2"/>
    </row>
    <row r="828" ht="12.75" customHeight="1">
      <c r="D828" s="2"/>
    </row>
    <row r="829" ht="12.75" customHeight="1">
      <c r="D829" s="2"/>
    </row>
    <row r="830" ht="12.75" customHeight="1">
      <c r="D830" s="2"/>
    </row>
    <row r="831" ht="12.75" customHeight="1">
      <c r="D831" s="2"/>
    </row>
    <row r="832" ht="12.75" customHeight="1">
      <c r="D832" s="2"/>
    </row>
    <row r="833" ht="12.75" customHeight="1">
      <c r="D833" s="2"/>
    </row>
    <row r="834" ht="12.75" customHeight="1">
      <c r="D834" s="2"/>
    </row>
    <row r="835" ht="12.75" customHeight="1">
      <c r="D835" s="2"/>
    </row>
    <row r="836" ht="12.75" customHeight="1">
      <c r="D836" s="2"/>
    </row>
    <row r="837" ht="12.75" customHeight="1">
      <c r="D837" s="2"/>
    </row>
    <row r="838" ht="12.75" customHeight="1">
      <c r="D838" s="2"/>
    </row>
    <row r="839" ht="12.75" customHeight="1">
      <c r="D839" s="2"/>
    </row>
    <row r="840" ht="12.75" customHeight="1">
      <c r="D840" s="2"/>
    </row>
    <row r="841" ht="12.75" customHeight="1">
      <c r="D841" s="2"/>
    </row>
    <row r="842" ht="12.75" customHeight="1">
      <c r="D842" s="2"/>
    </row>
    <row r="843" ht="12.75" customHeight="1">
      <c r="D843" s="2"/>
    </row>
    <row r="844" ht="12.75" customHeight="1">
      <c r="D844" s="2"/>
    </row>
    <row r="845" ht="12.75" customHeight="1">
      <c r="D845" s="2"/>
    </row>
    <row r="846" ht="12.75" customHeight="1">
      <c r="D846" s="2"/>
    </row>
    <row r="847" ht="12.75" customHeight="1">
      <c r="D847" s="2"/>
    </row>
    <row r="848" ht="12.75" customHeight="1">
      <c r="D848" s="2"/>
    </row>
    <row r="849" ht="12.75" customHeight="1">
      <c r="D849" s="2"/>
    </row>
    <row r="850" ht="12.75" customHeight="1">
      <c r="D850" s="2"/>
    </row>
    <row r="851" ht="12.75" customHeight="1">
      <c r="D851" s="2"/>
    </row>
    <row r="852" ht="12.75" customHeight="1">
      <c r="D852" s="2"/>
    </row>
    <row r="853" ht="12.75" customHeight="1">
      <c r="D853" s="2"/>
    </row>
    <row r="854" ht="12.75" customHeight="1">
      <c r="D854" s="2"/>
    </row>
    <row r="855" ht="12.75" customHeight="1">
      <c r="D855" s="2"/>
    </row>
    <row r="856" ht="12.75" customHeight="1">
      <c r="D856" s="2"/>
    </row>
    <row r="857" ht="12.75" customHeight="1">
      <c r="D857" s="2"/>
    </row>
    <row r="858" ht="12.75" customHeight="1">
      <c r="D858" s="2"/>
    </row>
    <row r="859" ht="12.75" customHeight="1">
      <c r="D859" s="2"/>
    </row>
    <row r="860" ht="12.75" customHeight="1">
      <c r="D860" s="2"/>
    </row>
    <row r="861" ht="12.75" customHeight="1">
      <c r="D861" s="2"/>
    </row>
    <row r="862" ht="12.75" customHeight="1">
      <c r="D862" s="2"/>
    </row>
    <row r="863" ht="12.75" customHeight="1">
      <c r="D863" s="2"/>
    </row>
    <row r="864" ht="12.75" customHeight="1">
      <c r="D864" s="2"/>
    </row>
    <row r="865" ht="12.75" customHeight="1">
      <c r="D865" s="2"/>
    </row>
    <row r="866" ht="12.75" customHeight="1">
      <c r="D866" s="2"/>
    </row>
    <row r="867" ht="12.75" customHeight="1">
      <c r="D867" s="2"/>
    </row>
    <row r="868" ht="12.75" customHeight="1">
      <c r="D868" s="2"/>
    </row>
    <row r="869" ht="12.75" customHeight="1">
      <c r="D869" s="2"/>
    </row>
    <row r="870" ht="12.75" customHeight="1">
      <c r="D870" s="2"/>
    </row>
    <row r="871" ht="12.75" customHeight="1">
      <c r="D871" s="2"/>
    </row>
    <row r="872" ht="12.75" customHeight="1">
      <c r="D872" s="2"/>
    </row>
    <row r="873" ht="12.75" customHeight="1">
      <c r="D873" s="2"/>
    </row>
    <row r="874" ht="12.75" customHeight="1">
      <c r="D874" s="2"/>
    </row>
    <row r="875" ht="12.75" customHeight="1">
      <c r="D875" s="2"/>
    </row>
    <row r="876" ht="12.75" customHeight="1">
      <c r="D876" s="2"/>
    </row>
    <row r="877" ht="12.75" customHeight="1">
      <c r="D877" s="2"/>
    </row>
    <row r="878" ht="12.75" customHeight="1">
      <c r="D878" s="2"/>
    </row>
    <row r="879" ht="12.75" customHeight="1">
      <c r="D879" s="2"/>
    </row>
    <row r="880" ht="12.75" customHeight="1">
      <c r="D880" s="2"/>
    </row>
    <row r="881" ht="12.75" customHeight="1">
      <c r="D881" s="2"/>
    </row>
    <row r="882" ht="12.75" customHeight="1">
      <c r="D882" s="2"/>
    </row>
    <row r="883" ht="12.75" customHeight="1">
      <c r="D883" s="2"/>
    </row>
    <row r="884" ht="12.75" customHeight="1">
      <c r="D884" s="2"/>
    </row>
    <row r="885" ht="12.75" customHeight="1">
      <c r="D885" s="2"/>
    </row>
    <row r="886" ht="12.75" customHeight="1">
      <c r="D886" s="2"/>
    </row>
    <row r="887" ht="12.75" customHeight="1">
      <c r="D887" s="2"/>
    </row>
    <row r="888" ht="12.75" customHeight="1">
      <c r="D888" s="2"/>
    </row>
    <row r="889" ht="12.75" customHeight="1">
      <c r="D889" s="2"/>
    </row>
    <row r="890" ht="12.75" customHeight="1">
      <c r="D890" s="2"/>
    </row>
    <row r="891" ht="12.75" customHeight="1">
      <c r="D891" s="2"/>
    </row>
    <row r="892" ht="12.75" customHeight="1">
      <c r="D892" s="2"/>
    </row>
    <row r="893" ht="12.75" customHeight="1">
      <c r="D893" s="2"/>
    </row>
    <row r="894" ht="12.75" customHeight="1">
      <c r="D894" s="2"/>
    </row>
    <row r="895" ht="12.75" customHeight="1">
      <c r="D895" s="2"/>
    </row>
    <row r="896" ht="12.75" customHeight="1">
      <c r="D896" s="2"/>
    </row>
    <row r="897" ht="12.75" customHeight="1">
      <c r="D897" s="2"/>
    </row>
    <row r="898" ht="12.75" customHeight="1">
      <c r="D898" s="2"/>
    </row>
    <row r="899" ht="12.75" customHeight="1">
      <c r="D899" s="2"/>
    </row>
    <row r="900" ht="12.75" customHeight="1">
      <c r="D900" s="2"/>
    </row>
    <row r="901" ht="12.75" customHeight="1">
      <c r="D901" s="2"/>
    </row>
    <row r="902" ht="12.75" customHeight="1">
      <c r="D902" s="2"/>
    </row>
    <row r="903" ht="12.75" customHeight="1">
      <c r="D903" s="2"/>
    </row>
    <row r="904" ht="12.75" customHeight="1">
      <c r="D904" s="2"/>
    </row>
    <row r="905" ht="12.75" customHeight="1">
      <c r="D905" s="2"/>
    </row>
    <row r="906" ht="12.75" customHeight="1">
      <c r="D906" s="2"/>
    </row>
    <row r="907" ht="12.75" customHeight="1">
      <c r="D907" s="2"/>
    </row>
    <row r="908" ht="12.75" customHeight="1">
      <c r="D908" s="2"/>
    </row>
    <row r="909" ht="12.75" customHeight="1">
      <c r="D909" s="2"/>
    </row>
    <row r="910" ht="12.75" customHeight="1">
      <c r="D910" s="2"/>
    </row>
    <row r="911" ht="12.75" customHeight="1">
      <c r="D911" s="2"/>
    </row>
    <row r="912" ht="12.75" customHeight="1">
      <c r="D912" s="2"/>
    </row>
    <row r="913" ht="12.75" customHeight="1">
      <c r="D913" s="2"/>
    </row>
    <row r="914" ht="12.75" customHeight="1">
      <c r="D914" s="2"/>
    </row>
    <row r="915" ht="12.75" customHeight="1">
      <c r="D915" s="2"/>
    </row>
    <row r="916" ht="12.75" customHeight="1">
      <c r="D916" s="2"/>
    </row>
    <row r="917" ht="12.75" customHeight="1">
      <c r="D917" s="2"/>
    </row>
    <row r="918" ht="12.75" customHeight="1">
      <c r="D918" s="2"/>
    </row>
    <row r="919" ht="12.75" customHeight="1">
      <c r="D919" s="2"/>
    </row>
    <row r="920" ht="12.75" customHeight="1">
      <c r="D920" s="2"/>
    </row>
    <row r="921" ht="12.75" customHeight="1">
      <c r="D921" s="2"/>
    </row>
    <row r="922" ht="12.75" customHeight="1">
      <c r="D922" s="2"/>
    </row>
    <row r="923" ht="12.75" customHeight="1">
      <c r="D923" s="2"/>
    </row>
    <row r="924" ht="12.75" customHeight="1">
      <c r="D924" s="2"/>
    </row>
    <row r="925" ht="12.75" customHeight="1">
      <c r="D925" s="2"/>
    </row>
    <row r="926" ht="12.75" customHeight="1">
      <c r="D926" s="2"/>
    </row>
    <row r="927" ht="12.75" customHeight="1">
      <c r="D927" s="2"/>
    </row>
    <row r="928" ht="12.75" customHeight="1">
      <c r="D928" s="2"/>
    </row>
    <row r="929" ht="12.75" customHeight="1">
      <c r="D929" s="2"/>
    </row>
    <row r="930" ht="12.75" customHeight="1">
      <c r="D930" s="2"/>
    </row>
    <row r="931" ht="12.75" customHeight="1">
      <c r="D931" s="2"/>
    </row>
    <row r="932" ht="12.75" customHeight="1">
      <c r="D932" s="2"/>
    </row>
    <row r="933" ht="12.75" customHeight="1">
      <c r="D933" s="2"/>
    </row>
    <row r="934" ht="12.75" customHeight="1">
      <c r="D934" s="2"/>
    </row>
    <row r="935" ht="12.75" customHeight="1">
      <c r="D935" s="2"/>
    </row>
    <row r="936" ht="12.75" customHeight="1">
      <c r="D936" s="2"/>
    </row>
    <row r="937" ht="12.75" customHeight="1">
      <c r="D937" s="2"/>
    </row>
    <row r="938" ht="12.75" customHeight="1">
      <c r="D938" s="2"/>
    </row>
    <row r="939" ht="12.75" customHeight="1">
      <c r="D939" s="2"/>
    </row>
    <row r="940" ht="12.75" customHeight="1">
      <c r="D940" s="2"/>
    </row>
    <row r="941" ht="12.75" customHeight="1">
      <c r="D941" s="2"/>
    </row>
    <row r="942" ht="12.75" customHeight="1">
      <c r="D942" s="2"/>
    </row>
    <row r="943" ht="12.75" customHeight="1">
      <c r="D943" s="2"/>
    </row>
    <row r="944" ht="12.75" customHeight="1">
      <c r="D944" s="2"/>
    </row>
    <row r="945" ht="12.75" customHeight="1">
      <c r="D945" s="2"/>
    </row>
    <row r="946" ht="12.75" customHeight="1">
      <c r="D946" s="2"/>
    </row>
    <row r="947" ht="12.75" customHeight="1">
      <c r="D947" s="2"/>
    </row>
    <row r="948" ht="12.75" customHeight="1">
      <c r="D948" s="2"/>
    </row>
    <row r="949" ht="12.75" customHeight="1">
      <c r="D949" s="2"/>
    </row>
    <row r="950" ht="12.75" customHeight="1">
      <c r="D950" s="2"/>
    </row>
    <row r="951" ht="12.75" customHeight="1">
      <c r="D951" s="2"/>
    </row>
    <row r="952" ht="12.75" customHeight="1">
      <c r="D952" s="2"/>
    </row>
    <row r="953" ht="12.75" customHeight="1">
      <c r="D953" s="2"/>
    </row>
    <row r="954" ht="12.75" customHeight="1">
      <c r="D954" s="2"/>
    </row>
    <row r="955" ht="12.75" customHeight="1">
      <c r="D955" s="2"/>
    </row>
    <row r="956" ht="12.75" customHeight="1">
      <c r="D956" s="2"/>
    </row>
    <row r="957" ht="12.75" customHeight="1">
      <c r="D957" s="2"/>
    </row>
    <row r="958" ht="12.75" customHeight="1">
      <c r="D958" s="2"/>
    </row>
    <row r="959" ht="12.75" customHeight="1">
      <c r="D959" s="2"/>
    </row>
    <row r="960" ht="12.75" customHeight="1">
      <c r="D960" s="2"/>
    </row>
    <row r="961" ht="12.75" customHeight="1">
      <c r="D961" s="2"/>
    </row>
    <row r="962" ht="12.75" customHeight="1">
      <c r="D962" s="2"/>
    </row>
    <row r="963" ht="12.75" customHeight="1">
      <c r="D963" s="2"/>
    </row>
    <row r="964" ht="12.75" customHeight="1">
      <c r="D964" s="2"/>
    </row>
    <row r="965" ht="12.75" customHeight="1">
      <c r="D965" s="2"/>
    </row>
    <row r="966" ht="12.75" customHeight="1">
      <c r="D966" s="2"/>
    </row>
    <row r="967" ht="12.75" customHeight="1">
      <c r="D967" s="2"/>
    </row>
    <row r="968" ht="12.75" customHeight="1">
      <c r="D968" s="2"/>
    </row>
    <row r="969" ht="12.75" customHeight="1">
      <c r="D969" s="2"/>
    </row>
    <row r="970" ht="12.75" customHeight="1">
      <c r="D970" s="2"/>
    </row>
    <row r="971" ht="12.75" customHeight="1">
      <c r="D971" s="2"/>
    </row>
    <row r="972" ht="12.75" customHeight="1">
      <c r="D972" s="2"/>
    </row>
    <row r="973" ht="12.75" customHeight="1">
      <c r="D973" s="2"/>
    </row>
    <row r="974" ht="12.75" customHeight="1">
      <c r="D974" s="2"/>
    </row>
    <row r="975" ht="12.75" customHeight="1">
      <c r="D975" s="2"/>
    </row>
    <row r="976" ht="12.75" customHeight="1">
      <c r="D976" s="2"/>
    </row>
    <row r="977" ht="12.75" customHeight="1">
      <c r="D977" s="2"/>
    </row>
    <row r="978" ht="12.75" customHeight="1">
      <c r="D978" s="2"/>
    </row>
    <row r="979" ht="12.75" customHeight="1">
      <c r="D979" s="2"/>
    </row>
    <row r="980" ht="12.75" customHeight="1">
      <c r="D980" s="2"/>
    </row>
    <row r="981" ht="12.75" customHeight="1">
      <c r="D981" s="2"/>
    </row>
    <row r="982" ht="12.75" customHeight="1">
      <c r="D982" s="2"/>
    </row>
    <row r="983" ht="12.75" customHeight="1">
      <c r="D983" s="2"/>
    </row>
    <row r="984" ht="12.75" customHeight="1">
      <c r="D984" s="2"/>
    </row>
    <row r="985" ht="12.75" customHeight="1">
      <c r="D985" s="2"/>
    </row>
    <row r="986" ht="12.75" customHeight="1">
      <c r="D986" s="2"/>
    </row>
    <row r="987" ht="12.75" customHeight="1">
      <c r="D987" s="2"/>
    </row>
    <row r="988" ht="12.75" customHeight="1">
      <c r="D988" s="2"/>
    </row>
    <row r="989" ht="12.75" customHeight="1">
      <c r="D989" s="2"/>
    </row>
    <row r="990" ht="12.75" customHeight="1">
      <c r="D990" s="2"/>
    </row>
    <row r="991" ht="12.75" customHeight="1">
      <c r="D991" s="2"/>
    </row>
    <row r="992" ht="12.75" customHeight="1">
      <c r="D992" s="2"/>
    </row>
    <row r="993" ht="12.75" customHeight="1">
      <c r="D993" s="2"/>
    </row>
    <row r="994" ht="12.75" customHeight="1">
      <c r="D994" s="2"/>
    </row>
    <row r="995" ht="12.75" customHeight="1">
      <c r="D995" s="2"/>
    </row>
    <row r="996" ht="12.75" customHeight="1">
      <c r="D996" s="2"/>
    </row>
    <row r="997" ht="12.75" customHeight="1">
      <c r="D997" s="2"/>
    </row>
    <row r="998" ht="12.75" customHeight="1">
      <c r="D998" s="2"/>
    </row>
    <row r="999" ht="12.75" customHeight="1">
      <c r="D999" s="2"/>
    </row>
    <row r="1000" ht="12.75" customHeight="1">
      <c r="D100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1.0"/>
    <col customWidth="1" min="2" max="2" width="8.0"/>
    <col customWidth="1" min="3" max="3" width="19.86"/>
    <col customWidth="1" min="4" max="4" width="10.0"/>
    <col customWidth="1" min="5" max="5" width="11.0"/>
    <col customWidth="1" min="6" max="16" width="8.0"/>
    <col customWidth="1" min="17" max="17" width="10.0"/>
    <col customWidth="1" min="18" max="27" width="8.0"/>
  </cols>
  <sheetData>
    <row r="1" ht="12.75" customHeight="1">
      <c r="A1" s="2"/>
      <c r="C1" s="2"/>
      <c r="D1" s="2"/>
      <c r="E1" s="2"/>
      <c r="Q1" s="2"/>
    </row>
    <row r="2" ht="12.75" customHeight="1">
      <c r="A2" s="2"/>
      <c r="B2" s="2">
        <v>1.0</v>
      </c>
      <c r="C2" s="2" t="s">
        <v>164</v>
      </c>
      <c r="D2" s="2">
        <v>3.20081024E8</v>
      </c>
      <c r="E2" s="2">
        <v>1.400003006E9</v>
      </c>
      <c r="F2" s="2">
        <v>997.0</v>
      </c>
      <c r="G2" s="2">
        <v>3.0</v>
      </c>
      <c r="H2" s="2">
        <v>446250.0</v>
      </c>
      <c r="I2" s="2">
        <v>1785000.0</v>
      </c>
      <c r="J2" s="2">
        <v>1.0</v>
      </c>
      <c r="K2" s="2">
        <v>7.0</v>
      </c>
      <c r="O2" s="2" t="s">
        <v>165</v>
      </c>
      <c r="P2" s="2" t="s">
        <v>166</v>
      </c>
      <c r="Q2" s="2"/>
      <c r="R2" s="2" t="s">
        <v>167</v>
      </c>
      <c r="S2" s="11">
        <v>42219.665289351855</v>
      </c>
    </row>
    <row r="3" ht="12.75" customHeight="1">
      <c r="A3" s="2"/>
      <c r="B3" s="2">
        <v>1.0</v>
      </c>
      <c r="C3" s="2" t="s">
        <v>168</v>
      </c>
      <c r="D3" s="2">
        <v>3.2008102E8</v>
      </c>
      <c r="E3" s="2">
        <v>1.400003006E9</v>
      </c>
      <c r="F3" s="2">
        <v>5399.0</v>
      </c>
      <c r="G3" s="2">
        <v>2.0</v>
      </c>
      <c r="H3" s="2">
        <v>167500.0</v>
      </c>
      <c r="I3" s="2">
        <v>670000.0</v>
      </c>
      <c r="J3" s="2">
        <v>1.0</v>
      </c>
      <c r="K3" s="2">
        <v>7.0</v>
      </c>
      <c r="O3" s="2" t="s">
        <v>169</v>
      </c>
      <c r="P3" s="2" t="s">
        <v>166</v>
      </c>
      <c r="Q3" s="2"/>
      <c r="R3" s="2" t="s">
        <v>167</v>
      </c>
      <c r="S3" s="11">
        <v>42219.665289351855</v>
      </c>
    </row>
    <row r="4" ht="12.75" customHeight="1">
      <c r="A4" s="2"/>
      <c r="B4" s="2">
        <v>1.0</v>
      </c>
      <c r="C4" s="2" t="s">
        <v>170</v>
      </c>
      <c r="D4" s="2">
        <v>3.20081018E8</v>
      </c>
      <c r="E4" s="2">
        <v>1.400003006E9</v>
      </c>
      <c r="F4" s="2">
        <v>7298.0</v>
      </c>
      <c r="G4" s="2">
        <v>1.0</v>
      </c>
      <c r="H4" s="2">
        <v>105000.0</v>
      </c>
      <c r="I4" s="2">
        <v>420000.0</v>
      </c>
      <c r="J4" s="2">
        <v>1.0</v>
      </c>
      <c r="K4" s="2">
        <v>7.0</v>
      </c>
      <c r="O4" s="2" t="s">
        <v>171</v>
      </c>
      <c r="P4" s="2" t="s">
        <v>166</v>
      </c>
      <c r="Q4" s="2"/>
      <c r="R4" s="2" t="s">
        <v>167</v>
      </c>
      <c r="S4" s="11">
        <v>42219.665289351855</v>
      </c>
    </row>
    <row r="5" ht="12.75" customHeight="1">
      <c r="A5" s="2"/>
      <c r="B5" s="2">
        <v>1.0</v>
      </c>
      <c r="C5" s="2" t="s">
        <v>172</v>
      </c>
      <c r="D5" s="2">
        <v>3.20081008E8</v>
      </c>
      <c r="E5" s="2">
        <v>1.400003006E9</v>
      </c>
      <c r="F5" s="2">
        <v>7358.0</v>
      </c>
      <c r="G5" s="2">
        <v>2.0</v>
      </c>
      <c r="H5" s="2">
        <v>210000.0</v>
      </c>
      <c r="I5" s="2">
        <v>840000.0</v>
      </c>
      <c r="J5" s="2">
        <v>1.0</v>
      </c>
      <c r="K5" s="2">
        <v>7.0</v>
      </c>
      <c r="O5" s="2" t="s">
        <v>173</v>
      </c>
      <c r="P5" s="2" t="s">
        <v>166</v>
      </c>
      <c r="Q5" s="2"/>
      <c r="R5" s="2" t="s">
        <v>167</v>
      </c>
      <c r="S5" s="11">
        <v>42219.665289351855</v>
      </c>
    </row>
    <row r="6" ht="12.75" customHeight="1">
      <c r="A6" s="2"/>
      <c r="B6" s="2">
        <v>1.0</v>
      </c>
      <c r="C6" s="2" t="s">
        <v>174</v>
      </c>
      <c r="D6" s="2">
        <v>3.20081016E8</v>
      </c>
      <c r="E6" s="2">
        <v>1.400003006E9</v>
      </c>
      <c r="F6" s="2">
        <v>7422.0</v>
      </c>
      <c r="G6" s="2">
        <v>1.0</v>
      </c>
      <c r="H6" s="2">
        <v>96500.0</v>
      </c>
      <c r="I6" s="2">
        <v>386000.0</v>
      </c>
      <c r="J6" s="2">
        <v>1.0</v>
      </c>
      <c r="K6" s="2">
        <v>7.0</v>
      </c>
      <c r="O6" s="2" t="s">
        <v>175</v>
      </c>
      <c r="P6" s="2" t="s">
        <v>166</v>
      </c>
      <c r="Q6" s="2"/>
      <c r="R6" s="2" t="s">
        <v>167</v>
      </c>
      <c r="S6" s="11">
        <v>42219.665289351855</v>
      </c>
    </row>
    <row r="7" ht="12.75" customHeight="1">
      <c r="A7" s="2"/>
      <c r="B7" s="2">
        <v>1.0</v>
      </c>
      <c r="C7" s="2" t="s">
        <v>176</v>
      </c>
      <c r="D7" s="2">
        <v>3.2008103E8</v>
      </c>
      <c r="E7" s="2">
        <v>1.400003006E9</v>
      </c>
      <c r="F7" s="2">
        <v>8015.0</v>
      </c>
      <c r="G7" s="2">
        <v>1.0</v>
      </c>
      <c r="H7" s="2">
        <v>147500.0</v>
      </c>
      <c r="I7" s="2">
        <v>590000.0</v>
      </c>
      <c r="J7" s="2">
        <v>1.0</v>
      </c>
      <c r="K7" s="2">
        <v>7.0</v>
      </c>
      <c r="O7" s="2" t="s">
        <v>177</v>
      </c>
      <c r="P7" s="2" t="s">
        <v>166</v>
      </c>
      <c r="Q7" s="2"/>
      <c r="R7" s="2" t="s">
        <v>167</v>
      </c>
      <c r="S7" s="11">
        <v>42219.665300925924</v>
      </c>
    </row>
    <row r="8" ht="12.75" customHeight="1">
      <c r="A8" s="2"/>
      <c r="B8" s="2">
        <v>1.0</v>
      </c>
      <c r="C8" s="2" t="s">
        <v>178</v>
      </c>
      <c r="D8" s="2">
        <v>3.20081029E8</v>
      </c>
      <c r="E8" s="2">
        <v>1.400003006E9</v>
      </c>
      <c r="F8" s="2">
        <v>8077.0</v>
      </c>
      <c r="G8" s="2">
        <v>1.0</v>
      </c>
      <c r="H8" s="2">
        <v>120000.0</v>
      </c>
      <c r="I8" s="2">
        <v>480000.0</v>
      </c>
      <c r="J8" s="2">
        <v>1.0</v>
      </c>
      <c r="K8" s="2">
        <v>7.0</v>
      </c>
      <c r="O8" s="2" t="s">
        <v>179</v>
      </c>
      <c r="P8" s="2" t="s">
        <v>166</v>
      </c>
      <c r="Q8" s="2"/>
      <c r="R8" s="2" t="s">
        <v>167</v>
      </c>
      <c r="S8" s="11">
        <v>42219.665289351855</v>
      </c>
    </row>
    <row r="9" ht="12.75" customHeight="1">
      <c r="A9" s="2"/>
      <c r="B9" s="2">
        <v>1.0</v>
      </c>
      <c r="C9" s="2" t="s">
        <v>180</v>
      </c>
      <c r="D9" s="2">
        <v>3.20080995E8</v>
      </c>
      <c r="E9" s="2">
        <v>1.400003006E9</v>
      </c>
      <c r="F9" s="2">
        <v>11862.0</v>
      </c>
      <c r="G9" s="2">
        <v>2.0</v>
      </c>
      <c r="H9" s="2">
        <v>173800.0</v>
      </c>
      <c r="I9" s="2">
        <v>790000.0</v>
      </c>
      <c r="J9" s="2">
        <v>1.0</v>
      </c>
      <c r="K9" s="2">
        <v>7.0</v>
      </c>
      <c r="O9" s="2" t="s">
        <v>181</v>
      </c>
      <c r="P9" s="2" t="s">
        <v>166</v>
      </c>
      <c r="Q9" s="2"/>
      <c r="R9" s="2" t="s">
        <v>167</v>
      </c>
      <c r="S9" s="11">
        <v>42219.665289351855</v>
      </c>
    </row>
    <row r="10" ht="12.75" customHeight="1">
      <c r="A10" s="2"/>
      <c r="B10" s="2">
        <v>1.0</v>
      </c>
      <c r="C10" s="2" t="s">
        <v>182</v>
      </c>
      <c r="D10" s="2">
        <v>3.20080993E8</v>
      </c>
      <c r="E10" s="2">
        <v>1.400003006E9</v>
      </c>
      <c r="F10" s="2">
        <v>11883.0</v>
      </c>
      <c r="G10" s="2">
        <v>3.0</v>
      </c>
      <c r="H10" s="2">
        <v>310200.0</v>
      </c>
      <c r="I10" s="2">
        <v>1410000.0</v>
      </c>
      <c r="J10" s="2">
        <v>1.0</v>
      </c>
      <c r="K10" s="2">
        <v>7.0</v>
      </c>
      <c r="O10" s="2" t="s">
        <v>183</v>
      </c>
      <c r="P10" s="2" t="s">
        <v>166</v>
      </c>
      <c r="Q10" s="2"/>
      <c r="R10" s="2" t="s">
        <v>167</v>
      </c>
      <c r="S10" s="11">
        <v>42219.665289351855</v>
      </c>
    </row>
    <row r="11" ht="12.75" customHeight="1">
      <c r="A11" s="2"/>
      <c r="B11" s="2">
        <v>1.0</v>
      </c>
      <c r="C11" s="2" t="s">
        <v>184</v>
      </c>
      <c r="D11" s="2">
        <v>3.20080991E8</v>
      </c>
      <c r="E11" s="2">
        <v>1.400003006E9</v>
      </c>
      <c r="F11" s="2">
        <v>11973.0</v>
      </c>
      <c r="G11" s="2">
        <v>1.0</v>
      </c>
      <c r="H11" s="2">
        <v>86900.0</v>
      </c>
      <c r="I11" s="2">
        <v>395000.0</v>
      </c>
      <c r="J11" s="2">
        <v>1.0</v>
      </c>
      <c r="K11" s="2">
        <v>7.0</v>
      </c>
      <c r="O11" s="2" t="s">
        <v>185</v>
      </c>
      <c r="P11" s="2" t="s">
        <v>166</v>
      </c>
      <c r="Q11" s="2"/>
      <c r="R11" s="2" t="s">
        <v>167</v>
      </c>
      <c r="S11" s="11">
        <v>42219.665289351855</v>
      </c>
    </row>
    <row r="12" ht="12.75" customHeight="1">
      <c r="A12" s="2"/>
      <c r="B12" s="2">
        <v>1.0</v>
      </c>
      <c r="C12" s="2" t="s">
        <v>186</v>
      </c>
      <c r="D12" s="2">
        <v>3.20080998E8</v>
      </c>
      <c r="E12" s="2">
        <v>1.400003006E9</v>
      </c>
      <c r="F12" s="2">
        <v>12583.0</v>
      </c>
      <c r="G12" s="2">
        <v>1.0</v>
      </c>
      <c r="H12" s="2">
        <v>63360.0</v>
      </c>
      <c r="I12" s="2">
        <v>288000.0</v>
      </c>
      <c r="J12" s="2">
        <v>1.0</v>
      </c>
      <c r="K12" s="2">
        <v>7.0</v>
      </c>
      <c r="O12" s="2" t="s">
        <v>187</v>
      </c>
      <c r="P12" s="2" t="s">
        <v>166</v>
      </c>
      <c r="Q12" s="2"/>
      <c r="R12" s="2" t="s">
        <v>167</v>
      </c>
      <c r="S12" s="11">
        <v>42219.665289351855</v>
      </c>
    </row>
    <row r="13" ht="12.75" customHeight="1">
      <c r="A13" s="2"/>
      <c r="B13" s="2">
        <v>1.0</v>
      </c>
      <c r="C13" s="2" t="s">
        <v>188</v>
      </c>
      <c r="D13" s="2">
        <v>3.20081001E8</v>
      </c>
      <c r="E13" s="2">
        <v>1.400003006E9</v>
      </c>
      <c r="F13" s="2">
        <v>12652.0</v>
      </c>
      <c r="G13" s="2">
        <v>1.0</v>
      </c>
      <c r="H13" s="2">
        <v>102300.0</v>
      </c>
      <c r="I13" s="2">
        <v>465000.0</v>
      </c>
      <c r="J13" s="2">
        <v>1.0</v>
      </c>
      <c r="K13" s="2">
        <v>7.0</v>
      </c>
      <c r="O13" s="2" t="s">
        <v>189</v>
      </c>
      <c r="P13" s="2" t="s">
        <v>166</v>
      </c>
      <c r="Q13" s="2"/>
      <c r="R13" s="2" t="s">
        <v>167</v>
      </c>
      <c r="S13" s="11">
        <v>42219.665289351855</v>
      </c>
    </row>
    <row r="14" ht="12.75" customHeight="1">
      <c r="A14" s="2"/>
      <c r="B14" s="2">
        <v>1.0</v>
      </c>
      <c r="C14" s="2" t="s">
        <v>190</v>
      </c>
      <c r="D14" s="2">
        <v>3.20080985E8</v>
      </c>
      <c r="E14" s="2">
        <v>1.400003006E9</v>
      </c>
      <c r="F14" s="2">
        <v>12745.0</v>
      </c>
      <c r="G14" s="2">
        <v>1.0</v>
      </c>
      <c r="H14" s="2">
        <v>69300.0</v>
      </c>
      <c r="I14" s="2">
        <v>315000.0</v>
      </c>
      <c r="J14" s="2">
        <v>1.0</v>
      </c>
      <c r="K14" s="2">
        <v>7.0</v>
      </c>
      <c r="O14" s="2" t="s">
        <v>191</v>
      </c>
      <c r="P14" s="2" t="s">
        <v>166</v>
      </c>
      <c r="Q14" s="2"/>
      <c r="R14" s="2" t="s">
        <v>167</v>
      </c>
      <c r="S14" s="11">
        <v>42219.665289351855</v>
      </c>
    </row>
    <row r="15" ht="12.75" customHeight="1">
      <c r="A15" s="2"/>
      <c r="B15" s="2">
        <v>1.0</v>
      </c>
      <c r="C15" s="2" t="s">
        <v>192</v>
      </c>
      <c r="D15" s="2">
        <v>3.20080988E8</v>
      </c>
      <c r="E15" s="2">
        <v>1.400003006E9</v>
      </c>
      <c r="F15" s="2">
        <v>12832.0</v>
      </c>
      <c r="G15" s="2">
        <v>1.0</v>
      </c>
      <c r="H15" s="2">
        <v>86900.0</v>
      </c>
      <c r="I15" s="2">
        <v>395000.0</v>
      </c>
      <c r="J15" s="2">
        <v>1.0</v>
      </c>
      <c r="K15" s="2">
        <v>7.0</v>
      </c>
      <c r="O15" s="2" t="s">
        <v>193</v>
      </c>
      <c r="P15" s="2" t="s">
        <v>166</v>
      </c>
      <c r="Q15" s="2"/>
      <c r="R15" s="2" t="s">
        <v>167</v>
      </c>
      <c r="S15" s="11">
        <v>42219.665289351855</v>
      </c>
    </row>
    <row r="16" ht="12.75" customHeight="1">
      <c r="A16" s="2"/>
      <c r="B16" s="2">
        <v>1.0</v>
      </c>
      <c r="C16" s="2" t="s">
        <v>194</v>
      </c>
      <c r="D16" s="2">
        <v>3.20080982E8</v>
      </c>
      <c r="E16" s="2">
        <v>1.400003006E9</v>
      </c>
      <c r="F16" s="2">
        <v>12864.0</v>
      </c>
      <c r="G16" s="2">
        <v>1.0</v>
      </c>
      <c r="H16" s="2">
        <v>93500.0</v>
      </c>
      <c r="I16" s="2">
        <v>425000.0</v>
      </c>
      <c r="J16" s="2">
        <v>1.0</v>
      </c>
      <c r="K16" s="2">
        <v>7.0</v>
      </c>
      <c r="O16" s="2" t="s">
        <v>195</v>
      </c>
      <c r="P16" s="2" t="s">
        <v>166</v>
      </c>
      <c r="Q16" s="2"/>
      <c r="R16" s="2" t="s">
        <v>167</v>
      </c>
      <c r="S16" s="11">
        <v>42219.665289351855</v>
      </c>
    </row>
    <row r="17" ht="12.75" customHeight="1">
      <c r="A17" s="2"/>
      <c r="B17" s="2">
        <v>1.0</v>
      </c>
      <c r="C17" s="2" t="s">
        <v>196</v>
      </c>
      <c r="D17" s="2">
        <v>3.20080981E8</v>
      </c>
      <c r="E17" s="2">
        <v>1.400003006E9</v>
      </c>
      <c r="F17" s="2">
        <v>12865.0</v>
      </c>
      <c r="G17" s="2">
        <v>1.0</v>
      </c>
      <c r="H17" s="2">
        <v>87780.0</v>
      </c>
      <c r="I17" s="2">
        <v>399000.0</v>
      </c>
      <c r="J17" s="2">
        <v>1.0</v>
      </c>
      <c r="K17" s="2">
        <v>7.0</v>
      </c>
      <c r="O17" s="2" t="s">
        <v>197</v>
      </c>
      <c r="P17" s="2" t="s">
        <v>166</v>
      </c>
      <c r="Q17" s="2"/>
      <c r="R17" s="2" t="s">
        <v>167</v>
      </c>
      <c r="S17" s="11">
        <v>42219.66527777778</v>
      </c>
    </row>
    <row r="18" ht="12.75" customHeight="1">
      <c r="A18" s="2"/>
      <c r="B18" s="2">
        <v>1.0</v>
      </c>
      <c r="C18" s="2" t="s">
        <v>198</v>
      </c>
      <c r="D18" s="2">
        <v>3.20080987E8</v>
      </c>
      <c r="E18" s="2">
        <v>1.400003006E9</v>
      </c>
      <c r="F18" s="2">
        <v>13736.0</v>
      </c>
      <c r="G18" s="2">
        <v>2.0</v>
      </c>
      <c r="H18" s="2">
        <v>187000.0</v>
      </c>
      <c r="I18" s="2">
        <v>850000.0</v>
      </c>
      <c r="J18" s="2">
        <v>1.0</v>
      </c>
      <c r="K18" s="2">
        <v>7.0</v>
      </c>
      <c r="O18" s="2" t="s">
        <v>199</v>
      </c>
      <c r="P18" s="2" t="s">
        <v>166</v>
      </c>
      <c r="Q18" s="2"/>
      <c r="R18" s="2" t="s">
        <v>167</v>
      </c>
      <c r="S18" s="11">
        <v>42219.665289351855</v>
      </c>
    </row>
    <row r="19" ht="12.75" customHeight="1">
      <c r="A19" s="2"/>
      <c r="B19" s="2">
        <v>1.0</v>
      </c>
      <c r="C19" s="2" t="s">
        <v>200</v>
      </c>
      <c r="D19" s="2">
        <v>3.20080979E8</v>
      </c>
      <c r="E19" s="2">
        <v>1.400003006E9</v>
      </c>
      <c r="F19" s="2">
        <v>13737.0</v>
      </c>
      <c r="G19" s="2">
        <v>1.0</v>
      </c>
      <c r="H19" s="2">
        <v>70400.0</v>
      </c>
      <c r="I19" s="2">
        <v>320000.0</v>
      </c>
      <c r="J19" s="2">
        <v>1.0</v>
      </c>
      <c r="K19" s="2">
        <v>7.0</v>
      </c>
      <c r="O19" s="2" t="s">
        <v>201</v>
      </c>
      <c r="P19" s="2" t="s">
        <v>166</v>
      </c>
      <c r="Q19" s="2"/>
      <c r="R19" s="2" t="s">
        <v>167</v>
      </c>
      <c r="S19" s="11">
        <v>42219.66527777778</v>
      </c>
    </row>
    <row r="20" ht="12.75" customHeight="1">
      <c r="A20" s="2"/>
      <c r="B20" s="2">
        <v>1.0</v>
      </c>
      <c r="C20" s="2" t="s">
        <v>202</v>
      </c>
      <c r="D20" s="2">
        <v>3.20081027E8</v>
      </c>
      <c r="E20" s="2">
        <v>1.400003006E9</v>
      </c>
      <c r="F20" s="2">
        <v>14066.0</v>
      </c>
      <c r="G20" s="2">
        <v>3.0</v>
      </c>
      <c r="H20" s="2">
        <v>371250.0</v>
      </c>
      <c r="I20" s="2">
        <v>1485000.0</v>
      </c>
      <c r="J20" s="2">
        <v>1.0</v>
      </c>
      <c r="K20" s="2">
        <v>7.0</v>
      </c>
      <c r="O20" s="2" t="s">
        <v>203</v>
      </c>
      <c r="P20" s="2" t="s">
        <v>166</v>
      </c>
      <c r="Q20" s="2"/>
      <c r="R20" s="2" t="s">
        <v>167</v>
      </c>
      <c r="S20" s="11">
        <v>42219.665289351855</v>
      </c>
    </row>
    <row r="21" ht="12.75" customHeight="1">
      <c r="A21" s="2"/>
      <c r="B21" s="2">
        <v>1.0</v>
      </c>
      <c r="C21" s="2" t="s">
        <v>204</v>
      </c>
      <c r="D21" s="2">
        <v>3.20081004E8</v>
      </c>
      <c r="E21" s="2">
        <v>1.400003006E9</v>
      </c>
      <c r="F21" s="2">
        <v>14112.0</v>
      </c>
      <c r="G21" s="2">
        <v>3.0</v>
      </c>
      <c r="H21" s="2">
        <v>318750.0</v>
      </c>
      <c r="I21" s="2">
        <v>1275000.0</v>
      </c>
      <c r="J21" s="2">
        <v>1.0</v>
      </c>
      <c r="K21" s="2">
        <v>7.0</v>
      </c>
      <c r="O21" s="2" t="s">
        <v>205</v>
      </c>
      <c r="P21" s="2" t="s">
        <v>166</v>
      </c>
      <c r="Q21" s="2"/>
      <c r="R21" s="2" t="s">
        <v>167</v>
      </c>
      <c r="S21" s="11">
        <v>42219.665289351855</v>
      </c>
    </row>
    <row r="22" ht="12.75" customHeight="1">
      <c r="A22" s="2"/>
      <c r="B22" s="2">
        <v>1.0</v>
      </c>
      <c r="C22" s="2" t="s">
        <v>206</v>
      </c>
      <c r="D22" s="2">
        <v>3.20081015E8</v>
      </c>
      <c r="E22" s="2">
        <v>1.400003006E9</v>
      </c>
      <c r="F22" s="2">
        <v>14784.0</v>
      </c>
      <c r="G22" s="2">
        <v>1.0</v>
      </c>
      <c r="H22" s="2">
        <v>96500.0</v>
      </c>
      <c r="I22" s="2">
        <v>386000.0</v>
      </c>
      <c r="J22" s="2">
        <v>1.0</v>
      </c>
      <c r="K22" s="2">
        <v>7.0</v>
      </c>
      <c r="O22" s="2" t="s">
        <v>207</v>
      </c>
      <c r="P22" s="2" t="s">
        <v>166</v>
      </c>
      <c r="Q22" s="2"/>
      <c r="R22" s="2" t="s">
        <v>167</v>
      </c>
      <c r="S22" s="11">
        <v>42219.665289351855</v>
      </c>
    </row>
    <row r="23" ht="12.75" customHeight="1">
      <c r="A23" s="2"/>
      <c r="B23" s="2">
        <v>1.0</v>
      </c>
      <c r="C23" s="2" t="s">
        <v>208</v>
      </c>
      <c r="D23" s="2">
        <v>3.20081013E8</v>
      </c>
      <c r="E23" s="2">
        <v>1.400003006E9</v>
      </c>
      <c r="F23" s="2">
        <v>15882.0</v>
      </c>
      <c r="G23" s="2">
        <v>1.0</v>
      </c>
      <c r="H23" s="2">
        <v>106250.0</v>
      </c>
      <c r="I23" s="2">
        <v>425000.0</v>
      </c>
      <c r="J23" s="2">
        <v>1.0</v>
      </c>
      <c r="K23" s="2">
        <v>7.0</v>
      </c>
      <c r="O23" s="2" t="s">
        <v>209</v>
      </c>
      <c r="P23" s="2" t="s">
        <v>166</v>
      </c>
      <c r="Q23" s="2"/>
      <c r="R23" s="2" t="s">
        <v>167</v>
      </c>
      <c r="S23" s="11">
        <v>42219.665289351855</v>
      </c>
    </row>
    <row r="24" ht="12.75" customHeight="1">
      <c r="A24" s="2"/>
      <c r="B24" s="2">
        <v>1.0</v>
      </c>
      <c r="C24" s="2" t="s">
        <v>210</v>
      </c>
      <c r="D24" s="2">
        <v>3.20080996E8</v>
      </c>
      <c r="E24" s="2">
        <v>1.400003006E9</v>
      </c>
      <c r="F24" s="2">
        <v>16365.0</v>
      </c>
      <c r="G24" s="2">
        <v>3.0</v>
      </c>
      <c r="H24" s="2">
        <v>322740.0</v>
      </c>
      <c r="I24" s="2">
        <v>1467000.0</v>
      </c>
      <c r="J24" s="2">
        <v>1.0</v>
      </c>
      <c r="K24" s="2">
        <v>7.0</v>
      </c>
      <c r="O24" s="2" t="s">
        <v>211</v>
      </c>
      <c r="P24" s="2" t="s">
        <v>166</v>
      </c>
      <c r="Q24" s="2"/>
      <c r="R24" s="2" t="s">
        <v>167</v>
      </c>
      <c r="S24" s="11">
        <v>42219.665289351855</v>
      </c>
    </row>
    <row r="25" ht="12.75" customHeight="1">
      <c r="A25" s="2"/>
      <c r="B25" s="2">
        <v>1.0</v>
      </c>
      <c r="C25" s="2" t="s">
        <v>212</v>
      </c>
      <c r="D25" s="2">
        <v>3.2008101E8</v>
      </c>
      <c r="E25" s="2">
        <v>1.400003006E9</v>
      </c>
      <c r="F25" s="2">
        <v>16458.0</v>
      </c>
      <c r="G25" s="2">
        <v>1.0</v>
      </c>
      <c r="H25" s="2">
        <v>106250.0</v>
      </c>
      <c r="I25" s="2">
        <v>425000.0</v>
      </c>
      <c r="J25" s="2">
        <v>1.0</v>
      </c>
      <c r="K25" s="2">
        <v>7.0</v>
      </c>
      <c r="O25" s="2" t="s">
        <v>213</v>
      </c>
      <c r="P25" s="2" t="s">
        <v>166</v>
      </c>
      <c r="Q25" s="2"/>
      <c r="R25" s="2" t="s">
        <v>167</v>
      </c>
      <c r="S25" s="11">
        <v>42219.665289351855</v>
      </c>
    </row>
    <row r="26" ht="12.75" customHeight="1">
      <c r="A26" s="2"/>
      <c r="B26" s="2">
        <v>1.0</v>
      </c>
      <c r="C26" s="2" t="s">
        <v>214</v>
      </c>
      <c r="D26" s="2">
        <v>3.20081007E8</v>
      </c>
      <c r="E26" s="2">
        <v>1.400003006E9</v>
      </c>
      <c r="F26" s="2">
        <v>16780.0</v>
      </c>
      <c r="G26" s="2">
        <v>3.0</v>
      </c>
      <c r="H26" s="2">
        <v>316500.0</v>
      </c>
      <c r="I26" s="2">
        <v>1266000.0</v>
      </c>
      <c r="J26" s="2">
        <v>1.0</v>
      </c>
      <c r="K26" s="2">
        <v>7.0</v>
      </c>
      <c r="O26" s="2" t="s">
        <v>215</v>
      </c>
      <c r="P26" s="2" t="s">
        <v>166</v>
      </c>
      <c r="Q26" s="2"/>
      <c r="R26" s="2" t="s">
        <v>167</v>
      </c>
      <c r="S26" s="11">
        <v>42219.665289351855</v>
      </c>
    </row>
    <row r="27" ht="12.75" customHeight="1">
      <c r="A27" s="2"/>
      <c r="B27" s="2">
        <v>1.0</v>
      </c>
      <c r="C27" s="2" t="s">
        <v>216</v>
      </c>
      <c r="D27" s="2">
        <v>3.20081002E8</v>
      </c>
      <c r="E27" s="2">
        <v>1.400003006E9</v>
      </c>
      <c r="F27" s="2">
        <v>16787.0</v>
      </c>
      <c r="G27" s="2">
        <v>6.0</v>
      </c>
      <c r="H27" s="2">
        <v>637500.0</v>
      </c>
      <c r="I27" s="2">
        <v>2550000.0</v>
      </c>
      <c r="J27" s="2">
        <v>1.0</v>
      </c>
      <c r="K27" s="2">
        <v>7.0</v>
      </c>
      <c r="O27" s="2" t="s">
        <v>217</v>
      </c>
      <c r="P27" s="2" t="s">
        <v>166</v>
      </c>
      <c r="Q27" s="2"/>
      <c r="R27" s="2" t="s">
        <v>167</v>
      </c>
      <c r="S27" s="11">
        <v>42219.665289351855</v>
      </c>
    </row>
    <row r="28" ht="12.75" customHeight="1">
      <c r="A28" s="2"/>
      <c r="B28" s="2">
        <v>1.0</v>
      </c>
      <c r="C28" s="2" t="s">
        <v>218</v>
      </c>
      <c r="D28" s="2">
        <v>3.20081022E8</v>
      </c>
      <c r="E28" s="2">
        <v>1.400003006E9</v>
      </c>
      <c r="F28" s="2">
        <v>1.4000037E7</v>
      </c>
      <c r="G28" s="2">
        <v>1.0</v>
      </c>
      <c r="H28" s="2">
        <v>88750.0</v>
      </c>
      <c r="I28" s="2">
        <v>355000.0</v>
      </c>
      <c r="J28" s="2">
        <v>1.0</v>
      </c>
      <c r="K28" s="2">
        <v>7.0</v>
      </c>
      <c r="O28" s="2" t="s">
        <v>219</v>
      </c>
      <c r="P28" s="2" t="s">
        <v>166</v>
      </c>
      <c r="Q28" s="2"/>
      <c r="R28" s="2" t="s">
        <v>167</v>
      </c>
      <c r="S28" s="11">
        <v>42219.665289351855</v>
      </c>
    </row>
    <row r="29" ht="12.75" customHeight="1">
      <c r="A29" s="2"/>
      <c r="B29" s="2">
        <v>1.0</v>
      </c>
      <c r="C29" s="2" t="s">
        <v>220</v>
      </c>
      <c r="D29" s="2">
        <v>3.20081062E8</v>
      </c>
      <c r="E29" s="2">
        <v>1.400003017E9</v>
      </c>
      <c r="F29" s="2">
        <v>7547.0</v>
      </c>
      <c r="G29" s="2">
        <v>6.0</v>
      </c>
      <c r="H29" s="2">
        <v>495000.0</v>
      </c>
      <c r="I29" s="2">
        <v>1980000.0</v>
      </c>
      <c r="J29" s="2">
        <v>1.0</v>
      </c>
      <c r="K29" s="2">
        <v>7.0</v>
      </c>
      <c r="O29" s="2" t="s">
        <v>221</v>
      </c>
      <c r="P29" s="2" t="s">
        <v>166</v>
      </c>
      <c r="Q29" s="2"/>
      <c r="R29" s="2" t="s">
        <v>167</v>
      </c>
      <c r="S29" s="11">
        <v>42219.6653125</v>
      </c>
    </row>
    <row r="30" ht="12.75" customHeight="1">
      <c r="A30" s="2"/>
      <c r="B30" s="2">
        <v>1.0</v>
      </c>
      <c r="C30" s="2" t="s">
        <v>222</v>
      </c>
      <c r="D30" s="2">
        <v>3.20081065E8</v>
      </c>
      <c r="E30" s="2">
        <v>1.400003017E9</v>
      </c>
      <c r="F30" s="2">
        <v>7548.0</v>
      </c>
      <c r="G30" s="2">
        <v>1.0</v>
      </c>
      <c r="H30" s="2">
        <v>82500.0</v>
      </c>
      <c r="I30" s="2">
        <v>330000.0</v>
      </c>
      <c r="J30" s="2">
        <v>1.0</v>
      </c>
      <c r="K30" s="2">
        <v>7.0</v>
      </c>
      <c r="O30" s="2" t="s">
        <v>223</v>
      </c>
      <c r="P30" s="2" t="s">
        <v>166</v>
      </c>
      <c r="Q30" s="2"/>
      <c r="R30" s="2" t="s">
        <v>167</v>
      </c>
      <c r="S30" s="11">
        <v>42219.6653125</v>
      </c>
    </row>
    <row r="31" ht="12.75" customHeight="1">
      <c r="A31" s="2"/>
      <c r="B31" s="2">
        <v>1.0</v>
      </c>
      <c r="C31" s="2" t="s">
        <v>224</v>
      </c>
      <c r="D31" s="2">
        <v>3.20081034E8</v>
      </c>
      <c r="E31" s="2">
        <v>1.400003017E9</v>
      </c>
      <c r="F31" s="2">
        <v>11863.0</v>
      </c>
      <c r="G31" s="2">
        <v>1.0</v>
      </c>
      <c r="H31" s="2">
        <v>83600.0</v>
      </c>
      <c r="I31" s="2">
        <v>380000.0</v>
      </c>
      <c r="J31" s="2">
        <v>1.0</v>
      </c>
      <c r="K31" s="2">
        <v>7.0</v>
      </c>
      <c r="O31" s="2" t="s">
        <v>225</v>
      </c>
      <c r="P31" s="2" t="s">
        <v>166</v>
      </c>
      <c r="Q31" s="2"/>
      <c r="R31" s="2" t="s">
        <v>167</v>
      </c>
      <c r="S31" s="11">
        <v>42219.6653125</v>
      </c>
    </row>
    <row r="32" ht="12.75" customHeight="1">
      <c r="A32" s="2"/>
      <c r="B32" s="2">
        <v>1.0</v>
      </c>
      <c r="C32" s="2" t="s">
        <v>226</v>
      </c>
      <c r="D32" s="2">
        <v>3.2008105E8</v>
      </c>
      <c r="E32" s="2">
        <v>1.400003017E9</v>
      </c>
      <c r="F32" s="2">
        <v>11923.0</v>
      </c>
      <c r="G32" s="2">
        <v>2.0</v>
      </c>
      <c r="H32" s="2">
        <v>128920.0</v>
      </c>
      <c r="I32" s="2">
        <v>586000.0</v>
      </c>
      <c r="J32" s="2">
        <v>1.0</v>
      </c>
      <c r="K32" s="2">
        <v>7.0</v>
      </c>
      <c r="O32" s="2" t="s">
        <v>227</v>
      </c>
      <c r="P32" s="2" t="s">
        <v>166</v>
      </c>
      <c r="Q32" s="2"/>
      <c r="R32" s="2" t="s">
        <v>167</v>
      </c>
      <c r="S32" s="11">
        <v>42219.6653125</v>
      </c>
    </row>
    <row r="33" ht="12.75" customHeight="1">
      <c r="A33" s="2"/>
      <c r="B33" s="2">
        <v>1.0</v>
      </c>
      <c r="C33" s="2" t="s">
        <v>228</v>
      </c>
      <c r="D33" s="2">
        <v>3.20081052E8</v>
      </c>
      <c r="E33" s="2">
        <v>1.400003017E9</v>
      </c>
      <c r="F33" s="2">
        <v>13687.0</v>
      </c>
      <c r="G33" s="2">
        <v>1.0</v>
      </c>
      <c r="H33" s="2">
        <v>64460.0</v>
      </c>
      <c r="I33" s="2">
        <v>293000.0</v>
      </c>
      <c r="J33" s="2">
        <v>1.0</v>
      </c>
      <c r="K33" s="2">
        <v>7.0</v>
      </c>
      <c r="O33" s="2" t="s">
        <v>229</v>
      </c>
      <c r="P33" s="2" t="s">
        <v>166</v>
      </c>
      <c r="Q33" s="2"/>
      <c r="R33" s="2" t="s">
        <v>167</v>
      </c>
      <c r="S33" s="11">
        <v>42219.6653125</v>
      </c>
    </row>
    <row r="34" ht="12.75" customHeight="1">
      <c r="A34" s="2"/>
      <c r="B34" s="2">
        <v>1.0</v>
      </c>
      <c r="C34" s="2" t="s">
        <v>230</v>
      </c>
      <c r="D34" s="2">
        <v>3.2008104E8</v>
      </c>
      <c r="E34" s="2">
        <v>1.400003017E9</v>
      </c>
      <c r="F34" s="2">
        <v>13721.0</v>
      </c>
      <c r="G34" s="2">
        <v>1.0</v>
      </c>
      <c r="H34" s="2">
        <v>95700.0</v>
      </c>
      <c r="I34" s="2">
        <v>435000.0</v>
      </c>
      <c r="J34" s="2">
        <v>1.0</v>
      </c>
      <c r="K34" s="2">
        <v>7.0</v>
      </c>
      <c r="O34" s="2" t="s">
        <v>231</v>
      </c>
      <c r="P34" s="2" t="s">
        <v>166</v>
      </c>
      <c r="Q34" s="2"/>
      <c r="R34" s="2" t="s">
        <v>167</v>
      </c>
      <c r="S34" s="11">
        <v>42219.6653125</v>
      </c>
    </row>
    <row r="35" ht="12.75" customHeight="1">
      <c r="A35" s="2"/>
      <c r="B35" s="2">
        <v>1.0</v>
      </c>
      <c r="C35" s="2" t="s">
        <v>232</v>
      </c>
      <c r="D35" s="2">
        <v>3.20081042E8</v>
      </c>
      <c r="E35" s="2">
        <v>1.400003017E9</v>
      </c>
      <c r="F35" s="2">
        <v>13724.0</v>
      </c>
      <c r="G35" s="2">
        <v>1.0</v>
      </c>
      <c r="H35" s="2">
        <v>95700.0</v>
      </c>
      <c r="I35" s="2">
        <v>435000.0</v>
      </c>
      <c r="J35" s="2">
        <v>1.0</v>
      </c>
      <c r="K35" s="2">
        <v>7.0</v>
      </c>
      <c r="O35" s="2" t="s">
        <v>231</v>
      </c>
      <c r="P35" s="2" t="s">
        <v>166</v>
      </c>
      <c r="Q35" s="2"/>
      <c r="R35" s="2" t="s">
        <v>167</v>
      </c>
      <c r="S35" s="11">
        <v>42219.6653125</v>
      </c>
    </row>
    <row r="36" ht="12.75" customHeight="1">
      <c r="A36" s="2"/>
      <c r="B36" s="2">
        <v>1.0</v>
      </c>
      <c r="C36" s="2" t="s">
        <v>233</v>
      </c>
      <c r="D36" s="2">
        <v>3.20081044E8</v>
      </c>
      <c r="E36" s="2">
        <v>1.400003017E9</v>
      </c>
      <c r="F36" s="2">
        <v>14113.0</v>
      </c>
      <c r="G36" s="2">
        <v>5.0</v>
      </c>
      <c r="H36" s="2">
        <v>531250.0</v>
      </c>
      <c r="I36" s="2">
        <v>2125000.0</v>
      </c>
      <c r="J36" s="2">
        <v>1.0</v>
      </c>
      <c r="K36" s="2">
        <v>7.0</v>
      </c>
      <c r="O36" s="2" t="s">
        <v>205</v>
      </c>
      <c r="P36" s="2" t="s">
        <v>166</v>
      </c>
      <c r="Q36" s="2"/>
      <c r="R36" s="2" t="s">
        <v>167</v>
      </c>
      <c r="S36" s="11">
        <v>42219.6653125</v>
      </c>
    </row>
    <row r="37" ht="12.75" customHeight="1">
      <c r="A37" s="2"/>
      <c r="B37" s="2">
        <v>1.0</v>
      </c>
      <c r="C37" s="2" t="s">
        <v>234</v>
      </c>
      <c r="D37" s="2">
        <v>3.20081046E8</v>
      </c>
      <c r="E37" s="2">
        <v>1.400003017E9</v>
      </c>
      <c r="F37" s="2">
        <v>15070.0</v>
      </c>
      <c r="G37" s="2">
        <v>5.0</v>
      </c>
      <c r="H37" s="2">
        <v>527500.0</v>
      </c>
      <c r="I37" s="2">
        <v>2110000.0</v>
      </c>
      <c r="J37" s="2">
        <v>1.0</v>
      </c>
      <c r="K37" s="2">
        <v>7.0</v>
      </c>
      <c r="O37" s="2" t="s">
        <v>235</v>
      </c>
      <c r="P37" s="2" t="s">
        <v>166</v>
      </c>
      <c r="Q37" s="2"/>
      <c r="R37" s="2" t="s">
        <v>167</v>
      </c>
      <c r="S37" s="11">
        <v>42219.6653125</v>
      </c>
    </row>
    <row r="38" ht="12.75" customHeight="1">
      <c r="A38" s="2"/>
      <c r="B38" s="2">
        <v>1.0</v>
      </c>
      <c r="C38" s="2" t="s">
        <v>236</v>
      </c>
      <c r="D38" s="2">
        <v>3.2008107E8</v>
      </c>
      <c r="E38" s="2">
        <v>1.400003017E9</v>
      </c>
      <c r="F38" s="2">
        <v>15125.0</v>
      </c>
      <c r="G38" s="2">
        <v>1.0</v>
      </c>
      <c r="H38" s="2">
        <v>138600.0</v>
      </c>
      <c r="I38" s="2">
        <v>630000.0</v>
      </c>
      <c r="J38" s="2">
        <v>1.0</v>
      </c>
      <c r="K38" s="2">
        <v>7.0</v>
      </c>
      <c r="O38" s="2" t="s">
        <v>237</v>
      </c>
      <c r="P38" s="2" t="s">
        <v>166</v>
      </c>
      <c r="Q38" s="2"/>
      <c r="R38" s="2" t="s">
        <v>167</v>
      </c>
      <c r="S38" s="11">
        <v>42219.66532407407</v>
      </c>
    </row>
    <row r="39" ht="12.75" customHeight="1">
      <c r="A39" s="2"/>
      <c r="B39" s="2">
        <v>1.0</v>
      </c>
      <c r="C39" s="2" t="s">
        <v>238</v>
      </c>
      <c r="D39" s="2">
        <v>3.20081058E8</v>
      </c>
      <c r="E39" s="2">
        <v>1.400003017E9</v>
      </c>
      <c r="F39" s="2">
        <v>15952.0</v>
      </c>
      <c r="G39" s="2">
        <v>2.0</v>
      </c>
      <c r="H39" s="2">
        <v>261800.0</v>
      </c>
      <c r="I39" s="2">
        <v>1190000.0</v>
      </c>
      <c r="J39" s="2">
        <v>1.0</v>
      </c>
      <c r="K39" s="2">
        <v>7.0</v>
      </c>
      <c r="O39" s="2" t="s">
        <v>239</v>
      </c>
      <c r="P39" s="2" t="s">
        <v>166</v>
      </c>
      <c r="Q39" s="2"/>
      <c r="R39" s="2" t="s">
        <v>167</v>
      </c>
      <c r="S39" s="11">
        <v>42219.6653125</v>
      </c>
    </row>
    <row r="40" ht="12.75" customHeight="1">
      <c r="A40" s="2"/>
      <c r="B40" s="2">
        <v>1.0</v>
      </c>
      <c r="C40" s="2" t="s">
        <v>240</v>
      </c>
      <c r="D40" s="2">
        <v>3.20081037E8</v>
      </c>
      <c r="E40" s="2">
        <v>1.400003017E9</v>
      </c>
      <c r="F40" s="2">
        <v>15990.0</v>
      </c>
      <c r="G40" s="2">
        <v>1.0</v>
      </c>
      <c r="H40" s="2">
        <v>84700.0</v>
      </c>
      <c r="I40" s="2">
        <v>385000.0</v>
      </c>
      <c r="J40" s="2">
        <v>1.0</v>
      </c>
      <c r="K40" s="2">
        <v>7.0</v>
      </c>
      <c r="O40" s="2" t="s">
        <v>241</v>
      </c>
      <c r="P40" s="2" t="s">
        <v>166</v>
      </c>
      <c r="Q40" s="2"/>
      <c r="R40" s="2" t="s">
        <v>167</v>
      </c>
      <c r="S40" s="11">
        <v>42219.6653125</v>
      </c>
    </row>
    <row r="41" ht="12.75" customHeight="1">
      <c r="A41" s="2"/>
      <c r="B41" s="2">
        <v>1.0</v>
      </c>
      <c r="C41" s="2" t="s">
        <v>242</v>
      </c>
      <c r="D41" s="2">
        <v>3.20081055E8</v>
      </c>
      <c r="E41" s="2">
        <v>1.400003017E9</v>
      </c>
      <c r="F41" s="2">
        <v>16130.0</v>
      </c>
      <c r="G41" s="2">
        <v>2.0</v>
      </c>
      <c r="H41" s="2">
        <v>128920.0</v>
      </c>
      <c r="I41" s="2">
        <v>586000.0</v>
      </c>
      <c r="J41" s="2">
        <v>1.0</v>
      </c>
      <c r="K41" s="2">
        <v>7.0</v>
      </c>
      <c r="O41" s="2" t="s">
        <v>243</v>
      </c>
      <c r="P41" s="2" t="s">
        <v>166</v>
      </c>
      <c r="Q41" s="2"/>
      <c r="R41" s="2" t="s">
        <v>167</v>
      </c>
      <c r="S41" s="11">
        <v>42219.6653125</v>
      </c>
    </row>
    <row r="42" ht="12.75" customHeight="1">
      <c r="A42" s="2"/>
      <c r="B42" s="2">
        <v>1.0</v>
      </c>
      <c r="C42" s="2" t="s">
        <v>244</v>
      </c>
      <c r="D42" s="2">
        <v>3.20081056E8</v>
      </c>
      <c r="E42" s="2">
        <v>1.400003017E9</v>
      </c>
      <c r="F42" s="2">
        <v>16237.0</v>
      </c>
      <c r="G42" s="2">
        <v>2.0</v>
      </c>
      <c r="H42" s="2">
        <v>128920.0</v>
      </c>
      <c r="I42" s="2">
        <v>586000.0</v>
      </c>
      <c r="J42" s="2">
        <v>1.0</v>
      </c>
      <c r="K42" s="2">
        <v>7.0</v>
      </c>
      <c r="O42" s="2" t="s">
        <v>245</v>
      </c>
      <c r="P42" s="2" t="s">
        <v>166</v>
      </c>
      <c r="Q42" s="2"/>
      <c r="R42" s="2" t="s">
        <v>167</v>
      </c>
      <c r="S42" s="11">
        <v>42219.6653125</v>
      </c>
    </row>
    <row r="43" ht="12.75" customHeight="1">
      <c r="A43" s="2"/>
      <c r="B43" s="2">
        <v>1.0</v>
      </c>
      <c r="C43" s="2" t="s">
        <v>246</v>
      </c>
      <c r="D43" s="2">
        <v>3.20081038E8</v>
      </c>
      <c r="E43" s="2">
        <v>1.400003017E9</v>
      </c>
      <c r="F43" s="2">
        <v>16345.0</v>
      </c>
      <c r="G43" s="2">
        <v>3.0</v>
      </c>
      <c r="H43" s="2">
        <v>260700.0</v>
      </c>
      <c r="I43" s="2">
        <v>1185000.0</v>
      </c>
      <c r="J43" s="2">
        <v>1.0</v>
      </c>
      <c r="K43" s="2">
        <v>7.0</v>
      </c>
      <c r="O43" s="2" t="s">
        <v>247</v>
      </c>
      <c r="P43" s="2" t="s">
        <v>166</v>
      </c>
      <c r="Q43" s="2"/>
      <c r="R43" s="2" t="s">
        <v>167</v>
      </c>
      <c r="S43" s="11">
        <v>42219.6653125</v>
      </c>
    </row>
    <row r="44" ht="12.75" customHeight="1">
      <c r="A44" s="2"/>
      <c r="B44" s="2">
        <v>1.0</v>
      </c>
      <c r="C44" s="2" t="s">
        <v>248</v>
      </c>
      <c r="D44" s="2">
        <v>3.20081033E8</v>
      </c>
      <c r="E44" s="2">
        <v>1.400003017E9</v>
      </c>
      <c r="F44" s="2">
        <v>16779.0</v>
      </c>
      <c r="G44" s="2">
        <v>5.0</v>
      </c>
      <c r="H44" s="2">
        <v>531250.0</v>
      </c>
      <c r="I44" s="2">
        <v>2125000.0</v>
      </c>
      <c r="J44" s="2">
        <v>1.0</v>
      </c>
      <c r="K44" s="2">
        <v>7.0</v>
      </c>
      <c r="O44" s="2" t="s">
        <v>217</v>
      </c>
      <c r="P44" s="2" t="s">
        <v>166</v>
      </c>
      <c r="Q44" s="2"/>
      <c r="R44" s="2" t="s">
        <v>167</v>
      </c>
      <c r="S44" s="11">
        <v>42219.6653125</v>
      </c>
    </row>
    <row r="45" ht="12.75" customHeight="1">
      <c r="A45" s="2"/>
      <c r="B45" s="2">
        <v>1.0</v>
      </c>
      <c r="C45" s="2" t="s">
        <v>249</v>
      </c>
      <c r="D45" s="2">
        <v>3.20081066E8</v>
      </c>
      <c r="E45" s="2">
        <v>1.400003017E9</v>
      </c>
      <c r="F45" s="2">
        <v>16780.0</v>
      </c>
      <c r="G45" s="2">
        <v>1.0</v>
      </c>
      <c r="H45" s="2">
        <v>105500.0</v>
      </c>
      <c r="I45" s="2">
        <v>422000.0</v>
      </c>
      <c r="J45" s="2">
        <v>1.0</v>
      </c>
      <c r="K45" s="2">
        <v>7.0</v>
      </c>
      <c r="O45" s="2" t="s">
        <v>215</v>
      </c>
      <c r="P45" s="2" t="s">
        <v>166</v>
      </c>
      <c r="Q45" s="2"/>
      <c r="R45" s="2" t="s">
        <v>167</v>
      </c>
      <c r="S45" s="11">
        <v>42219.6653125</v>
      </c>
    </row>
    <row r="46" ht="12.75" customHeight="1">
      <c r="A46" s="2"/>
      <c r="B46" s="2">
        <v>1.0</v>
      </c>
      <c r="C46" s="2" t="s">
        <v>250</v>
      </c>
      <c r="D46" s="2">
        <v>3.20081069E8</v>
      </c>
      <c r="E46" s="2">
        <v>1.400003017E9</v>
      </c>
      <c r="F46" s="2">
        <v>16787.0</v>
      </c>
      <c r="G46" s="2">
        <v>1.0</v>
      </c>
      <c r="H46" s="2">
        <v>106250.0</v>
      </c>
      <c r="I46" s="2">
        <v>425000.0</v>
      </c>
      <c r="J46" s="2">
        <v>1.0</v>
      </c>
      <c r="K46" s="2">
        <v>7.0</v>
      </c>
      <c r="O46" s="2" t="s">
        <v>217</v>
      </c>
      <c r="P46" s="2" t="s">
        <v>166</v>
      </c>
      <c r="Q46" s="2"/>
      <c r="R46" s="2" t="s">
        <v>167</v>
      </c>
      <c r="S46" s="11">
        <v>42219.66532407407</v>
      </c>
    </row>
    <row r="47" ht="12.75" customHeight="1">
      <c r="A47" s="2"/>
      <c r="B47" s="2">
        <v>1.0</v>
      </c>
      <c r="C47" s="2" t="s">
        <v>251</v>
      </c>
      <c r="D47" s="2">
        <v>3.20081049E8</v>
      </c>
      <c r="E47" s="2">
        <v>1.400003017E9</v>
      </c>
      <c r="F47" s="2">
        <v>16789.0</v>
      </c>
      <c r="G47" s="2">
        <v>5.0</v>
      </c>
      <c r="H47" s="2">
        <v>532500.0</v>
      </c>
      <c r="I47" s="2">
        <v>2130000.0</v>
      </c>
      <c r="J47" s="2">
        <v>1.0</v>
      </c>
      <c r="K47" s="2">
        <v>7.0</v>
      </c>
      <c r="O47" s="2" t="s">
        <v>252</v>
      </c>
      <c r="P47" s="2" t="s">
        <v>166</v>
      </c>
      <c r="Q47" s="2"/>
      <c r="R47" s="2" t="s">
        <v>167</v>
      </c>
      <c r="S47" s="11">
        <v>42219.6653125</v>
      </c>
    </row>
    <row r="48" ht="12.75" customHeight="1">
      <c r="A48" s="2"/>
      <c r="B48" s="2">
        <v>1.0</v>
      </c>
      <c r="C48" s="2" t="s">
        <v>253</v>
      </c>
      <c r="D48" s="2">
        <v>3.20081061E8</v>
      </c>
      <c r="E48" s="2">
        <v>1.400003017E9</v>
      </c>
      <c r="F48" s="2">
        <v>1.4000049E7</v>
      </c>
      <c r="G48" s="2">
        <v>5.0</v>
      </c>
      <c r="H48" s="2">
        <v>618750.0</v>
      </c>
      <c r="I48" s="2">
        <v>2475000.0</v>
      </c>
      <c r="J48" s="2">
        <v>1.0</v>
      </c>
      <c r="K48" s="2">
        <v>7.0</v>
      </c>
      <c r="O48" s="2" t="s">
        <v>254</v>
      </c>
      <c r="P48" s="2" t="s">
        <v>166</v>
      </c>
      <c r="Q48" s="2"/>
      <c r="R48" s="2" t="s">
        <v>167</v>
      </c>
      <c r="S48" s="11">
        <v>42219.6653125</v>
      </c>
    </row>
    <row r="49" ht="12.75" customHeight="1">
      <c r="A49" s="2"/>
      <c r="B49" s="2">
        <v>1.0</v>
      </c>
      <c r="C49" s="2" t="s">
        <v>255</v>
      </c>
      <c r="D49" s="2">
        <v>3.20083889E8</v>
      </c>
      <c r="E49" s="2">
        <v>1.400003094E9</v>
      </c>
      <c r="F49" s="2">
        <v>5279.0</v>
      </c>
      <c r="G49" s="2">
        <v>5.0</v>
      </c>
      <c r="H49" s="2">
        <v>456250.0</v>
      </c>
      <c r="I49" s="2">
        <v>1825000.0</v>
      </c>
      <c r="J49" s="2">
        <v>1.0</v>
      </c>
      <c r="K49" s="2">
        <v>7.0</v>
      </c>
      <c r="O49" s="2" t="s">
        <v>256</v>
      </c>
      <c r="P49" s="2" t="s">
        <v>166</v>
      </c>
      <c r="Q49" s="2"/>
      <c r="R49" s="2" t="s">
        <v>167</v>
      </c>
      <c r="S49" s="11">
        <v>42222.425729166665</v>
      </c>
    </row>
    <row r="50" ht="12.75" customHeight="1">
      <c r="A50" s="2"/>
      <c r="B50" s="2">
        <v>1.0</v>
      </c>
      <c r="C50" s="2" t="s">
        <v>257</v>
      </c>
      <c r="D50" s="2">
        <v>3.2008389E8</v>
      </c>
      <c r="E50" s="2">
        <v>1.400003094E9</v>
      </c>
      <c r="F50" s="2">
        <v>5369.0</v>
      </c>
      <c r="G50" s="2">
        <v>2.0</v>
      </c>
      <c r="H50" s="2">
        <v>182500.0</v>
      </c>
      <c r="I50" s="2">
        <v>730000.0</v>
      </c>
      <c r="J50" s="2">
        <v>1.0</v>
      </c>
      <c r="K50" s="2">
        <v>7.0</v>
      </c>
      <c r="O50" s="2" t="s">
        <v>258</v>
      </c>
      <c r="P50" s="2" t="s">
        <v>166</v>
      </c>
      <c r="Q50" s="2"/>
      <c r="R50" s="2" t="s">
        <v>167</v>
      </c>
      <c r="S50" s="11">
        <v>42222.425729166665</v>
      </c>
    </row>
    <row r="51" ht="12.75" customHeight="1">
      <c r="A51" s="2"/>
      <c r="B51" s="2">
        <v>1.0</v>
      </c>
      <c r="C51" s="2" t="s">
        <v>259</v>
      </c>
      <c r="D51" s="2">
        <v>3.20083892E8</v>
      </c>
      <c r="E51" s="2">
        <v>1.400003094E9</v>
      </c>
      <c r="F51" s="2">
        <v>5397.0</v>
      </c>
      <c r="G51" s="2">
        <v>3.0</v>
      </c>
      <c r="H51" s="2">
        <v>251250.0</v>
      </c>
      <c r="I51" s="2">
        <v>1005000.0</v>
      </c>
      <c r="J51" s="2">
        <v>1.0</v>
      </c>
      <c r="K51" s="2">
        <v>7.0</v>
      </c>
      <c r="O51" s="2" t="s">
        <v>260</v>
      </c>
      <c r="P51" s="2" t="s">
        <v>166</v>
      </c>
      <c r="Q51" s="2"/>
      <c r="R51" s="2" t="s">
        <v>167</v>
      </c>
      <c r="S51" s="11">
        <v>42222.425729166665</v>
      </c>
    </row>
    <row r="52" ht="12.75" customHeight="1">
      <c r="A52" s="2"/>
      <c r="B52" s="2">
        <v>1.0</v>
      </c>
      <c r="C52" s="2" t="s">
        <v>261</v>
      </c>
      <c r="D52" s="2">
        <v>3.20083901E8</v>
      </c>
      <c r="E52" s="2">
        <v>1.400003094E9</v>
      </c>
      <c r="F52" s="2">
        <v>6292.0</v>
      </c>
      <c r="G52" s="2">
        <v>4.0</v>
      </c>
      <c r="H52" s="2">
        <v>120000.0</v>
      </c>
      <c r="I52" s="2">
        <v>180000.0</v>
      </c>
      <c r="J52" s="2">
        <v>1.0</v>
      </c>
      <c r="K52" s="2">
        <v>7.0</v>
      </c>
      <c r="O52" s="2" t="s">
        <v>262</v>
      </c>
      <c r="P52" s="2" t="s">
        <v>166</v>
      </c>
      <c r="Q52" s="2"/>
      <c r="R52" s="2" t="s">
        <v>167</v>
      </c>
      <c r="S52" s="11">
        <v>42222.425729166665</v>
      </c>
    </row>
    <row r="53" ht="12.75" customHeight="1">
      <c r="A53" s="2"/>
      <c r="B53" s="2">
        <v>1.0</v>
      </c>
      <c r="C53" s="2" t="s">
        <v>263</v>
      </c>
      <c r="D53" s="2">
        <v>3.20083897E8</v>
      </c>
      <c r="E53" s="2">
        <v>1.400003094E9</v>
      </c>
      <c r="F53" s="2">
        <v>6312.0</v>
      </c>
      <c r="G53" s="2">
        <v>7.0</v>
      </c>
      <c r="H53" s="2">
        <v>560000.0</v>
      </c>
      <c r="I53" s="2">
        <v>840000.0</v>
      </c>
      <c r="J53" s="2">
        <v>1.0</v>
      </c>
      <c r="K53" s="2">
        <v>7.0</v>
      </c>
      <c r="O53" s="2" t="s">
        <v>264</v>
      </c>
      <c r="P53" s="2" t="s">
        <v>166</v>
      </c>
      <c r="Q53" s="2"/>
      <c r="R53" s="2" t="s">
        <v>167</v>
      </c>
      <c r="S53" s="11">
        <v>42222.425729166665</v>
      </c>
    </row>
    <row r="54" ht="12.75" customHeight="1">
      <c r="A54" s="2"/>
      <c r="B54" s="2">
        <v>1.0</v>
      </c>
      <c r="C54" s="2" t="s">
        <v>265</v>
      </c>
      <c r="D54" s="2">
        <v>3.200839E8</v>
      </c>
      <c r="E54" s="2">
        <v>1.400003094E9</v>
      </c>
      <c r="F54" s="2">
        <v>6316.0</v>
      </c>
      <c r="G54" s="2">
        <v>8.0</v>
      </c>
      <c r="H54" s="2">
        <v>240000.0</v>
      </c>
      <c r="I54" s="2">
        <v>480000.0</v>
      </c>
      <c r="J54" s="2">
        <v>1.0</v>
      </c>
      <c r="K54" s="2">
        <v>7.0</v>
      </c>
      <c r="O54" s="2" t="s">
        <v>266</v>
      </c>
      <c r="P54" s="2" t="s">
        <v>166</v>
      </c>
      <c r="Q54" s="2"/>
      <c r="R54" s="2" t="s">
        <v>167</v>
      </c>
      <c r="S54" s="11">
        <v>42222.425729166665</v>
      </c>
    </row>
    <row r="55" ht="12.75" customHeight="1">
      <c r="A55" s="2"/>
      <c r="B55" s="2">
        <v>1.0</v>
      </c>
      <c r="C55" s="2" t="s">
        <v>267</v>
      </c>
      <c r="D55" s="2">
        <v>3.20083877E8</v>
      </c>
      <c r="E55" s="2">
        <v>1.400003094E9</v>
      </c>
      <c r="F55" s="2">
        <v>7396.0</v>
      </c>
      <c r="G55" s="2">
        <v>1.0</v>
      </c>
      <c r="H55" s="2">
        <v>113750.0</v>
      </c>
      <c r="I55" s="2">
        <v>455000.0</v>
      </c>
      <c r="J55" s="2">
        <v>1.0</v>
      </c>
      <c r="K55" s="2">
        <v>7.0</v>
      </c>
      <c r="O55" s="2" t="s">
        <v>268</v>
      </c>
      <c r="P55" s="2" t="s">
        <v>166</v>
      </c>
      <c r="Q55" s="2"/>
      <c r="R55" s="2" t="s">
        <v>167</v>
      </c>
      <c r="S55" s="11">
        <v>42222.425717592596</v>
      </c>
    </row>
    <row r="56" ht="12.75" customHeight="1">
      <c r="A56" s="2"/>
      <c r="B56" s="2">
        <v>1.0</v>
      </c>
      <c r="C56" s="2" t="s">
        <v>269</v>
      </c>
      <c r="D56" s="2">
        <v>3.20083869E8</v>
      </c>
      <c r="E56" s="2">
        <v>1.400003094E9</v>
      </c>
      <c r="F56" s="2">
        <v>7421.0</v>
      </c>
      <c r="G56" s="2">
        <v>3.0</v>
      </c>
      <c r="H56" s="2">
        <v>289500.0</v>
      </c>
      <c r="I56" s="2">
        <v>1158000.0</v>
      </c>
      <c r="J56" s="2">
        <v>1.0</v>
      </c>
      <c r="K56" s="2">
        <v>7.0</v>
      </c>
      <c r="O56" s="2" t="s">
        <v>270</v>
      </c>
      <c r="P56" s="2" t="s">
        <v>166</v>
      </c>
      <c r="Q56" s="2"/>
      <c r="R56" s="2" t="s">
        <v>167</v>
      </c>
      <c r="S56" s="11">
        <v>42222.425717592596</v>
      </c>
    </row>
    <row r="57" ht="12.75" customHeight="1">
      <c r="A57" s="2"/>
      <c r="B57" s="2">
        <v>1.0</v>
      </c>
      <c r="C57" s="2" t="s">
        <v>271</v>
      </c>
      <c r="D57" s="2">
        <v>3.20083871E8</v>
      </c>
      <c r="E57" s="2">
        <v>1.400003094E9</v>
      </c>
      <c r="F57" s="2">
        <v>7422.0</v>
      </c>
      <c r="G57" s="2">
        <v>5.0</v>
      </c>
      <c r="H57" s="2">
        <v>482500.0</v>
      </c>
      <c r="I57" s="2">
        <v>1930000.0</v>
      </c>
      <c r="J57" s="2">
        <v>1.0</v>
      </c>
      <c r="K57" s="2">
        <v>7.0</v>
      </c>
      <c r="O57" s="2" t="s">
        <v>175</v>
      </c>
      <c r="P57" s="2" t="s">
        <v>166</v>
      </c>
      <c r="Q57" s="2"/>
      <c r="R57" s="2" t="s">
        <v>167</v>
      </c>
      <c r="S57" s="11">
        <v>42222.425717592596</v>
      </c>
    </row>
    <row r="58" ht="12.75" customHeight="1">
      <c r="A58" s="2"/>
      <c r="B58" s="2">
        <v>1.0</v>
      </c>
      <c r="C58" s="2" t="s">
        <v>272</v>
      </c>
      <c r="D58" s="2">
        <v>3.20083887E8</v>
      </c>
      <c r="E58" s="2">
        <v>1.400003094E9</v>
      </c>
      <c r="F58" s="2">
        <v>7547.0</v>
      </c>
      <c r="G58" s="2">
        <v>3.0</v>
      </c>
      <c r="H58" s="2">
        <v>247500.0</v>
      </c>
      <c r="I58" s="2">
        <v>990000.0</v>
      </c>
      <c r="J58" s="2">
        <v>1.0</v>
      </c>
      <c r="K58" s="2">
        <v>7.0</v>
      </c>
      <c r="O58" s="2" t="s">
        <v>221</v>
      </c>
      <c r="P58" s="2" t="s">
        <v>166</v>
      </c>
      <c r="Q58" s="2"/>
      <c r="R58" s="2" t="s">
        <v>167</v>
      </c>
      <c r="S58" s="11">
        <v>42222.425729166665</v>
      </c>
    </row>
    <row r="59" ht="12.75" customHeight="1">
      <c r="A59" s="2"/>
      <c r="B59" s="2">
        <v>1.0</v>
      </c>
      <c r="C59" s="2" t="s">
        <v>273</v>
      </c>
      <c r="D59" s="2">
        <v>3.20083888E8</v>
      </c>
      <c r="E59" s="2">
        <v>1.400003094E9</v>
      </c>
      <c r="F59" s="2">
        <v>7548.0</v>
      </c>
      <c r="G59" s="2">
        <v>1.0</v>
      </c>
      <c r="H59" s="2">
        <v>82500.0</v>
      </c>
      <c r="I59" s="2">
        <v>330000.0</v>
      </c>
      <c r="J59" s="2">
        <v>1.0</v>
      </c>
      <c r="K59" s="2">
        <v>7.0</v>
      </c>
      <c r="O59" s="2" t="s">
        <v>223</v>
      </c>
      <c r="P59" s="2" t="s">
        <v>166</v>
      </c>
      <c r="Q59" s="2"/>
      <c r="R59" s="2" t="s">
        <v>167</v>
      </c>
      <c r="S59" s="11">
        <v>42222.425729166665</v>
      </c>
    </row>
    <row r="60" ht="12.75" customHeight="1">
      <c r="A60" s="2"/>
      <c r="B60" s="2">
        <v>1.0</v>
      </c>
      <c r="C60" s="2" t="s">
        <v>274</v>
      </c>
      <c r="D60" s="2">
        <v>3.2008388E8</v>
      </c>
      <c r="E60" s="2">
        <v>1.400003094E9</v>
      </c>
      <c r="F60" s="2">
        <v>7698.0</v>
      </c>
      <c r="G60" s="2">
        <v>3.0</v>
      </c>
      <c r="H60" s="2">
        <v>285000.0</v>
      </c>
      <c r="I60" s="2">
        <v>1140000.0</v>
      </c>
      <c r="J60" s="2">
        <v>1.0</v>
      </c>
      <c r="K60" s="2">
        <v>7.0</v>
      </c>
      <c r="O60" s="2" t="s">
        <v>275</v>
      </c>
      <c r="P60" s="2" t="s">
        <v>166</v>
      </c>
      <c r="Q60" s="2"/>
      <c r="R60" s="2" t="s">
        <v>167</v>
      </c>
      <c r="S60" s="11">
        <v>42222.425717592596</v>
      </c>
    </row>
    <row r="61" ht="12.75" customHeight="1">
      <c r="A61" s="2"/>
      <c r="B61" s="2">
        <v>1.0</v>
      </c>
      <c r="C61" s="2" t="s">
        <v>276</v>
      </c>
      <c r="D61" s="2">
        <v>3.20083893E8</v>
      </c>
      <c r="E61" s="2">
        <v>1.400003094E9</v>
      </c>
      <c r="F61" s="2">
        <v>8626.0</v>
      </c>
      <c r="G61" s="2">
        <v>4.0</v>
      </c>
      <c r="H61" s="2">
        <v>379200.0</v>
      </c>
      <c r="I61" s="2">
        <v>1580000.0</v>
      </c>
      <c r="J61" s="2">
        <v>1.0</v>
      </c>
      <c r="K61" s="2">
        <v>7.0</v>
      </c>
      <c r="O61" s="2" t="s">
        <v>277</v>
      </c>
      <c r="P61" s="2" t="s">
        <v>166</v>
      </c>
      <c r="Q61" s="2"/>
      <c r="R61" s="2" t="s">
        <v>167</v>
      </c>
      <c r="S61" s="11">
        <v>42222.425729166665</v>
      </c>
    </row>
    <row r="62" ht="12.75" customHeight="1">
      <c r="A62" s="2"/>
      <c r="B62" s="2">
        <v>1.0</v>
      </c>
      <c r="C62" s="2" t="s">
        <v>278</v>
      </c>
      <c r="D62" s="2">
        <v>3.20083868E8</v>
      </c>
      <c r="E62" s="2">
        <v>1.400003094E9</v>
      </c>
      <c r="F62" s="2">
        <v>11688.0</v>
      </c>
      <c r="G62" s="2">
        <v>2.0</v>
      </c>
      <c r="H62" s="2">
        <v>162800.0</v>
      </c>
      <c r="I62" s="2">
        <v>740000.0</v>
      </c>
      <c r="J62" s="2">
        <v>1.0</v>
      </c>
      <c r="K62" s="2">
        <v>7.0</v>
      </c>
      <c r="O62" s="2" t="s">
        <v>279</v>
      </c>
      <c r="P62" s="2" t="s">
        <v>166</v>
      </c>
      <c r="Q62" s="2"/>
      <c r="R62" s="2" t="s">
        <v>167</v>
      </c>
      <c r="S62" s="11">
        <v>42222.425717592596</v>
      </c>
    </row>
    <row r="63" ht="12.75" customHeight="1">
      <c r="A63" s="2"/>
      <c r="B63" s="2">
        <v>1.0</v>
      </c>
      <c r="C63" s="2" t="s">
        <v>280</v>
      </c>
      <c r="D63" s="2">
        <v>3.20083873E8</v>
      </c>
      <c r="E63" s="2">
        <v>1.400003094E9</v>
      </c>
      <c r="F63" s="2">
        <v>13316.0</v>
      </c>
      <c r="G63" s="2">
        <v>3.0</v>
      </c>
      <c r="H63" s="2">
        <v>441450.0</v>
      </c>
      <c r="I63" s="2">
        <v>1635000.0</v>
      </c>
      <c r="J63" s="2">
        <v>1.0</v>
      </c>
      <c r="K63" s="2">
        <v>7.0</v>
      </c>
      <c r="O63" s="2" t="s">
        <v>281</v>
      </c>
      <c r="P63" s="2" t="s">
        <v>166</v>
      </c>
      <c r="Q63" s="2"/>
      <c r="R63" s="2" t="s">
        <v>167</v>
      </c>
      <c r="S63" s="11">
        <v>42222.425717592596</v>
      </c>
    </row>
    <row r="64" ht="12.75" customHeight="1">
      <c r="A64" s="2"/>
      <c r="B64" s="2">
        <v>1.0</v>
      </c>
      <c r="C64" s="2" t="s">
        <v>282</v>
      </c>
      <c r="D64" s="2">
        <v>3.20083885E8</v>
      </c>
      <c r="E64" s="2">
        <v>1.400003094E9</v>
      </c>
      <c r="F64" s="2">
        <v>13737.0</v>
      </c>
      <c r="G64" s="2">
        <v>2.0</v>
      </c>
      <c r="H64" s="2">
        <v>140800.0</v>
      </c>
      <c r="I64" s="2">
        <v>640000.0</v>
      </c>
      <c r="J64" s="2">
        <v>1.0</v>
      </c>
      <c r="K64" s="2">
        <v>7.0</v>
      </c>
      <c r="O64" s="2" t="s">
        <v>201</v>
      </c>
      <c r="P64" s="2" t="s">
        <v>166</v>
      </c>
      <c r="Q64" s="2"/>
      <c r="R64" s="2" t="s">
        <v>167</v>
      </c>
      <c r="S64" s="11">
        <v>42222.425729166665</v>
      </c>
    </row>
    <row r="65" ht="12.75" customHeight="1">
      <c r="A65" s="2"/>
      <c r="B65" s="2">
        <v>1.0</v>
      </c>
      <c r="C65" s="2" t="s">
        <v>283</v>
      </c>
      <c r="D65" s="2">
        <v>3.20083884E8</v>
      </c>
      <c r="E65" s="2">
        <v>1.400003094E9</v>
      </c>
      <c r="F65" s="2">
        <v>14110.0</v>
      </c>
      <c r="G65" s="2">
        <v>1.0</v>
      </c>
      <c r="H65" s="2">
        <v>96500.0</v>
      </c>
      <c r="I65" s="2">
        <v>386000.0</v>
      </c>
      <c r="J65" s="2">
        <v>1.0</v>
      </c>
      <c r="K65" s="2">
        <v>7.0</v>
      </c>
      <c r="O65" s="2" t="s">
        <v>284</v>
      </c>
      <c r="P65" s="2" t="s">
        <v>166</v>
      </c>
      <c r="Q65" s="2"/>
      <c r="R65" s="2" t="s">
        <v>167</v>
      </c>
      <c r="S65" s="11">
        <v>42222.425729166665</v>
      </c>
    </row>
    <row r="66" ht="12.75" customHeight="1">
      <c r="A66" s="2"/>
      <c r="B66" s="2">
        <v>1.0</v>
      </c>
      <c r="C66" s="2" t="s">
        <v>285</v>
      </c>
      <c r="D66" s="2">
        <v>3.20083896E8</v>
      </c>
      <c r="E66" s="2">
        <v>1.400003094E9</v>
      </c>
      <c r="F66" s="2">
        <v>14127.0</v>
      </c>
      <c r="G66" s="2">
        <v>3.0</v>
      </c>
      <c r="H66" s="2">
        <v>392700.0</v>
      </c>
      <c r="I66" s="2">
        <v>1785000.0</v>
      </c>
      <c r="J66" s="2">
        <v>1.0</v>
      </c>
      <c r="K66" s="2">
        <v>7.0</v>
      </c>
      <c r="O66" s="2" t="s">
        <v>286</v>
      </c>
      <c r="P66" s="2" t="s">
        <v>166</v>
      </c>
      <c r="Q66" s="2"/>
      <c r="R66" s="2" t="s">
        <v>167</v>
      </c>
      <c r="S66" s="11">
        <v>42222.425729166665</v>
      </c>
    </row>
    <row r="67" ht="12.75" customHeight="1">
      <c r="A67" s="2"/>
      <c r="B67" s="2">
        <v>1.0</v>
      </c>
      <c r="C67" s="2" t="s">
        <v>287</v>
      </c>
      <c r="D67" s="2">
        <v>3.20083881E8</v>
      </c>
      <c r="E67" s="2">
        <v>1.400003094E9</v>
      </c>
      <c r="F67" s="2">
        <v>14712.0</v>
      </c>
      <c r="G67" s="2">
        <v>4.0</v>
      </c>
      <c r="H67" s="2">
        <v>504000.0</v>
      </c>
      <c r="I67" s="2">
        <v>1680000.0</v>
      </c>
      <c r="J67" s="2">
        <v>1.0</v>
      </c>
      <c r="K67" s="2">
        <v>7.0</v>
      </c>
      <c r="O67" s="2" t="s">
        <v>288</v>
      </c>
      <c r="P67" s="2" t="s">
        <v>166</v>
      </c>
      <c r="Q67" s="2"/>
      <c r="R67" s="2" t="s">
        <v>167</v>
      </c>
      <c r="S67" s="11">
        <v>42222.425717592596</v>
      </c>
    </row>
    <row r="68" ht="12.75" customHeight="1">
      <c r="A68" s="2"/>
      <c r="B68" s="2">
        <v>1.0</v>
      </c>
      <c r="C68" s="2" t="s">
        <v>289</v>
      </c>
      <c r="D68" s="2">
        <v>3.20083878E8</v>
      </c>
      <c r="E68" s="2">
        <v>1.400003094E9</v>
      </c>
      <c r="F68" s="2">
        <v>14944.0</v>
      </c>
      <c r="G68" s="2">
        <v>1.0</v>
      </c>
      <c r="H68" s="2">
        <v>96500.0</v>
      </c>
      <c r="I68" s="2">
        <v>386000.0</v>
      </c>
      <c r="J68" s="2">
        <v>1.0</v>
      </c>
      <c r="K68" s="2">
        <v>7.0</v>
      </c>
      <c r="O68" s="2" t="s">
        <v>290</v>
      </c>
      <c r="P68" s="2" t="s">
        <v>166</v>
      </c>
      <c r="Q68" s="2"/>
      <c r="R68" s="2" t="s">
        <v>167</v>
      </c>
      <c r="S68" s="11">
        <v>42222.425717592596</v>
      </c>
    </row>
    <row r="69" ht="12.75" customHeight="1">
      <c r="A69" s="2"/>
      <c r="B69" s="2">
        <v>1.0</v>
      </c>
      <c r="C69" s="2" t="s">
        <v>291</v>
      </c>
      <c r="D69" s="2">
        <v>3.20083886E8</v>
      </c>
      <c r="E69" s="2">
        <v>1.400003094E9</v>
      </c>
      <c r="F69" s="2">
        <v>15987.0</v>
      </c>
      <c r="G69" s="2">
        <v>4.0</v>
      </c>
      <c r="H69" s="2">
        <v>220880.0</v>
      </c>
      <c r="I69" s="2">
        <v>1004000.0</v>
      </c>
      <c r="J69" s="2">
        <v>1.0</v>
      </c>
      <c r="K69" s="2">
        <v>7.0</v>
      </c>
      <c r="O69" s="2" t="s">
        <v>292</v>
      </c>
      <c r="P69" s="2" t="s">
        <v>166</v>
      </c>
      <c r="Q69" s="2"/>
      <c r="R69" s="2" t="s">
        <v>167</v>
      </c>
      <c r="S69" s="11">
        <v>42222.425729166665</v>
      </c>
    </row>
    <row r="70" ht="12.75" customHeight="1">
      <c r="A70" s="2"/>
      <c r="B70" s="2">
        <v>1.0</v>
      </c>
      <c r="C70" s="2" t="s">
        <v>293</v>
      </c>
      <c r="D70" s="2">
        <v>3.20083879E8</v>
      </c>
      <c r="E70" s="2">
        <v>1.400003094E9</v>
      </c>
      <c r="F70" s="2">
        <v>16096.0</v>
      </c>
      <c r="G70" s="2">
        <v>2.0</v>
      </c>
      <c r="H70" s="2">
        <v>194000.0</v>
      </c>
      <c r="I70" s="2">
        <v>776000.0</v>
      </c>
      <c r="J70" s="2">
        <v>1.0</v>
      </c>
      <c r="K70" s="2">
        <v>7.0</v>
      </c>
      <c r="O70" s="2" t="s">
        <v>294</v>
      </c>
      <c r="P70" s="2" t="s">
        <v>166</v>
      </c>
      <c r="Q70" s="2"/>
      <c r="R70" s="2" t="s">
        <v>167</v>
      </c>
      <c r="S70" s="11">
        <v>42222.425717592596</v>
      </c>
    </row>
    <row r="71" ht="12.75" customHeight="1">
      <c r="A71" s="2"/>
      <c r="B71" s="2">
        <v>1.0</v>
      </c>
      <c r="C71" s="2" t="s">
        <v>295</v>
      </c>
      <c r="D71" s="2">
        <v>3.2008387E8</v>
      </c>
      <c r="E71" s="2">
        <v>1.400003094E9</v>
      </c>
      <c r="F71" s="2">
        <v>16345.0</v>
      </c>
      <c r="G71" s="2">
        <v>3.0</v>
      </c>
      <c r="H71" s="2">
        <v>260700.0</v>
      </c>
      <c r="I71" s="2">
        <v>1185000.0</v>
      </c>
      <c r="J71" s="2">
        <v>1.0</v>
      </c>
      <c r="K71" s="2">
        <v>7.0</v>
      </c>
      <c r="O71" s="2" t="s">
        <v>247</v>
      </c>
      <c r="P71" s="2" t="s">
        <v>166</v>
      </c>
      <c r="Q71" s="2"/>
      <c r="R71" s="2" t="s">
        <v>167</v>
      </c>
      <c r="S71" s="11">
        <v>42222.425717592596</v>
      </c>
    </row>
    <row r="72" ht="12.75" customHeight="1">
      <c r="A72" s="2"/>
      <c r="B72" s="2">
        <v>1.0</v>
      </c>
      <c r="C72" s="2" t="s">
        <v>296</v>
      </c>
      <c r="D72" s="2">
        <v>3.20083872E8</v>
      </c>
      <c r="E72" s="2">
        <v>1.400003094E9</v>
      </c>
      <c r="F72" s="2">
        <v>16353.0</v>
      </c>
      <c r="G72" s="2">
        <v>2.0</v>
      </c>
      <c r="H72" s="2">
        <v>162800.0</v>
      </c>
      <c r="I72" s="2">
        <v>740000.0</v>
      </c>
      <c r="J72" s="2">
        <v>1.0</v>
      </c>
      <c r="K72" s="2">
        <v>7.0</v>
      </c>
      <c r="O72" s="2" t="s">
        <v>297</v>
      </c>
      <c r="P72" s="2" t="s">
        <v>166</v>
      </c>
      <c r="Q72" s="2"/>
      <c r="R72" s="2" t="s">
        <v>167</v>
      </c>
      <c r="S72" s="11">
        <v>42222.425717592596</v>
      </c>
    </row>
    <row r="73" ht="12.75" customHeight="1">
      <c r="A73" s="2"/>
      <c r="B73" s="2">
        <v>1.0</v>
      </c>
      <c r="C73" s="2" t="s">
        <v>298</v>
      </c>
      <c r="D73" s="2">
        <v>3.20083883E8</v>
      </c>
      <c r="E73" s="2">
        <v>1.400003094E9</v>
      </c>
      <c r="F73" s="2">
        <v>16356.0</v>
      </c>
      <c r="G73" s="2">
        <v>2.0</v>
      </c>
      <c r="H73" s="2">
        <v>187000.0</v>
      </c>
      <c r="I73" s="2">
        <v>850000.0</v>
      </c>
      <c r="J73" s="2">
        <v>1.0</v>
      </c>
      <c r="K73" s="2">
        <v>7.0</v>
      </c>
      <c r="O73" s="2" t="s">
        <v>299</v>
      </c>
      <c r="P73" s="2" t="s">
        <v>166</v>
      </c>
      <c r="Q73" s="2"/>
      <c r="R73" s="2" t="s">
        <v>167</v>
      </c>
      <c r="S73" s="11">
        <v>42222.425717592596</v>
      </c>
    </row>
    <row r="74" ht="12.75" customHeight="1">
      <c r="A74" s="2"/>
      <c r="B74" s="2">
        <v>1.0</v>
      </c>
      <c r="C74" s="2" t="s">
        <v>300</v>
      </c>
      <c r="D74" s="2">
        <v>3.20083874E8</v>
      </c>
      <c r="E74" s="2">
        <v>1.400003094E9</v>
      </c>
      <c r="F74" s="2">
        <v>16755.0</v>
      </c>
      <c r="G74" s="2">
        <v>3.0</v>
      </c>
      <c r="H74" s="2">
        <v>473850.0</v>
      </c>
      <c r="I74" s="2">
        <v>1755000.0</v>
      </c>
      <c r="J74" s="2">
        <v>1.0</v>
      </c>
      <c r="K74" s="2">
        <v>7.0</v>
      </c>
      <c r="O74" s="2" t="s">
        <v>301</v>
      </c>
      <c r="P74" s="2" t="s">
        <v>166</v>
      </c>
      <c r="Q74" s="2"/>
      <c r="R74" s="2" t="s">
        <v>167</v>
      </c>
      <c r="S74" s="11">
        <v>42222.425717592596</v>
      </c>
    </row>
    <row r="75" ht="12.75" customHeight="1">
      <c r="A75" s="2"/>
      <c r="B75" s="2">
        <v>1.0</v>
      </c>
      <c r="C75" s="2" t="s">
        <v>302</v>
      </c>
      <c r="D75" s="2">
        <v>3.20083876E8</v>
      </c>
      <c r="E75" s="2">
        <v>1.400003094E9</v>
      </c>
      <c r="F75" s="2">
        <v>16757.0</v>
      </c>
      <c r="G75" s="2">
        <v>4.0</v>
      </c>
      <c r="H75" s="2">
        <v>664200.0</v>
      </c>
      <c r="I75" s="2">
        <v>2460000.0</v>
      </c>
      <c r="J75" s="2">
        <v>1.0</v>
      </c>
      <c r="K75" s="2">
        <v>7.0</v>
      </c>
      <c r="O75" s="2" t="s">
        <v>303</v>
      </c>
      <c r="P75" s="2" t="s">
        <v>166</v>
      </c>
      <c r="Q75" s="2"/>
      <c r="R75" s="2" t="s">
        <v>167</v>
      </c>
      <c r="S75" s="11">
        <v>42222.425717592596</v>
      </c>
    </row>
    <row r="76" ht="12.75" customHeight="1">
      <c r="A76" s="2"/>
      <c r="B76" s="2">
        <v>1.0</v>
      </c>
      <c r="C76" s="2" t="s">
        <v>304</v>
      </c>
      <c r="D76" s="2">
        <v>3.20083875E8</v>
      </c>
      <c r="E76" s="2">
        <v>1.400003094E9</v>
      </c>
      <c r="F76" s="2">
        <v>16792.0</v>
      </c>
      <c r="G76" s="2">
        <v>4.0</v>
      </c>
      <c r="H76" s="2">
        <v>495000.0</v>
      </c>
      <c r="I76" s="2">
        <v>1980000.0</v>
      </c>
      <c r="J76" s="2">
        <v>1.0</v>
      </c>
      <c r="K76" s="2">
        <v>7.0</v>
      </c>
      <c r="O76" s="2" t="s">
        <v>305</v>
      </c>
      <c r="P76" s="2" t="s">
        <v>166</v>
      </c>
      <c r="Q76" s="2"/>
      <c r="R76" s="2" t="s">
        <v>167</v>
      </c>
      <c r="S76" s="11">
        <v>42222.425717592596</v>
      </c>
    </row>
    <row r="77" ht="12.75" customHeight="1">
      <c r="A77" s="2"/>
      <c r="B77" s="2">
        <v>1.0</v>
      </c>
      <c r="C77" s="2" t="s">
        <v>306</v>
      </c>
      <c r="D77" s="2">
        <v>3.20083882E8</v>
      </c>
      <c r="E77" s="2">
        <v>1.400003094E9</v>
      </c>
      <c r="F77" s="2">
        <v>16794.0</v>
      </c>
      <c r="G77" s="2">
        <v>3.0</v>
      </c>
      <c r="H77" s="2">
        <v>396000.0</v>
      </c>
      <c r="I77" s="2">
        <v>1320000.0</v>
      </c>
      <c r="J77" s="2">
        <v>1.0</v>
      </c>
      <c r="K77" s="2">
        <v>7.0</v>
      </c>
      <c r="O77" s="2" t="s">
        <v>307</v>
      </c>
      <c r="P77" s="2" t="s">
        <v>166</v>
      </c>
      <c r="Q77" s="2"/>
      <c r="R77" s="2" t="s">
        <v>167</v>
      </c>
      <c r="S77" s="11">
        <v>42222.425717592596</v>
      </c>
    </row>
    <row r="78" ht="12.75" customHeight="1">
      <c r="A78" s="2"/>
      <c r="B78" s="2">
        <v>1.0</v>
      </c>
      <c r="C78" s="2" t="s">
        <v>308</v>
      </c>
      <c r="D78" s="2">
        <v>3.20083867E8</v>
      </c>
      <c r="E78" s="2">
        <v>1.400003094E9</v>
      </c>
      <c r="F78" s="2">
        <v>16800.0</v>
      </c>
      <c r="G78" s="2">
        <v>3.0</v>
      </c>
      <c r="H78" s="2">
        <v>442500.0</v>
      </c>
      <c r="I78" s="2">
        <v>1770000.0</v>
      </c>
      <c r="J78" s="2">
        <v>1.0</v>
      </c>
      <c r="K78" s="2">
        <v>7.0</v>
      </c>
      <c r="O78" s="2" t="s">
        <v>309</v>
      </c>
      <c r="P78" s="2" t="s">
        <v>166</v>
      </c>
      <c r="Q78" s="2"/>
      <c r="R78" s="2" t="s">
        <v>167</v>
      </c>
      <c r="S78" s="11">
        <v>42222.425717592596</v>
      </c>
    </row>
    <row r="79" ht="12.75" customHeight="1">
      <c r="A79" s="2"/>
      <c r="B79" s="2">
        <v>1.0</v>
      </c>
      <c r="C79" s="2" t="s">
        <v>310</v>
      </c>
      <c r="D79" s="2">
        <v>3.20083916E8</v>
      </c>
      <c r="E79" s="2">
        <v>1.400003095E9</v>
      </c>
      <c r="F79" s="2">
        <v>7547.0</v>
      </c>
      <c r="G79" s="2">
        <v>3.0</v>
      </c>
      <c r="H79" s="2">
        <v>247500.0</v>
      </c>
      <c r="I79" s="2">
        <v>990000.0</v>
      </c>
      <c r="J79" s="2">
        <v>1.0</v>
      </c>
      <c r="K79" s="2">
        <v>7.0</v>
      </c>
      <c r="O79" s="2" t="s">
        <v>221</v>
      </c>
      <c r="P79" s="2" t="s">
        <v>166</v>
      </c>
      <c r="Q79" s="2"/>
      <c r="R79" s="2" t="s">
        <v>167</v>
      </c>
      <c r="S79" s="11">
        <v>42222.42575231481</v>
      </c>
    </row>
    <row r="80" ht="12.75" customHeight="1">
      <c r="A80" s="2"/>
      <c r="B80" s="2">
        <v>1.0</v>
      </c>
      <c r="C80" s="2" t="s">
        <v>311</v>
      </c>
      <c r="D80" s="2">
        <v>3.20083914E8</v>
      </c>
      <c r="E80" s="2">
        <v>1.400003095E9</v>
      </c>
      <c r="F80" s="2">
        <v>7548.0</v>
      </c>
      <c r="G80" s="2">
        <v>2.0</v>
      </c>
      <c r="H80" s="2">
        <v>165000.0</v>
      </c>
      <c r="I80" s="2">
        <v>660000.0</v>
      </c>
      <c r="J80" s="2">
        <v>1.0</v>
      </c>
      <c r="K80" s="2">
        <v>7.0</v>
      </c>
      <c r="O80" s="2" t="s">
        <v>223</v>
      </c>
      <c r="P80" s="2" t="s">
        <v>166</v>
      </c>
      <c r="Q80" s="2"/>
      <c r="R80" s="2" t="s">
        <v>167</v>
      </c>
      <c r="S80" s="11">
        <v>42222.42575231481</v>
      </c>
    </row>
    <row r="81" ht="12.75" customHeight="1">
      <c r="A81" s="2"/>
      <c r="B81" s="2">
        <v>1.0</v>
      </c>
      <c r="C81" s="2" t="s">
        <v>312</v>
      </c>
      <c r="D81" s="2">
        <v>3.20083908E8</v>
      </c>
      <c r="E81" s="2">
        <v>1.400003095E9</v>
      </c>
      <c r="F81" s="2">
        <v>16353.0</v>
      </c>
      <c r="G81" s="2">
        <v>6.0</v>
      </c>
      <c r="H81" s="2">
        <v>488400.0</v>
      </c>
      <c r="I81" s="2">
        <v>2220000.0</v>
      </c>
      <c r="J81" s="2">
        <v>1.0</v>
      </c>
      <c r="K81" s="2">
        <v>7.0</v>
      </c>
      <c r="O81" s="2" t="s">
        <v>297</v>
      </c>
      <c r="P81" s="2" t="s">
        <v>166</v>
      </c>
      <c r="Q81" s="2"/>
      <c r="R81" s="2" t="s">
        <v>167</v>
      </c>
      <c r="S81" s="11">
        <v>42222.42575231481</v>
      </c>
    </row>
    <row r="82" ht="12.75" customHeight="1">
      <c r="A82" s="2"/>
      <c r="B82" s="2">
        <v>1.0</v>
      </c>
      <c r="C82" s="2" t="s">
        <v>313</v>
      </c>
      <c r="D82" s="2">
        <v>3.20083903E8</v>
      </c>
      <c r="E82" s="2">
        <v>1.400003095E9</v>
      </c>
      <c r="F82" s="2">
        <v>16712.0</v>
      </c>
      <c r="G82" s="2">
        <v>6.0</v>
      </c>
      <c r="H82" s="2">
        <v>679800.0</v>
      </c>
      <c r="I82" s="2">
        <v>3090000.0</v>
      </c>
      <c r="J82" s="2">
        <v>1.0</v>
      </c>
      <c r="K82" s="2">
        <v>7.0</v>
      </c>
      <c r="O82" s="2" t="s">
        <v>314</v>
      </c>
      <c r="P82" s="2" t="s">
        <v>166</v>
      </c>
      <c r="Q82" s="2"/>
      <c r="R82" s="2" t="s">
        <v>167</v>
      </c>
      <c r="S82" s="11">
        <v>42222.42575231481</v>
      </c>
    </row>
    <row r="83" ht="12.75" customHeight="1">
      <c r="A83" s="2"/>
      <c r="B83" s="2">
        <v>1.0</v>
      </c>
      <c r="C83" s="2" t="s">
        <v>315</v>
      </c>
      <c r="D83" s="2">
        <v>3.20083906E8</v>
      </c>
      <c r="E83" s="2">
        <v>1.400003095E9</v>
      </c>
      <c r="F83" s="2">
        <v>16848.0</v>
      </c>
      <c r="G83" s="2">
        <v>6.0</v>
      </c>
      <c r="H83" s="2">
        <v>508200.0</v>
      </c>
      <c r="I83" s="2">
        <v>2310000.0</v>
      </c>
      <c r="J83" s="2">
        <v>1.0</v>
      </c>
      <c r="K83" s="2">
        <v>7.0</v>
      </c>
      <c r="O83" s="2" t="s">
        <v>316</v>
      </c>
      <c r="P83" s="2" t="s">
        <v>166</v>
      </c>
      <c r="Q83" s="2"/>
      <c r="R83" s="2" t="s">
        <v>167</v>
      </c>
      <c r="S83" s="11">
        <v>42222.42575231481</v>
      </c>
    </row>
    <row r="84" ht="12.75" customHeight="1">
      <c r="A84" s="2"/>
      <c r="B84" s="2">
        <v>1.0</v>
      </c>
      <c r="C84" s="2" t="s">
        <v>317</v>
      </c>
      <c r="D84" s="2">
        <v>3.20083911E8</v>
      </c>
      <c r="E84" s="2">
        <v>1.400003095E9</v>
      </c>
      <c r="F84" s="2">
        <v>16857.0</v>
      </c>
      <c r="G84" s="2">
        <v>5.0</v>
      </c>
      <c r="H84" s="2">
        <v>618750.0</v>
      </c>
      <c r="I84" s="2">
        <v>2475000.0</v>
      </c>
      <c r="J84" s="2">
        <v>1.0</v>
      </c>
      <c r="K84" s="2">
        <v>7.0</v>
      </c>
      <c r="O84" s="2" t="s">
        <v>318</v>
      </c>
      <c r="P84" s="2" t="s">
        <v>166</v>
      </c>
      <c r="Q84" s="2"/>
      <c r="R84" s="2" t="s">
        <v>167</v>
      </c>
      <c r="S84" s="11">
        <v>42222.42575231481</v>
      </c>
    </row>
    <row r="85" ht="12.75" customHeight="1">
      <c r="A85" s="2"/>
      <c r="B85" s="2">
        <v>1.0</v>
      </c>
      <c r="C85" s="2" t="s">
        <v>319</v>
      </c>
      <c r="D85" s="2">
        <v>3.2008391E8</v>
      </c>
      <c r="E85" s="2">
        <v>1.400003095E9</v>
      </c>
      <c r="F85" s="2">
        <v>16866.0</v>
      </c>
      <c r="G85" s="2">
        <v>5.0</v>
      </c>
      <c r="H85" s="2">
        <v>618750.0</v>
      </c>
      <c r="I85" s="2">
        <v>2475000.0</v>
      </c>
      <c r="J85" s="2">
        <v>1.0</v>
      </c>
      <c r="K85" s="2">
        <v>7.0</v>
      </c>
      <c r="O85" s="2" t="s">
        <v>318</v>
      </c>
      <c r="P85" s="2" t="s">
        <v>166</v>
      </c>
      <c r="Q85" s="2"/>
      <c r="R85" s="2" t="s">
        <v>167</v>
      </c>
      <c r="S85" s="11">
        <v>42222.42575231481</v>
      </c>
    </row>
    <row r="86" ht="12.75" customHeight="1">
      <c r="A86" s="2"/>
      <c r="B86" s="2">
        <v>1.0</v>
      </c>
      <c r="C86" s="2" t="s">
        <v>320</v>
      </c>
      <c r="D86" s="2">
        <v>3.20083918E8</v>
      </c>
      <c r="E86" s="2">
        <v>1.400003096E9</v>
      </c>
      <c r="F86" s="2">
        <v>8942.0</v>
      </c>
      <c r="G86" s="2">
        <v>-1.0</v>
      </c>
      <c r="H86" s="2">
        <v>0.0</v>
      </c>
      <c r="I86" s="2">
        <v>-340000.0</v>
      </c>
      <c r="J86" s="2">
        <v>1.0</v>
      </c>
      <c r="K86" s="2">
        <v>7.0</v>
      </c>
      <c r="O86" s="2" t="s">
        <v>321</v>
      </c>
      <c r="P86" s="2" t="s">
        <v>166</v>
      </c>
      <c r="Q86" s="2"/>
      <c r="R86" s="2" t="s">
        <v>167</v>
      </c>
      <c r="S86" s="11">
        <v>42222.42575231481</v>
      </c>
    </row>
    <row r="87" ht="12.75" customHeight="1">
      <c r="A87" s="2"/>
      <c r="B87" s="2">
        <v>1.0</v>
      </c>
      <c r="C87" s="2" t="s">
        <v>322</v>
      </c>
      <c r="D87" s="2">
        <v>3.2008392E8</v>
      </c>
      <c r="E87" s="2">
        <v>1.400003096E9</v>
      </c>
      <c r="F87" s="2">
        <v>8943.0</v>
      </c>
      <c r="G87" s="2">
        <v>-1.0</v>
      </c>
      <c r="H87" s="2">
        <v>0.0</v>
      </c>
      <c r="I87" s="2">
        <v>-370000.0</v>
      </c>
      <c r="J87" s="2">
        <v>1.0</v>
      </c>
      <c r="K87" s="2">
        <v>7.0</v>
      </c>
      <c r="O87" s="2" t="s">
        <v>323</v>
      </c>
      <c r="P87" s="2" t="s">
        <v>166</v>
      </c>
      <c r="Q87" s="2"/>
      <c r="R87" s="2" t="s">
        <v>167</v>
      </c>
      <c r="S87" s="11">
        <v>42222.42575231481</v>
      </c>
    </row>
    <row r="88" ht="12.75" customHeight="1">
      <c r="A88" s="2"/>
      <c r="B88" s="2">
        <v>1.0</v>
      </c>
      <c r="C88" s="2" t="s">
        <v>324</v>
      </c>
      <c r="D88" s="2">
        <v>3.20083921E8</v>
      </c>
      <c r="E88" s="2">
        <v>1.400003096E9</v>
      </c>
      <c r="F88" s="2">
        <v>15125.0</v>
      </c>
      <c r="G88" s="2">
        <v>-1.0</v>
      </c>
      <c r="H88" s="2">
        <v>0.0</v>
      </c>
      <c r="I88" s="2">
        <v>-630000.0</v>
      </c>
      <c r="J88" s="2">
        <v>1.0</v>
      </c>
      <c r="K88" s="2">
        <v>7.0</v>
      </c>
      <c r="O88" s="2" t="s">
        <v>237</v>
      </c>
      <c r="P88" s="2" t="s">
        <v>166</v>
      </c>
      <c r="Q88" s="2"/>
      <c r="R88" s="2" t="s">
        <v>167</v>
      </c>
      <c r="S88" s="11">
        <v>42222.42575231481</v>
      </c>
    </row>
    <row r="89" ht="12.75" customHeight="1">
      <c r="A89" s="2"/>
      <c r="B89" s="2">
        <v>1.0</v>
      </c>
      <c r="C89" s="2" t="s">
        <v>325</v>
      </c>
      <c r="D89" s="2">
        <v>3.20083923E8</v>
      </c>
      <c r="E89" s="2">
        <v>1.400003096E9</v>
      </c>
      <c r="F89" s="2">
        <v>15951.0</v>
      </c>
      <c r="G89" s="2">
        <v>-4.0</v>
      </c>
      <c r="H89" s="2">
        <v>0.0</v>
      </c>
      <c r="I89" s="2">
        <v>-2380000.0</v>
      </c>
      <c r="J89" s="2">
        <v>1.0</v>
      </c>
      <c r="K89" s="2">
        <v>7.0</v>
      </c>
      <c r="O89" s="2" t="s">
        <v>326</v>
      </c>
      <c r="P89" s="2" t="s">
        <v>166</v>
      </c>
      <c r="Q89" s="2"/>
      <c r="R89" s="2" t="s">
        <v>167</v>
      </c>
      <c r="S89" s="11">
        <v>42222.42575231481</v>
      </c>
    </row>
    <row r="90" ht="12.75" customHeight="1">
      <c r="A90" s="2"/>
      <c r="B90" s="2">
        <v>1.0</v>
      </c>
      <c r="C90" s="2" t="s">
        <v>327</v>
      </c>
      <c r="D90" s="2">
        <v>3.2008394E8</v>
      </c>
      <c r="E90" s="2">
        <v>1.400003097E9</v>
      </c>
      <c r="F90" s="2">
        <v>6343.0</v>
      </c>
      <c r="G90" s="2">
        <v>1.0</v>
      </c>
      <c r="H90" s="2">
        <v>0.0</v>
      </c>
      <c r="I90" s="2">
        <v>800000.0</v>
      </c>
      <c r="J90" s="2">
        <v>1.0</v>
      </c>
      <c r="K90" s="2">
        <v>7.0</v>
      </c>
      <c r="O90" s="2" t="s">
        <v>328</v>
      </c>
      <c r="P90" s="2" t="s">
        <v>166</v>
      </c>
      <c r="Q90" s="2"/>
      <c r="R90" s="2" t="s">
        <v>167</v>
      </c>
      <c r="S90" s="11">
        <v>42222.42576388889</v>
      </c>
    </row>
    <row r="91" ht="12.75" customHeight="1">
      <c r="A91" s="2"/>
      <c r="B91" s="2">
        <v>1.0</v>
      </c>
      <c r="C91" s="2" t="s">
        <v>329</v>
      </c>
      <c r="D91" s="2">
        <v>3.20083941E8</v>
      </c>
      <c r="E91" s="2">
        <v>1.400003097E9</v>
      </c>
      <c r="F91" s="2">
        <v>15869.0</v>
      </c>
      <c r="G91" s="2">
        <v>4.0</v>
      </c>
      <c r="H91" s="2">
        <v>388800.0</v>
      </c>
      <c r="I91" s="2">
        <v>1296000.0</v>
      </c>
      <c r="J91" s="2">
        <v>1.0</v>
      </c>
      <c r="K91" s="2">
        <v>7.0</v>
      </c>
      <c r="O91" s="2" t="s">
        <v>330</v>
      </c>
      <c r="P91" s="2" t="s">
        <v>166</v>
      </c>
      <c r="Q91" s="2"/>
      <c r="R91" s="2" t="s">
        <v>167</v>
      </c>
      <c r="S91" s="11">
        <v>42222.42576388889</v>
      </c>
    </row>
    <row r="92" ht="12.75" customHeight="1">
      <c r="A92" s="2"/>
      <c r="B92" s="2">
        <v>1.0</v>
      </c>
      <c r="C92" s="2" t="s">
        <v>331</v>
      </c>
      <c r="D92" s="2">
        <v>3.20083943E8</v>
      </c>
      <c r="E92" s="2">
        <v>1.400003097E9</v>
      </c>
      <c r="F92" s="2">
        <v>16237.0</v>
      </c>
      <c r="G92" s="2">
        <v>2.0</v>
      </c>
      <c r="H92" s="2">
        <v>128920.0</v>
      </c>
      <c r="I92" s="2">
        <v>586000.0</v>
      </c>
      <c r="J92" s="2">
        <v>1.0</v>
      </c>
      <c r="K92" s="2">
        <v>7.0</v>
      </c>
      <c r="O92" s="2" t="s">
        <v>245</v>
      </c>
      <c r="P92" s="2" t="s">
        <v>166</v>
      </c>
      <c r="Q92" s="2"/>
      <c r="R92" s="2" t="s">
        <v>167</v>
      </c>
      <c r="S92" s="11">
        <v>42222.42576388889</v>
      </c>
    </row>
    <row r="93" ht="12.75" customHeight="1">
      <c r="A93" s="2"/>
      <c r="B93" s="2">
        <v>1.0</v>
      </c>
      <c r="C93" s="2" t="s">
        <v>332</v>
      </c>
      <c r="D93" s="2">
        <v>3.20083938E8</v>
      </c>
      <c r="E93" s="2">
        <v>1.400003097E9</v>
      </c>
      <c r="F93" s="2">
        <v>16344.0</v>
      </c>
      <c r="G93" s="2">
        <v>2.0</v>
      </c>
      <c r="H93" s="2">
        <v>226600.0</v>
      </c>
      <c r="I93" s="2">
        <v>1030000.0</v>
      </c>
      <c r="J93" s="2">
        <v>1.0</v>
      </c>
      <c r="K93" s="2">
        <v>7.0</v>
      </c>
      <c r="O93" s="2" t="s">
        <v>333</v>
      </c>
      <c r="P93" s="2" t="s">
        <v>166</v>
      </c>
      <c r="Q93" s="2"/>
      <c r="R93" s="2" t="s">
        <v>167</v>
      </c>
      <c r="S93" s="11">
        <v>42222.42576388889</v>
      </c>
    </row>
    <row r="94" ht="12.75" customHeight="1">
      <c r="A94" s="2"/>
      <c r="B94" s="2">
        <v>1.0</v>
      </c>
      <c r="C94" s="2" t="s">
        <v>334</v>
      </c>
      <c r="D94" s="2">
        <v>3.20083935E8</v>
      </c>
      <c r="E94" s="2">
        <v>1.400003097E9</v>
      </c>
      <c r="F94" s="2">
        <v>16346.0</v>
      </c>
      <c r="G94" s="2">
        <v>3.0</v>
      </c>
      <c r="H94" s="2">
        <v>221100.0</v>
      </c>
      <c r="I94" s="2">
        <v>1005000.0</v>
      </c>
      <c r="J94" s="2">
        <v>1.0</v>
      </c>
      <c r="K94" s="2">
        <v>7.0</v>
      </c>
      <c r="O94" s="2" t="s">
        <v>335</v>
      </c>
      <c r="P94" s="2" t="s">
        <v>166</v>
      </c>
      <c r="Q94" s="2"/>
      <c r="R94" s="2" t="s">
        <v>167</v>
      </c>
      <c r="S94" s="11">
        <v>42222.42576388889</v>
      </c>
    </row>
    <row r="95" ht="12.75" customHeight="1">
      <c r="A95" s="2"/>
      <c r="B95" s="2">
        <v>1.0</v>
      </c>
      <c r="C95" s="2" t="s">
        <v>336</v>
      </c>
      <c r="D95" s="2">
        <v>3.20083931E8</v>
      </c>
      <c r="E95" s="2">
        <v>1.400003097E9</v>
      </c>
      <c r="F95" s="2">
        <v>16348.0</v>
      </c>
      <c r="G95" s="2">
        <v>6.0</v>
      </c>
      <c r="H95" s="2">
        <v>495000.0</v>
      </c>
      <c r="I95" s="2">
        <v>2250000.0</v>
      </c>
      <c r="J95" s="2">
        <v>1.0</v>
      </c>
      <c r="K95" s="2">
        <v>7.0</v>
      </c>
      <c r="O95" s="2" t="s">
        <v>337</v>
      </c>
      <c r="P95" s="2" t="s">
        <v>166</v>
      </c>
      <c r="Q95" s="2"/>
      <c r="R95" s="2" t="s">
        <v>167</v>
      </c>
      <c r="S95" s="11">
        <v>42222.42576388889</v>
      </c>
    </row>
    <row r="96" ht="12.75" customHeight="1">
      <c r="A96" s="2"/>
      <c r="B96" s="2">
        <v>1.0</v>
      </c>
      <c r="C96" s="2" t="s">
        <v>338</v>
      </c>
      <c r="D96" s="2">
        <v>3.20083933E8</v>
      </c>
      <c r="E96" s="2">
        <v>1.400003097E9</v>
      </c>
      <c r="F96" s="2">
        <v>16866.0</v>
      </c>
      <c r="G96" s="2">
        <v>5.0</v>
      </c>
      <c r="H96" s="2">
        <v>618750.0</v>
      </c>
      <c r="I96" s="2">
        <v>2475000.0</v>
      </c>
      <c r="J96" s="2">
        <v>1.0</v>
      </c>
      <c r="K96" s="2">
        <v>7.0</v>
      </c>
      <c r="O96" s="2" t="s">
        <v>318</v>
      </c>
      <c r="P96" s="2" t="s">
        <v>166</v>
      </c>
      <c r="Q96" s="2"/>
      <c r="R96" s="2" t="s">
        <v>167</v>
      </c>
      <c r="S96" s="11">
        <v>42222.42576388889</v>
      </c>
    </row>
    <row r="97" ht="12.75" customHeight="1">
      <c r="A97" s="2"/>
      <c r="B97" s="2">
        <v>1.0</v>
      </c>
      <c r="C97" s="2" t="s">
        <v>339</v>
      </c>
      <c r="D97" s="2">
        <v>3.20083928E8</v>
      </c>
      <c r="E97" s="2">
        <v>1.400003098E9</v>
      </c>
      <c r="F97" s="2">
        <v>16130.0</v>
      </c>
      <c r="G97" s="2">
        <v>1.0</v>
      </c>
      <c r="H97" s="2">
        <v>64460.0</v>
      </c>
      <c r="I97" s="2">
        <v>293000.0</v>
      </c>
      <c r="J97" s="2">
        <v>1.0</v>
      </c>
      <c r="K97" s="2">
        <v>7.0</v>
      </c>
      <c r="O97" s="2" t="s">
        <v>243</v>
      </c>
      <c r="P97" s="2" t="s">
        <v>166</v>
      </c>
      <c r="Q97" s="2"/>
      <c r="R97" s="2" t="s">
        <v>167</v>
      </c>
      <c r="S97" s="11">
        <v>42222.42576388889</v>
      </c>
    </row>
    <row r="98" ht="12.75" customHeight="1">
      <c r="A98" s="2"/>
      <c r="B98" s="2">
        <v>1.0</v>
      </c>
      <c r="C98" s="2" t="s">
        <v>340</v>
      </c>
      <c r="D98" s="2">
        <v>3.20083929E8</v>
      </c>
      <c r="E98" s="2">
        <v>1.400003098E9</v>
      </c>
      <c r="F98" s="2">
        <v>16237.0</v>
      </c>
      <c r="G98" s="2">
        <v>1.0</v>
      </c>
      <c r="H98" s="2">
        <v>64460.0</v>
      </c>
      <c r="I98" s="2">
        <v>293000.0</v>
      </c>
      <c r="J98" s="2">
        <v>1.0</v>
      </c>
      <c r="K98" s="2">
        <v>7.0</v>
      </c>
      <c r="O98" s="2" t="s">
        <v>245</v>
      </c>
      <c r="P98" s="2" t="s">
        <v>166</v>
      </c>
      <c r="Q98" s="2"/>
      <c r="R98" s="2" t="s">
        <v>167</v>
      </c>
      <c r="S98" s="11">
        <v>42222.42576388889</v>
      </c>
    </row>
    <row r="99" ht="12.75" customHeight="1">
      <c r="A99" s="2"/>
      <c r="B99" s="2">
        <v>1.0</v>
      </c>
      <c r="C99" s="2" t="s">
        <v>341</v>
      </c>
      <c r="D99" s="2">
        <v>3.20083925E8</v>
      </c>
      <c r="E99" s="2">
        <v>1.400003098E9</v>
      </c>
      <c r="F99" s="2">
        <v>16866.0</v>
      </c>
      <c r="G99" s="2">
        <v>1.0</v>
      </c>
      <c r="H99" s="2">
        <v>123750.0</v>
      </c>
      <c r="I99" s="2">
        <v>495000.0</v>
      </c>
      <c r="J99" s="2">
        <v>1.0</v>
      </c>
      <c r="K99" s="2">
        <v>7.0</v>
      </c>
      <c r="O99" s="2" t="s">
        <v>318</v>
      </c>
      <c r="P99" s="2" t="s">
        <v>166</v>
      </c>
      <c r="Q99" s="2"/>
      <c r="R99" s="2" t="s">
        <v>167</v>
      </c>
      <c r="S99" s="11">
        <v>42222.42576388889</v>
      </c>
    </row>
    <row r="100" ht="12.75" customHeight="1">
      <c r="A100" s="2"/>
      <c r="B100" s="2">
        <v>1.0</v>
      </c>
      <c r="C100" s="2" t="s">
        <v>342</v>
      </c>
      <c r="D100" s="2">
        <v>3.20083963E8</v>
      </c>
      <c r="E100" s="2">
        <v>1.400003103E9</v>
      </c>
      <c r="F100" s="2">
        <v>12122.0</v>
      </c>
      <c r="G100" s="2">
        <v>1.0</v>
      </c>
      <c r="H100" s="2">
        <v>138600.0</v>
      </c>
      <c r="I100" s="2">
        <v>630000.0</v>
      </c>
      <c r="J100" s="2">
        <v>1.0</v>
      </c>
      <c r="K100" s="2">
        <v>7.0</v>
      </c>
      <c r="O100" s="2" t="s">
        <v>343</v>
      </c>
      <c r="P100" s="2" t="s">
        <v>166</v>
      </c>
      <c r="Q100" s="2"/>
      <c r="R100" s="2" t="s">
        <v>167</v>
      </c>
      <c r="S100" s="11">
        <v>42222.435208333336</v>
      </c>
    </row>
    <row r="101" ht="12.75" customHeight="1">
      <c r="A101" s="2"/>
      <c r="B101" s="2">
        <v>1.0</v>
      </c>
      <c r="C101" s="2" t="s">
        <v>344</v>
      </c>
      <c r="D101" s="2">
        <v>3.20083965E8</v>
      </c>
      <c r="E101" s="2">
        <v>1.400003103E9</v>
      </c>
      <c r="F101" s="2">
        <v>12524.0</v>
      </c>
      <c r="G101" s="2">
        <v>3.0</v>
      </c>
      <c r="H101" s="2">
        <v>60060.0</v>
      </c>
      <c r="I101" s="2">
        <v>273000.0</v>
      </c>
      <c r="J101" s="2">
        <v>1.0</v>
      </c>
      <c r="K101" s="2">
        <v>7.0</v>
      </c>
      <c r="O101" s="2" t="s">
        <v>345</v>
      </c>
      <c r="P101" s="2" t="s">
        <v>166</v>
      </c>
      <c r="Q101" s="2"/>
      <c r="R101" s="2" t="s">
        <v>167</v>
      </c>
      <c r="S101" s="11">
        <v>42222.435208333336</v>
      </c>
    </row>
    <row r="102" ht="12.75" customHeight="1">
      <c r="A102" s="2"/>
      <c r="B102" s="2">
        <v>1.0</v>
      </c>
      <c r="C102" s="2" t="s">
        <v>346</v>
      </c>
      <c r="D102" s="2">
        <v>3.20083968E8</v>
      </c>
      <c r="E102" s="2">
        <v>1.400003103E9</v>
      </c>
      <c r="F102" s="2">
        <v>13686.0</v>
      </c>
      <c r="G102" s="2">
        <v>3.0</v>
      </c>
      <c r="H102" s="2">
        <v>60060.0</v>
      </c>
      <c r="I102" s="2">
        <v>273000.0</v>
      </c>
      <c r="J102" s="2">
        <v>1.0</v>
      </c>
      <c r="K102" s="2">
        <v>7.0</v>
      </c>
      <c r="O102" s="2" t="s">
        <v>347</v>
      </c>
      <c r="P102" s="2" t="s">
        <v>166</v>
      </c>
      <c r="Q102" s="2"/>
      <c r="R102" s="2" t="s">
        <v>167</v>
      </c>
      <c r="S102" s="11">
        <v>42222.435208333336</v>
      </c>
    </row>
    <row r="103" ht="12.75" customHeight="1">
      <c r="A103" s="2"/>
      <c r="B103" s="2">
        <v>1.0</v>
      </c>
      <c r="C103" s="2" t="s">
        <v>348</v>
      </c>
      <c r="D103" s="2">
        <v>3.20083961E8</v>
      </c>
      <c r="E103" s="2">
        <v>1.400003103E9</v>
      </c>
      <c r="F103" s="2">
        <v>15125.0</v>
      </c>
      <c r="G103" s="2">
        <v>1.0</v>
      </c>
      <c r="H103" s="2">
        <v>138600.0</v>
      </c>
      <c r="I103" s="2">
        <v>630000.0</v>
      </c>
      <c r="J103" s="2">
        <v>1.0</v>
      </c>
      <c r="K103" s="2">
        <v>7.0</v>
      </c>
      <c r="O103" s="2" t="s">
        <v>237</v>
      </c>
      <c r="P103" s="2" t="s">
        <v>166</v>
      </c>
      <c r="Q103" s="2"/>
      <c r="R103" s="2" t="s">
        <v>167</v>
      </c>
      <c r="S103" s="11">
        <v>42222.435208333336</v>
      </c>
    </row>
    <row r="104" ht="12.75" customHeight="1">
      <c r="A104" s="2"/>
      <c r="B104" s="2">
        <v>1.0</v>
      </c>
      <c r="C104" s="2" t="s">
        <v>349</v>
      </c>
      <c r="D104" s="2">
        <v>3.2008396E8</v>
      </c>
      <c r="E104" s="2">
        <v>1.400003103E9</v>
      </c>
      <c r="F104" s="2">
        <v>15951.0</v>
      </c>
      <c r="G104" s="2">
        <v>4.0</v>
      </c>
      <c r="H104" s="2">
        <v>523600.0</v>
      </c>
      <c r="I104" s="2">
        <v>2380000.0</v>
      </c>
      <c r="J104" s="2">
        <v>1.0</v>
      </c>
      <c r="K104" s="2">
        <v>7.0</v>
      </c>
      <c r="O104" s="2" t="s">
        <v>326</v>
      </c>
      <c r="P104" s="2" t="s">
        <v>166</v>
      </c>
      <c r="Q104" s="2"/>
      <c r="R104" s="2" t="s">
        <v>167</v>
      </c>
      <c r="S104" s="11">
        <v>42222.435208333336</v>
      </c>
    </row>
    <row r="105" ht="12.75" customHeight="1">
      <c r="A105" s="2"/>
      <c r="B105" s="2">
        <v>1.0</v>
      </c>
      <c r="C105" s="2" t="s">
        <v>350</v>
      </c>
      <c r="D105" s="2">
        <v>3.20083999E8</v>
      </c>
      <c r="E105" s="2">
        <v>1.400003104E9</v>
      </c>
      <c r="F105" s="2">
        <v>7738.0</v>
      </c>
      <c r="G105" s="2">
        <v>1.0</v>
      </c>
      <c r="H105" s="2">
        <v>113750.0</v>
      </c>
      <c r="I105" s="2">
        <v>455000.0</v>
      </c>
      <c r="J105" s="2">
        <v>1.0</v>
      </c>
      <c r="K105" s="2">
        <v>7.0</v>
      </c>
      <c r="O105" s="2" t="s">
        <v>351</v>
      </c>
      <c r="P105" s="2" t="s">
        <v>166</v>
      </c>
      <c r="Q105" s="2"/>
      <c r="R105" s="2" t="s">
        <v>167</v>
      </c>
      <c r="S105" s="11">
        <v>42222.44206018518</v>
      </c>
    </row>
    <row r="106" ht="12.75" customHeight="1">
      <c r="A106" s="2"/>
      <c r="B106" s="2">
        <v>1.0</v>
      </c>
      <c r="C106" s="2" t="s">
        <v>352</v>
      </c>
      <c r="D106" s="2">
        <v>3.20083991E8</v>
      </c>
      <c r="E106" s="2">
        <v>1.400003104E9</v>
      </c>
      <c r="F106" s="2">
        <v>11878.0</v>
      </c>
      <c r="G106" s="2">
        <v>3.0</v>
      </c>
      <c r="H106" s="2">
        <v>193380.0</v>
      </c>
      <c r="I106" s="2">
        <v>879000.0</v>
      </c>
      <c r="J106" s="2">
        <v>1.0</v>
      </c>
      <c r="K106" s="2">
        <v>7.0</v>
      </c>
      <c r="O106" s="2" t="s">
        <v>353</v>
      </c>
      <c r="P106" s="2" t="s">
        <v>166</v>
      </c>
      <c r="Q106" s="2"/>
      <c r="R106" s="2" t="s">
        <v>167</v>
      </c>
      <c r="S106" s="11">
        <v>42222.44206018518</v>
      </c>
    </row>
    <row r="107" ht="12.75" customHeight="1">
      <c r="A107" s="2"/>
      <c r="B107" s="2">
        <v>1.0</v>
      </c>
      <c r="C107" s="2" t="s">
        <v>354</v>
      </c>
      <c r="D107" s="2">
        <v>3.20084006E8</v>
      </c>
      <c r="E107" s="2">
        <v>1.400003104E9</v>
      </c>
      <c r="F107" s="2">
        <v>12494.0</v>
      </c>
      <c r="G107" s="2">
        <v>2.0</v>
      </c>
      <c r="H107" s="2">
        <v>191400.0</v>
      </c>
      <c r="I107" s="2">
        <v>870000.0</v>
      </c>
      <c r="J107" s="2">
        <v>1.0</v>
      </c>
      <c r="K107" s="2">
        <v>7.0</v>
      </c>
      <c r="O107" s="2" t="s">
        <v>355</v>
      </c>
      <c r="P107" s="2" t="s">
        <v>166</v>
      </c>
      <c r="Q107" s="2"/>
      <c r="R107" s="2" t="s">
        <v>167</v>
      </c>
      <c r="S107" s="11">
        <v>42222.44206018518</v>
      </c>
    </row>
    <row r="108" ht="12.75" customHeight="1">
      <c r="A108" s="2"/>
      <c r="B108" s="2">
        <v>1.0</v>
      </c>
      <c r="C108" s="2" t="s">
        <v>356</v>
      </c>
      <c r="D108" s="2">
        <v>3.20084003E8</v>
      </c>
      <c r="E108" s="2">
        <v>1.400003104E9</v>
      </c>
      <c r="F108" s="2">
        <v>12731.0</v>
      </c>
      <c r="G108" s="2">
        <v>2.0</v>
      </c>
      <c r="H108" s="2">
        <v>138600.0</v>
      </c>
      <c r="I108" s="2">
        <v>630000.0</v>
      </c>
      <c r="J108" s="2">
        <v>1.0</v>
      </c>
      <c r="K108" s="2">
        <v>7.0</v>
      </c>
      <c r="O108" s="2" t="s">
        <v>191</v>
      </c>
      <c r="P108" s="2" t="s">
        <v>166</v>
      </c>
      <c r="Q108" s="2"/>
      <c r="R108" s="2" t="s">
        <v>167</v>
      </c>
      <c r="S108" s="11">
        <v>42222.44206018518</v>
      </c>
    </row>
    <row r="109" ht="12.75" customHeight="1">
      <c r="A109" s="2"/>
      <c r="B109" s="2">
        <v>1.0</v>
      </c>
      <c r="C109" s="2" t="s">
        <v>357</v>
      </c>
      <c r="D109" s="2">
        <v>3.20083997E8</v>
      </c>
      <c r="E109" s="2">
        <v>1.400003104E9</v>
      </c>
      <c r="F109" s="2">
        <v>15869.0</v>
      </c>
      <c r="G109" s="2">
        <v>4.0</v>
      </c>
      <c r="H109" s="2">
        <v>388800.0</v>
      </c>
      <c r="I109" s="2">
        <v>1296000.0</v>
      </c>
      <c r="J109" s="2">
        <v>1.0</v>
      </c>
      <c r="K109" s="2">
        <v>7.0</v>
      </c>
      <c r="O109" s="2" t="s">
        <v>330</v>
      </c>
      <c r="P109" s="2" t="s">
        <v>166</v>
      </c>
      <c r="Q109" s="2"/>
      <c r="R109" s="2" t="s">
        <v>167</v>
      </c>
      <c r="S109" s="11">
        <v>42222.44206018518</v>
      </c>
    </row>
    <row r="110" ht="12.75" customHeight="1">
      <c r="A110" s="2"/>
      <c r="B110" s="2">
        <v>1.0</v>
      </c>
      <c r="C110" s="2" t="s">
        <v>358</v>
      </c>
      <c r="D110" s="2">
        <v>3.2008399E8</v>
      </c>
      <c r="E110" s="2">
        <v>1.400003104E9</v>
      </c>
      <c r="F110" s="2">
        <v>16130.0</v>
      </c>
      <c r="G110" s="2">
        <v>3.0</v>
      </c>
      <c r="H110" s="2">
        <v>193380.0</v>
      </c>
      <c r="I110" s="2">
        <v>879000.0</v>
      </c>
      <c r="J110" s="2">
        <v>1.0</v>
      </c>
      <c r="K110" s="2">
        <v>7.0</v>
      </c>
      <c r="O110" s="2" t="s">
        <v>243</v>
      </c>
      <c r="P110" s="2" t="s">
        <v>166</v>
      </c>
      <c r="Q110" s="2"/>
      <c r="R110" s="2" t="s">
        <v>167</v>
      </c>
      <c r="S110" s="11">
        <v>42222.44206018518</v>
      </c>
    </row>
    <row r="111" ht="12.75" customHeight="1">
      <c r="A111" s="2"/>
      <c r="B111" s="2">
        <v>1.0</v>
      </c>
      <c r="C111" s="2" t="s">
        <v>359</v>
      </c>
      <c r="D111" s="2">
        <v>3.2008401E8</v>
      </c>
      <c r="E111" s="2">
        <v>1.400003104E9</v>
      </c>
      <c r="F111" s="2">
        <v>16353.0</v>
      </c>
      <c r="G111" s="2">
        <v>3.0</v>
      </c>
      <c r="H111" s="2">
        <v>244200.0</v>
      </c>
      <c r="I111" s="2">
        <v>1110000.0</v>
      </c>
      <c r="J111" s="2">
        <v>1.0</v>
      </c>
      <c r="K111" s="2">
        <v>7.0</v>
      </c>
      <c r="O111" s="2" t="s">
        <v>297</v>
      </c>
      <c r="P111" s="2" t="s">
        <v>166</v>
      </c>
      <c r="Q111" s="2"/>
      <c r="R111" s="2" t="s">
        <v>167</v>
      </c>
      <c r="S111" s="11">
        <v>42222.44206018518</v>
      </c>
    </row>
    <row r="112" ht="12.75" customHeight="1">
      <c r="A112" s="2"/>
      <c r="B112" s="2">
        <v>1.0</v>
      </c>
      <c r="C112" s="2" t="s">
        <v>360</v>
      </c>
      <c r="D112" s="2">
        <v>3.20083988E8</v>
      </c>
      <c r="E112" s="2">
        <v>1.400003104E9</v>
      </c>
      <c r="F112" s="2">
        <v>16357.0</v>
      </c>
      <c r="G112" s="2">
        <v>5.0</v>
      </c>
      <c r="H112" s="2">
        <v>438900.0</v>
      </c>
      <c r="I112" s="2">
        <v>1995000.0</v>
      </c>
      <c r="J112" s="2">
        <v>1.0</v>
      </c>
      <c r="K112" s="2">
        <v>7.0</v>
      </c>
      <c r="O112" s="2" t="s">
        <v>361</v>
      </c>
      <c r="P112" s="2" t="s">
        <v>166</v>
      </c>
      <c r="Q112" s="2"/>
      <c r="R112" s="2" t="s">
        <v>167</v>
      </c>
      <c r="S112" s="11">
        <v>42222.44204861111</v>
      </c>
    </row>
    <row r="113" ht="12.75" customHeight="1">
      <c r="A113" s="2"/>
      <c r="B113" s="2">
        <v>1.0</v>
      </c>
      <c r="C113" s="2" t="s">
        <v>362</v>
      </c>
      <c r="D113" s="2">
        <v>3.20083995E8</v>
      </c>
      <c r="E113" s="2">
        <v>1.400003104E9</v>
      </c>
      <c r="F113" s="2">
        <v>16790.0</v>
      </c>
      <c r="G113" s="2">
        <v>5.0</v>
      </c>
      <c r="H113" s="2">
        <v>528750.0</v>
      </c>
      <c r="I113" s="2">
        <v>2115000.0</v>
      </c>
      <c r="J113" s="2">
        <v>1.0</v>
      </c>
      <c r="K113" s="2">
        <v>7.0</v>
      </c>
      <c r="O113" s="2" t="s">
        <v>363</v>
      </c>
      <c r="P113" s="2" t="s">
        <v>166</v>
      </c>
      <c r="Q113" s="2"/>
      <c r="R113" s="2" t="s">
        <v>167</v>
      </c>
      <c r="S113" s="11">
        <v>42222.44206018518</v>
      </c>
    </row>
    <row r="114" ht="12.75" customHeight="1">
      <c r="A114" s="2"/>
      <c r="B114" s="2">
        <v>1.0</v>
      </c>
      <c r="C114" s="2" t="s">
        <v>364</v>
      </c>
      <c r="D114" s="2">
        <v>3.20084008E8</v>
      </c>
      <c r="E114" s="2">
        <v>1.400003104E9</v>
      </c>
      <c r="F114" s="2">
        <v>16845.0</v>
      </c>
      <c r="G114" s="2">
        <v>5.0</v>
      </c>
      <c r="H114" s="2">
        <v>423500.0</v>
      </c>
      <c r="I114" s="2">
        <v>1925000.0</v>
      </c>
      <c r="J114" s="2">
        <v>1.0</v>
      </c>
      <c r="K114" s="2">
        <v>7.0</v>
      </c>
      <c r="O114" s="2" t="s">
        <v>316</v>
      </c>
      <c r="P114" s="2" t="s">
        <v>166</v>
      </c>
      <c r="Q114" s="2"/>
      <c r="R114" s="2" t="s">
        <v>167</v>
      </c>
      <c r="S114" s="11">
        <v>42222.44206018518</v>
      </c>
    </row>
    <row r="115" ht="12.75" customHeight="1">
      <c r="A115" s="2"/>
      <c r="B115" s="2">
        <v>1.0</v>
      </c>
      <c r="C115" s="2" t="s">
        <v>365</v>
      </c>
      <c r="D115" s="2">
        <v>3.20083994E8</v>
      </c>
      <c r="E115" s="2">
        <v>1.400003104E9</v>
      </c>
      <c r="F115" s="2">
        <v>16867.0</v>
      </c>
      <c r="G115" s="2">
        <v>5.0</v>
      </c>
      <c r="H115" s="2">
        <v>618750.0</v>
      </c>
      <c r="I115" s="2">
        <v>2475000.0</v>
      </c>
      <c r="J115" s="2">
        <v>1.0</v>
      </c>
      <c r="K115" s="2">
        <v>7.0</v>
      </c>
      <c r="O115" s="2" t="s">
        <v>318</v>
      </c>
      <c r="P115" s="2" t="s">
        <v>166</v>
      </c>
      <c r="Q115" s="2"/>
      <c r="R115" s="2" t="s">
        <v>167</v>
      </c>
      <c r="S115" s="11">
        <v>42222.44206018518</v>
      </c>
    </row>
    <row r="116" ht="12.75" customHeight="1">
      <c r="A116" s="2"/>
      <c r="B116" s="2">
        <v>1.0</v>
      </c>
      <c r="C116" s="2" t="s">
        <v>366</v>
      </c>
      <c r="D116" s="2">
        <v>3.20084001E8</v>
      </c>
      <c r="E116" s="2">
        <v>1.400003104E9</v>
      </c>
      <c r="F116" s="2">
        <v>1.4000045E7</v>
      </c>
      <c r="G116" s="2">
        <v>1.0</v>
      </c>
      <c r="H116" s="2">
        <v>113750.0</v>
      </c>
      <c r="I116" s="2">
        <v>455000.0</v>
      </c>
      <c r="J116" s="2">
        <v>1.0</v>
      </c>
      <c r="K116" s="2">
        <v>7.0</v>
      </c>
      <c r="O116" s="2" t="s">
        <v>367</v>
      </c>
      <c r="P116" s="2" t="s">
        <v>166</v>
      </c>
      <c r="Q116" s="2"/>
      <c r="R116" s="2" t="s">
        <v>167</v>
      </c>
      <c r="S116" s="11">
        <v>42222.44206018518</v>
      </c>
    </row>
    <row r="117" ht="12.75" customHeight="1">
      <c r="A117" s="2"/>
      <c r="B117" s="2">
        <v>1.0</v>
      </c>
      <c r="C117" s="2" t="s">
        <v>368</v>
      </c>
      <c r="D117" s="2">
        <v>3.20084077E8</v>
      </c>
      <c r="E117" s="2">
        <v>1.40000311E9</v>
      </c>
      <c r="F117" s="2">
        <v>7269.0</v>
      </c>
      <c r="G117" s="2">
        <v>5.0</v>
      </c>
      <c r="H117" s="2">
        <v>0.0</v>
      </c>
      <c r="I117" s="2">
        <v>2090000.0</v>
      </c>
      <c r="J117" s="2">
        <v>1.0</v>
      </c>
      <c r="K117" s="2">
        <v>7.0</v>
      </c>
      <c r="O117" s="2" t="s">
        <v>369</v>
      </c>
      <c r="P117" s="2" t="s">
        <v>166</v>
      </c>
      <c r="Q117" s="2"/>
      <c r="R117" s="2" t="s">
        <v>167</v>
      </c>
      <c r="S117" s="11">
        <v>42222.46579861111</v>
      </c>
    </row>
    <row r="118" ht="12.75" customHeight="1">
      <c r="A118" s="2"/>
      <c r="B118" s="2">
        <v>1.0</v>
      </c>
      <c r="C118" s="2" t="s">
        <v>370</v>
      </c>
      <c r="D118" s="2">
        <v>3.20084078E8</v>
      </c>
      <c r="E118" s="2">
        <v>1.40000311E9</v>
      </c>
      <c r="F118" s="2">
        <v>16342.0</v>
      </c>
      <c r="G118" s="2">
        <v>5.0</v>
      </c>
      <c r="H118" s="2">
        <v>0.0</v>
      </c>
      <c r="I118" s="2">
        <v>1975000.0</v>
      </c>
      <c r="J118" s="2">
        <v>1.0</v>
      </c>
      <c r="K118" s="2">
        <v>7.0</v>
      </c>
      <c r="O118" s="2" t="s">
        <v>247</v>
      </c>
      <c r="P118" s="2" t="s">
        <v>166</v>
      </c>
      <c r="Q118" s="2"/>
      <c r="R118" s="2" t="s">
        <v>167</v>
      </c>
      <c r="S118" s="11">
        <v>42222.46579861111</v>
      </c>
    </row>
    <row r="119" ht="12.75" customHeight="1">
      <c r="A119" s="2"/>
      <c r="B119" s="2">
        <v>1.0</v>
      </c>
      <c r="C119" s="2" t="s">
        <v>371</v>
      </c>
      <c r="D119" s="2">
        <v>3.2008408E8</v>
      </c>
      <c r="E119" s="2">
        <v>1.40000311E9</v>
      </c>
      <c r="F119" s="2">
        <v>16867.0</v>
      </c>
      <c r="G119" s="2">
        <v>1.0</v>
      </c>
      <c r="H119" s="2">
        <v>0.0</v>
      </c>
      <c r="I119" s="2">
        <v>495000.0</v>
      </c>
      <c r="J119" s="2">
        <v>1.0</v>
      </c>
      <c r="K119" s="2">
        <v>7.0</v>
      </c>
      <c r="O119" s="2" t="s">
        <v>318</v>
      </c>
      <c r="P119" s="2" t="s">
        <v>166</v>
      </c>
      <c r="Q119" s="2"/>
      <c r="R119" s="2" t="s">
        <v>167</v>
      </c>
      <c r="S119" s="11">
        <v>42222.46579861111</v>
      </c>
    </row>
    <row r="120" ht="12.75" customHeight="1">
      <c r="A120" s="2"/>
      <c r="B120" s="2">
        <v>1.0</v>
      </c>
      <c r="C120" s="2" t="s">
        <v>372</v>
      </c>
      <c r="D120" s="2">
        <v>3.20084124E8</v>
      </c>
      <c r="E120" s="2">
        <v>1.400003111E9</v>
      </c>
      <c r="F120" s="2">
        <v>11978.0</v>
      </c>
      <c r="G120" s="2">
        <v>1.0</v>
      </c>
      <c r="H120" s="2">
        <v>140800.0</v>
      </c>
      <c r="I120" s="2">
        <v>640000.0</v>
      </c>
      <c r="J120" s="2">
        <v>1.0</v>
      </c>
      <c r="K120" s="2">
        <v>7.0</v>
      </c>
      <c r="O120" s="2" t="s">
        <v>373</v>
      </c>
      <c r="P120" s="2" t="s">
        <v>166</v>
      </c>
      <c r="Q120" s="2"/>
      <c r="R120" s="2" t="s">
        <v>167</v>
      </c>
      <c r="S120" s="11">
        <v>42222.47541666667</v>
      </c>
    </row>
    <row r="121" ht="12.75" customHeight="1">
      <c r="A121" s="2"/>
      <c r="B121" s="2">
        <v>1.0</v>
      </c>
      <c r="C121" s="2" t="s">
        <v>374</v>
      </c>
      <c r="D121" s="2">
        <v>3.20084125E8</v>
      </c>
      <c r="E121" s="2">
        <v>1.400003111E9</v>
      </c>
      <c r="F121" s="2">
        <v>16347.0</v>
      </c>
      <c r="G121" s="2">
        <v>6.0</v>
      </c>
      <c r="H121" s="2">
        <v>645480.0</v>
      </c>
      <c r="I121" s="2">
        <v>2934000.0</v>
      </c>
      <c r="J121" s="2">
        <v>1.0</v>
      </c>
      <c r="K121" s="2">
        <v>7.0</v>
      </c>
      <c r="O121" s="2" t="s">
        <v>375</v>
      </c>
      <c r="P121" s="2" t="s">
        <v>166</v>
      </c>
      <c r="Q121" s="2"/>
      <c r="R121" s="2" t="s">
        <v>167</v>
      </c>
      <c r="S121" s="11">
        <v>42222.47541666667</v>
      </c>
    </row>
    <row r="122" ht="12.75" customHeight="1">
      <c r="A122" s="2"/>
      <c r="B122" s="2">
        <v>1.0</v>
      </c>
      <c r="C122" s="2" t="s">
        <v>376</v>
      </c>
      <c r="D122" s="2">
        <v>3.20084132E8</v>
      </c>
      <c r="E122" s="2">
        <v>1.400003111E9</v>
      </c>
      <c r="F122" s="2">
        <v>16348.0</v>
      </c>
      <c r="G122" s="2">
        <v>1.0</v>
      </c>
      <c r="H122" s="2">
        <v>82500.0</v>
      </c>
      <c r="I122" s="2">
        <v>375000.0</v>
      </c>
      <c r="J122" s="2">
        <v>1.0</v>
      </c>
      <c r="K122" s="2">
        <v>7.0</v>
      </c>
      <c r="O122" s="2" t="s">
        <v>337</v>
      </c>
      <c r="P122" s="2" t="s">
        <v>166</v>
      </c>
      <c r="Q122" s="2"/>
      <c r="R122" s="2" t="s">
        <v>167</v>
      </c>
      <c r="S122" s="11">
        <v>42222.47542824074</v>
      </c>
    </row>
    <row r="123" ht="12.75" customHeight="1">
      <c r="A123" s="2"/>
      <c r="B123" s="2">
        <v>1.0</v>
      </c>
      <c r="C123" s="2" t="s">
        <v>377</v>
      </c>
      <c r="D123" s="2">
        <v>3.20084127E8</v>
      </c>
      <c r="E123" s="2">
        <v>1.400003111E9</v>
      </c>
      <c r="F123" s="2">
        <v>16352.0</v>
      </c>
      <c r="G123" s="2">
        <v>1.0</v>
      </c>
      <c r="H123" s="2">
        <v>84700.0</v>
      </c>
      <c r="I123" s="2">
        <v>385000.0</v>
      </c>
      <c r="J123" s="2">
        <v>1.0</v>
      </c>
      <c r="K123" s="2">
        <v>7.0</v>
      </c>
      <c r="O123" s="2" t="s">
        <v>378</v>
      </c>
      <c r="P123" s="2" t="s">
        <v>166</v>
      </c>
      <c r="Q123" s="2"/>
      <c r="R123" s="2" t="s">
        <v>167</v>
      </c>
      <c r="S123" s="11">
        <v>42222.47541666667</v>
      </c>
    </row>
    <row r="124" ht="12.75" customHeight="1">
      <c r="A124" s="2"/>
      <c r="B124" s="2">
        <v>1.0</v>
      </c>
      <c r="C124" s="2" t="s">
        <v>379</v>
      </c>
      <c r="D124" s="2">
        <v>3.20084123E8</v>
      </c>
      <c r="E124" s="2">
        <v>1.400003111E9</v>
      </c>
      <c r="F124" s="2">
        <v>16353.0</v>
      </c>
      <c r="G124" s="2">
        <v>1.0</v>
      </c>
      <c r="H124" s="2">
        <v>81400.0</v>
      </c>
      <c r="I124" s="2">
        <v>370000.0</v>
      </c>
      <c r="J124" s="2">
        <v>1.0</v>
      </c>
      <c r="K124" s="2">
        <v>7.0</v>
      </c>
      <c r="O124" s="2" t="s">
        <v>297</v>
      </c>
      <c r="P124" s="2" t="s">
        <v>166</v>
      </c>
      <c r="Q124" s="2"/>
      <c r="R124" s="2" t="s">
        <v>167</v>
      </c>
      <c r="S124" s="11">
        <v>42222.47541666667</v>
      </c>
    </row>
    <row r="125" ht="12.75" customHeight="1">
      <c r="A125" s="2"/>
      <c r="B125" s="2">
        <v>1.0</v>
      </c>
      <c r="C125" s="2" t="s">
        <v>380</v>
      </c>
      <c r="D125" s="2">
        <v>3.20084122E8</v>
      </c>
      <c r="E125" s="2">
        <v>1.400003111E9</v>
      </c>
      <c r="F125" s="2">
        <v>16354.0</v>
      </c>
      <c r="G125" s="2">
        <v>1.0</v>
      </c>
      <c r="H125" s="2">
        <v>84700.0</v>
      </c>
      <c r="I125" s="2">
        <v>385000.0</v>
      </c>
      <c r="J125" s="2">
        <v>1.0</v>
      </c>
      <c r="K125" s="2">
        <v>7.0</v>
      </c>
      <c r="O125" s="2" t="s">
        <v>381</v>
      </c>
      <c r="P125" s="2" t="s">
        <v>166</v>
      </c>
      <c r="Q125" s="2"/>
      <c r="R125" s="2" t="s">
        <v>167</v>
      </c>
      <c r="S125" s="11">
        <v>42222.47541666667</v>
      </c>
    </row>
    <row r="126" ht="12.75" customHeight="1">
      <c r="A126" s="2"/>
      <c r="B126" s="2">
        <v>1.0</v>
      </c>
      <c r="C126" s="2" t="s">
        <v>382</v>
      </c>
      <c r="D126" s="2">
        <v>3.2008413E8</v>
      </c>
      <c r="E126" s="2">
        <v>1.400003111E9</v>
      </c>
      <c r="F126" s="2">
        <v>16850.0</v>
      </c>
      <c r="G126" s="2">
        <v>2.0</v>
      </c>
      <c r="H126" s="2">
        <v>226600.0</v>
      </c>
      <c r="I126" s="2">
        <v>1030000.0</v>
      </c>
      <c r="J126" s="2">
        <v>1.0</v>
      </c>
      <c r="K126" s="2">
        <v>7.0</v>
      </c>
      <c r="O126" s="2" t="s">
        <v>383</v>
      </c>
      <c r="P126" s="2" t="s">
        <v>166</v>
      </c>
      <c r="Q126" s="2"/>
      <c r="R126" s="2" t="s">
        <v>167</v>
      </c>
      <c r="S126" s="11">
        <v>42222.47541666667</v>
      </c>
    </row>
    <row r="127" ht="12.75" customHeight="1">
      <c r="A127" s="2"/>
      <c r="B127" s="2">
        <v>1.0</v>
      </c>
      <c r="C127" s="2" t="s">
        <v>384</v>
      </c>
      <c r="D127" s="2">
        <v>3.20084177E8</v>
      </c>
      <c r="E127" s="2">
        <v>1.400003112E9</v>
      </c>
      <c r="F127" s="2">
        <v>6324.0</v>
      </c>
      <c r="G127" s="2">
        <v>2.0</v>
      </c>
      <c r="H127" s="2">
        <v>75000.0</v>
      </c>
      <c r="I127" s="2">
        <v>430000.0</v>
      </c>
      <c r="J127" s="2">
        <v>1.0</v>
      </c>
      <c r="K127" s="2">
        <v>7.0</v>
      </c>
      <c r="O127" s="2" t="s">
        <v>385</v>
      </c>
      <c r="P127" s="2" t="s">
        <v>166</v>
      </c>
      <c r="Q127" s="2"/>
      <c r="R127" s="2" t="s">
        <v>167</v>
      </c>
      <c r="S127" s="11">
        <v>42222.48364583333</v>
      </c>
    </row>
    <row r="128" ht="12.75" customHeight="1">
      <c r="A128" s="2"/>
      <c r="B128" s="2">
        <v>1.0</v>
      </c>
      <c r="C128" s="2" t="s">
        <v>386</v>
      </c>
      <c r="D128" s="2">
        <v>3.20084175E8</v>
      </c>
      <c r="E128" s="2">
        <v>1.400003112E9</v>
      </c>
      <c r="F128" s="2">
        <v>6326.0</v>
      </c>
      <c r="G128" s="2">
        <v>5.0</v>
      </c>
      <c r="H128" s="2">
        <v>0.0</v>
      </c>
      <c r="I128" s="2">
        <v>775000.0</v>
      </c>
      <c r="J128" s="2">
        <v>1.0</v>
      </c>
      <c r="K128" s="2">
        <v>7.0</v>
      </c>
      <c r="O128" s="2" t="s">
        <v>387</v>
      </c>
      <c r="P128" s="2" t="s">
        <v>166</v>
      </c>
      <c r="Q128" s="2"/>
      <c r="R128" s="2" t="s">
        <v>167</v>
      </c>
      <c r="S128" s="11">
        <v>42222.48364583333</v>
      </c>
    </row>
    <row r="129" ht="12.75" customHeight="1">
      <c r="A129" s="2"/>
      <c r="B129" s="2">
        <v>1.0</v>
      </c>
      <c r="C129" s="2" t="s">
        <v>388</v>
      </c>
      <c r="D129" s="2">
        <v>3.20084154E8</v>
      </c>
      <c r="E129" s="2">
        <v>1.400003112E9</v>
      </c>
      <c r="F129" s="2">
        <v>7269.0</v>
      </c>
      <c r="G129" s="2">
        <v>5.0</v>
      </c>
      <c r="H129" s="2">
        <v>522500.0</v>
      </c>
      <c r="I129" s="2">
        <v>2090000.0</v>
      </c>
      <c r="J129" s="2">
        <v>1.0</v>
      </c>
      <c r="K129" s="2">
        <v>7.0</v>
      </c>
      <c r="O129" s="2" t="s">
        <v>369</v>
      </c>
      <c r="P129" s="2" t="s">
        <v>166</v>
      </c>
      <c r="Q129" s="2"/>
      <c r="R129" s="2" t="s">
        <v>167</v>
      </c>
      <c r="S129" s="11">
        <v>42222.48363425926</v>
      </c>
    </row>
    <row r="130" ht="12.75" customHeight="1">
      <c r="A130" s="2"/>
      <c r="B130" s="2">
        <v>1.0</v>
      </c>
      <c r="C130" s="2" t="s">
        <v>389</v>
      </c>
      <c r="D130" s="2">
        <v>3.20084153E8</v>
      </c>
      <c r="E130" s="2">
        <v>1.400003112E9</v>
      </c>
      <c r="F130" s="2">
        <v>7301.0</v>
      </c>
      <c r="G130" s="2">
        <v>4.0</v>
      </c>
      <c r="H130" s="2">
        <v>420000.0</v>
      </c>
      <c r="I130" s="2">
        <v>1680000.0</v>
      </c>
      <c r="J130" s="2">
        <v>1.0</v>
      </c>
      <c r="K130" s="2">
        <v>7.0</v>
      </c>
      <c r="O130" s="2" t="s">
        <v>390</v>
      </c>
      <c r="P130" s="2" t="s">
        <v>166</v>
      </c>
      <c r="Q130" s="2"/>
      <c r="R130" s="2" t="s">
        <v>167</v>
      </c>
      <c r="S130" s="11">
        <v>42222.48363425926</v>
      </c>
    </row>
    <row r="131" ht="12.75" customHeight="1">
      <c r="A131" s="2"/>
      <c r="B131" s="2">
        <v>1.0</v>
      </c>
      <c r="C131" s="2" t="s">
        <v>391</v>
      </c>
      <c r="D131" s="2">
        <v>3.20084173E8</v>
      </c>
      <c r="E131" s="2">
        <v>1.400003112E9</v>
      </c>
      <c r="F131" s="2">
        <v>7420.0</v>
      </c>
      <c r="G131" s="2">
        <v>4.0</v>
      </c>
      <c r="H131" s="2">
        <v>386000.0</v>
      </c>
      <c r="I131" s="2">
        <v>1544000.0</v>
      </c>
      <c r="J131" s="2">
        <v>1.0</v>
      </c>
      <c r="K131" s="2">
        <v>7.0</v>
      </c>
      <c r="O131" s="2" t="s">
        <v>392</v>
      </c>
      <c r="P131" s="2" t="s">
        <v>166</v>
      </c>
      <c r="Q131" s="2"/>
      <c r="R131" s="2" t="s">
        <v>167</v>
      </c>
      <c r="S131" s="11">
        <v>42222.48364583333</v>
      </c>
    </row>
    <row r="132" ht="12.75" customHeight="1">
      <c r="A132" s="2"/>
      <c r="B132" s="2">
        <v>1.0</v>
      </c>
      <c r="C132" s="2" t="s">
        <v>393</v>
      </c>
      <c r="D132" s="2">
        <v>3.20084155E8</v>
      </c>
      <c r="E132" s="2">
        <v>1.400003112E9</v>
      </c>
      <c r="F132" s="2">
        <v>7422.0</v>
      </c>
      <c r="G132" s="2">
        <v>5.0</v>
      </c>
      <c r="H132" s="2">
        <v>482500.0</v>
      </c>
      <c r="I132" s="2">
        <v>1930000.0</v>
      </c>
      <c r="J132" s="2">
        <v>1.0</v>
      </c>
      <c r="K132" s="2">
        <v>7.0</v>
      </c>
      <c r="O132" s="2" t="s">
        <v>175</v>
      </c>
      <c r="P132" s="2" t="s">
        <v>166</v>
      </c>
      <c r="Q132" s="2"/>
      <c r="R132" s="2" t="s">
        <v>167</v>
      </c>
      <c r="S132" s="11">
        <v>42222.48363425926</v>
      </c>
    </row>
    <row r="133" ht="12.75" customHeight="1">
      <c r="A133" s="2"/>
      <c r="B133" s="2">
        <v>1.0</v>
      </c>
      <c r="C133" s="2" t="s">
        <v>394</v>
      </c>
      <c r="D133" s="2">
        <v>3.20084164E8</v>
      </c>
      <c r="E133" s="2">
        <v>1.400003112E9</v>
      </c>
      <c r="F133" s="2">
        <v>7548.0</v>
      </c>
      <c r="G133" s="2">
        <v>8.0</v>
      </c>
      <c r="H133" s="2">
        <v>660000.0</v>
      </c>
      <c r="I133" s="2">
        <v>2640000.0</v>
      </c>
      <c r="J133" s="2">
        <v>1.0</v>
      </c>
      <c r="K133" s="2">
        <v>7.0</v>
      </c>
      <c r="O133" s="2" t="s">
        <v>223</v>
      </c>
      <c r="P133" s="2" t="s">
        <v>166</v>
      </c>
      <c r="Q133" s="2"/>
      <c r="R133" s="2" t="s">
        <v>167</v>
      </c>
      <c r="S133" s="11">
        <v>42222.48363425926</v>
      </c>
    </row>
    <row r="134" ht="12.75" customHeight="1">
      <c r="A134" s="2"/>
      <c r="B134" s="2">
        <v>1.0</v>
      </c>
      <c r="C134" s="2" t="s">
        <v>395</v>
      </c>
      <c r="D134" s="2">
        <v>3.20084166E8</v>
      </c>
      <c r="E134" s="2">
        <v>1.400003112E9</v>
      </c>
      <c r="F134" s="2">
        <v>11946.0</v>
      </c>
      <c r="G134" s="2">
        <v>1.0</v>
      </c>
      <c r="H134" s="2">
        <v>85800.0</v>
      </c>
      <c r="I134" s="2">
        <v>390000.0</v>
      </c>
      <c r="J134" s="2">
        <v>1.0</v>
      </c>
      <c r="K134" s="2">
        <v>7.0</v>
      </c>
      <c r="O134" s="2" t="s">
        <v>396</v>
      </c>
      <c r="P134" s="2" t="s">
        <v>166</v>
      </c>
      <c r="Q134" s="2"/>
      <c r="R134" s="2" t="s">
        <v>167</v>
      </c>
      <c r="S134" s="11">
        <v>42222.48364583333</v>
      </c>
    </row>
    <row r="135" ht="12.75" customHeight="1">
      <c r="A135" s="2"/>
      <c r="B135" s="2">
        <v>1.0</v>
      </c>
      <c r="C135" s="2" t="s">
        <v>397</v>
      </c>
      <c r="D135" s="2">
        <v>3.2008417E8</v>
      </c>
      <c r="E135" s="2">
        <v>1.400003112E9</v>
      </c>
      <c r="F135" s="2">
        <v>12668.0</v>
      </c>
      <c r="G135" s="2">
        <v>1.0</v>
      </c>
      <c r="H135" s="2">
        <v>102300.0</v>
      </c>
      <c r="I135" s="2">
        <v>465000.0</v>
      </c>
      <c r="J135" s="2">
        <v>1.0</v>
      </c>
      <c r="K135" s="2">
        <v>7.0</v>
      </c>
      <c r="O135" s="2" t="s">
        <v>398</v>
      </c>
      <c r="P135" s="2" t="s">
        <v>166</v>
      </c>
      <c r="Q135" s="2"/>
      <c r="R135" s="2" t="s">
        <v>167</v>
      </c>
      <c r="S135" s="11">
        <v>42222.48364583333</v>
      </c>
    </row>
    <row r="136" ht="12.75" customHeight="1">
      <c r="A136" s="2"/>
      <c r="B136" s="2">
        <v>1.0</v>
      </c>
      <c r="C136" s="2" t="s">
        <v>399</v>
      </c>
      <c r="D136" s="2">
        <v>3.20084159E8</v>
      </c>
      <c r="E136" s="2">
        <v>1.400003112E9</v>
      </c>
      <c r="F136" s="2">
        <v>15689.0</v>
      </c>
      <c r="G136" s="2">
        <v>3.0</v>
      </c>
      <c r="H136" s="2">
        <v>313500.0</v>
      </c>
      <c r="I136" s="2">
        <v>1254000.0</v>
      </c>
      <c r="J136" s="2">
        <v>1.0</v>
      </c>
      <c r="K136" s="2">
        <v>7.0</v>
      </c>
      <c r="O136" s="2" t="s">
        <v>400</v>
      </c>
      <c r="P136" s="2" t="s">
        <v>166</v>
      </c>
      <c r="Q136" s="2"/>
      <c r="R136" s="2" t="s">
        <v>167</v>
      </c>
      <c r="S136" s="11">
        <v>42222.48363425926</v>
      </c>
    </row>
    <row r="137" ht="12.75" customHeight="1">
      <c r="A137" s="2"/>
      <c r="B137" s="2">
        <v>1.0</v>
      </c>
      <c r="C137" s="2" t="s">
        <v>401</v>
      </c>
      <c r="D137" s="2">
        <v>3.2008416E8</v>
      </c>
      <c r="E137" s="2">
        <v>1.400003112E9</v>
      </c>
      <c r="F137" s="2">
        <v>16344.0</v>
      </c>
      <c r="G137" s="2">
        <v>4.0</v>
      </c>
      <c r="H137" s="2">
        <v>453200.0</v>
      </c>
      <c r="I137" s="2">
        <v>2060000.0</v>
      </c>
      <c r="J137" s="2">
        <v>1.0</v>
      </c>
      <c r="K137" s="2">
        <v>7.0</v>
      </c>
      <c r="O137" s="2" t="s">
        <v>333</v>
      </c>
      <c r="P137" s="2" t="s">
        <v>166</v>
      </c>
      <c r="Q137" s="2"/>
      <c r="R137" s="2" t="s">
        <v>167</v>
      </c>
      <c r="S137" s="11">
        <v>42222.48363425926</v>
      </c>
    </row>
    <row r="138" ht="12.75" customHeight="1">
      <c r="A138" s="2"/>
      <c r="B138" s="2">
        <v>1.0</v>
      </c>
      <c r="C138" s="2" t="s">
        <v>402</v>
      </c>
      <c r="D138" s="2">
        <v>3.20084151E8</v>
      </c>
      <c r="E138" s="2">
        <v>1.400003112E9</v>
      </c>
      <c r="F138" s="2">
        <v>16359.0</v>
      </c>
      <c r="G138" s="2">
        <v>2.0</v>
      </c>
      <c r="H138" s="2">
        <v>226600.0</v>
      </c>
      <c r="I138" s="2">
        <v>1030000.0</v>
      </c>
      <c r="J138" s="2">
        <v>1.0</v>
      </c>
      <c r="K138" s="2">
        <v>7.0</v>
      </c>
      <c r="O138" s="2" t="s">
        <v>333</v>
      </c>
      <c r="P138" s="2" t="s">
        <v>166</v>
      </c>
      <c r="Q138" s="2"/>
      <c r="R138" s="2" t="s">
        <v>167</v>
      </c>
      <c r="S138" s="11">
        <v>42222.48363425926</v>
      </c>
    </row>
    <row r="139" ht="12.75" customHeight="1">
      <c r="A139" s="2"/>
      <c r="B139" s="2">
        <v>1.0</v>
      </c>
      <c r="C139" s="2" t="s">
        <v>403</v>
      </c>
      <c r="D139" s="2">
        <v>3.20084156E8</v>
      </c>
      <c r="E139" s="2">
        <v>1.400003112E9</v>
      </c>
      <c r="F139" s="2">
        <v>16362.0</v>
      </c>
      <c r="G139" s="2">
        <v>4.0</v>
      </c>
      <c r="H139" s="2">
        <v>453200.0</v>
      </c>
      <c r="I139" s="2">
        <v>2060000.0</v>
      </c>
      <c r="J139" s="2">
        <v>1.0</v>
      </c>
      <c r="K139" s="2">
        <v>7.0</v>
      </c>
      <c r="O139" s="2" t="s">
        <v>333</v>
      </c>
      <c r="P139" s="2" t="s">
        <v>166</v>
      </c>
      <c r="Q139" s="2"/>
      <c r="R139" s="2" t="s">
        <v>167</v>
      </c>
      <c r="S139" s="11">
        <v>42222.48363425926</v>
      </c>
    </row>
    <row r="140" ht="12.75" customHeight="1">
      <c r="A140" s="2"/>
      <c r="B140" s="2">
        <v>1.0</v>
      </c>
      <c r="C140" s="2" t="s">
        <v>404</v>
      </c>
      <c r="D140" s="2">
        <v>3.20084163E8</v>
      </c>
      <c r="E140" s="2">
        <v>1.400003112E9</v>
      </c>
      <c r="F140" s="2">
        <v>16439.0</v>
      </c>
      <c r="G140" s="2">
        <v>6.0</v>
      </c>
      <c r="H140" s="2">
        <v>397320.0</v>
      </c>
      <c r="I140" s="2">
        <v>1806000.0</v>
      </c>
      <c r="J140" s="2">
        <v>1.0</v>
      </c>
      <c r="K140" s="2">
        <v>7.0</v>
      </c>
      <c r="O140" s="2" t="s">
        <v>405</v>
      </c>
      <c r="P140" s="2" t="s">
        <v>166</v>
      </c>
      <c r="Q140" s="2"/>
      <c r="R140" s="2" t="s">
        <v>167</v>
      </c>
      <c r="S140" s="11">
        <v>42222.48363425926</v>
      </c>
    </row>
    <row r="141" ht="12.75" customHeight="1">
      <c r="A141" s="2"/>
      <c r="B141" s="2">
        <v>1.0</v>
      </c>
      <c r="C141" s="2" t="s">
        <v>406</v>
      </c>
      <c r="D141" s="2">
        <v>3.20084152E8</v>
      </c>
      <c r="E141" s="2">
        <v>1.400003112E9</v>
      </c>
      <c r="F141" s="2">
        <v>16630.0</v>
      </c>
      <c r="G141" s="2">
        <v>5.0</v>
      </c>
      <c r="H141" s="2">
        <v>517000.0</v>
      </c>
      <c r="I141" s="2">
        <v>2350000.0</v>
      </c>
      <c r="J141" s="2">
        <v>1.0</v>
      </c>
      <c r="K141" s="2">
        <v>7.0</v>
      </c>
      <c r="O141" s="2" t="s">
        <v>407</v>
      </c>
      <c r="P141" s="2" t="s">
        <v>166</v>
      </c>
      <c r="Q141" s="2"/>
      <c r="R141" s="2" t="s">
        <v>167</v>
      </c>
      <c r="S141" s="11">
        <v>42222.48363425926</v>
      </c>
    </row>
    <row r="142" ht="12.75" customHeight="1">
      <c r="A142" s="2"/>
      <c r="B142" s="2">
        <v>1.0</v>
      </c>
      <c r="C142" s="2" t="s">
        <v>408</v>
      </c>
      <c r="D142" s="2">
        <v>3.20084169E8</v>
      </c>
      <c r="E142" s="2">
        <v>1.400003112E9</v>
      </c>
      <c r="F142" s="2">
        <v>16845.0</v>
      </c>
      <c r="G142" s="2">
        <v>1.0</v>
      </c>
      <c r="H142" s="2">
        <v>84700.0</v>
      </c>
      <c r="I142" s="2">
        <v>385000.0</v>
      </c>
      <c r="J142" s="2">
        <v>1.0</v>
      </c>
      <c r="K142" s="2">
        <v>7.0</v>
      </c>
      <c r="O142" s="2" t="s">
        <v>316</v>
      </c>
      <c r="P142" s="2" t="s">
        <v>166</v>
      </c>
      <c r="Q142" s="2"/>
      <c r="R142" s="2" t="s">
        <v>167</v>
      </c>
      <c r="S142" s="11">
        <v>42222.48364583333</v>
      </c>
    </row>
    <row r="143" ht="12.75" customHeight="1">
      <c r="A143" s="2"/>
      <c r="B143" s="2">
        <v>1.0</v>
      </c>
      <c r="C143" s="2" t="s">
        <v>409</v>
      </c>
      <c r="D143" s="2">
        <v>3.2008415E8</v>
      </c>
      <c r="E143" s="2">
        <v>1.400003112E9</v>
      </c>
      <c r="F143" s="2">
        <v>16855.0</v>
      </c>
      <c r="G143" s="2">
        <v>5.0</v>
      </c>
      <c r="H143" s="2">
        <v>618750.0</v>
      </c>
      <c r="I143" s="2">
        <v>2475000.0</v>
      </c>
      <c r="J143" s="2">
        <v>1.0</v>
      </c>
      <c r="K143" s="2">
        <v>7.0</v>
      </c>
      <c r="O143" s="2" t="s">
        <v>318</v>
      </c>
      <c r="P143" s="2" t="s">
        <v>166</v>
      </c>
      <c r="Q143" s="2"/>
      <c r="R143" s="2" t="s">
        <v>167</v>
      </c>
      <c r="S143" s="11">
        <v>42222.48363425926</v>
      </c>
    </row>
    <row r="144" ht="12.75" customHeight="1">
      <c r="A144" s="2"/>
      <c r="B144" s="2">
        <v>1.0</v>
      </c>
      <c r="C144" s="2" t="s">
        <v>410</v>
      </c>
      <c r="D144" s="2">
        <v>3.20084179E8</v>
      </c>
      <c r="E144" s="2">
        <v>1.400003115E9</v>
      </c>
      <c r="F144" s="2">
        <v>16349.0</v>
      </c>
      <c r="G144" s="2">
        <v>1.0</v>
      </c>
      <c r="H144" s="2">
        <v>124300.0</v>
      </c>
      <c r="I144" s="2">
        <v>565000.0</v>
      </c>
      <c r="J144" s="2">
        <v>1.0</v>
      </c>
      <c r="K144" s="2">
        <v>7.0</v>
      </c>
      <c r="O144" s="2" t="s">
        <v>411</v>
      </c>
      <c r="P144" s="2" t="s">
        <v>166</v>
      </c>
      <c r="Q144" s="2"/>
      <c r="R144" s="2" t="s">
        <v>167</v>
      </c>
      <c r="S144" s="11">
        <v>42222.490798611114</v>
      </c>
    </row>
    <row r="145" ht="12.75" customHeight="1">
      <c r="A145" s="2"/>
      <c r="B145" s="2">
        <v>1.0</v>
      </c>
      <c r="C145" s="2" t="s">
        <v>412</v>
      </c>
      <c r="D145" s="2">
        <v>3.20084178E8</v>
      </c>
      <c r="E145" s="2">
        <v>1.400003115E9</v>
      </c>
      <c r="F145" s="2">
        <v>16640.0</v>
      </c>
      <c r="G145" s="2">
        <v>2.0</v>
      </c>
      <c r="H145" s="2">
        <v>211200.0</v>
      </c>
      <c r="I145" s="2">
        <v>960000.0</v>
      </c>
      <c r="J145" s="2">
        <v>1.0</v>
      </c>
      <c r="K145" s="2">
        <v>7.0</v>
      </c>
      <c r="O145" s="2" t="s">
        <v>413</v>
      </c>
      <c r="P145" s="2" t="s">
        <v>166</v>
      </c>
      <c r="Q145" s="2"/>
      <c r="R145" s="2" t="s">
        <v>167</v>
      </c>
      <c r="S145" s="11">
        <v>42222.490798611114</v>
      </c>
    </row>
    <row r="146" ht="12.75" customHeight="1">
      <c r="A146" s="2"/>
      <c r="B146" s="2">
        <v>1.0</v>
      </c>
      <c r="C146" s="2" t="s">
        <v>414</v>
      </c>
      <c r="D146" s="2">
        <v>3.20084277E8</v>
      </c>
      <c r="E146" s="2">
        <v>1.40000312E9</v>
      </c>
      <c r="F146" s="2">
        <v>7269.0</v>
      </c>
      <c r="G146" s="2">
        <v>-5.0</v>
      </c>
      <c r="H146" s="2">
        <v>0.0</v>
      </c>
      <c r="I146" s="2">
        <v>-2090000.0</v>
      </c>
      <c r="J146" s="2">
        <v>1.0</v>
      </c>
      <c r="K146" s="2">
        <v>7.0</v>
      </c>
      <c r="O146" s="2" t="s">
        <v>369</v>
      </c>
      <c r="P146" s="2" t="s">
        <v>166</v>
      </c>
      <c r="Q146" s="2"/>
      <c r="R146" s="2" t="s">
        <v>167</v>
      </c>
      <c r="S146" s="11">
        <v>42222.51603009259</v>
      </c>
    </row>
    <row r="147" ht="12.75" customHeight="1">
      <c r="A147" s="2"/>
      <c r="B147" s="2">
        <v>1.0</v>
      </c>
      <c r="C147" s="2" t="s">
        <v>415</v>
      </c>
      <c r="D147" s="2">
        <v>3.20084278E8</v>
      </c>
      <c r="E147" s="2">
        <v>1.40000312E9</v>
      </c>
      <c r="F147" s="2">
        <v>16342.0</v>
      </c>
      <c r="G147" s="2">
        <v>-5.0</v>
      </c>
      <c r="H147" s="2">
        <v>0.0</v>
      </c>
      <c r="I147" s="2">
        <v>-1975000.0</v>
      </c>
      <c r="J147" s="2">
        <v>1.0</v>
      </c>
      <c r="K147" s="2">
        <v>7.0</v>
      </c>
      <c r="O147" s="2" t="s">
        <v>247</v>
      </c>
      <c r="P147" s="2" t="s">
        <v>166</v>
      </c>
      <c r="Q147" s="2"/>
      <c r="R147" s="2" t="s">
        <v>167</v>
      </c>
      <c r="S147" s="11">
        <v>42222.51603009259</v>
      </c>
    </row>
    <row r="148" ht="12.75" customHeight="1">
      <c r="A148" s="2"/>
      <c r="B148" s="2">
        <v>1.0</v>
      </c>
      <c r="C148" s="2" t="s">
        <v>416</v>
      </c>
      <c r="D148" s="2">
        <v>3.2008428E8</v>
      </c>
      <c r="E148" s="2">
        <v>1.40000312E9</v>
      </c>
      <c r="F148" s="2">
        <v>16867.0</v>
      </c>
      <c r="G148" s="2">
        <v>-1.0</v>
      </c>
      <c r="H148" s="2">
        <v>0.0</v>
      </c>
      <c r="I148" s="2">
        <v>-495000.0</v>
      </c>
      <c r="J148" s="2">
        <v>1.0</v>
      </c>
      <c r="K148" s="2">
        <v>7.0</v>
      </c>
      <c r="O148" s="2" t="s">
        <v>318</v>
      </c>
      <c r="P148" s="2" t="s">
        <v>166</v>
      </c>
      <c r="Q148" s="2"/>
      <c r="R148" s="2" t="s">
        <v>167</v>
      </c>
      <c r="S148" s="11">
        <v>42222.51603009259</v>
      </c>
    </row>
    <row r="149" ht="12.75" customHeight="1">
      <c r="A149" s="2"/>
      <c r="B149" s="2">
        <v>1.0</v>
      </c>
      <c r="C149" s="2" t="s">
        <v>417</v>
      </c>
      <c r="D149" s="2">
        <v>3.200844E8</v>
      </c>
      <c r="E149" s="2">
        <v>1.400003123E9</v>
      </c>
      <c r="F149" s="2">
        <v>11923.0</v>
      </c>
      <c r="G149" s="2">
        <v>1.0</v>
      </c>
      <c r="H149" s="2">
        <v>64460.0</v>
      </c>
      <c r="I149" s="2">
        <v>293000.0</v>
      </c>
      <c r="J149" s="2">
        <v>1.0</v>
      </c>
      <c r="K149" s="2">
        <v>7.0</v>
      </c>
      <c r="O149" s="2" t="s">
        <v>227</v>
      </c>
      <c r="P149" s="2" t="s">
        <v>166</v>
      </c>
      <c r="Q149" s="2"/>
      <c r="R149" s="2" t="s">
        <v>167</v>
      </c>
      <c r="S149" s="11">
        <v>42222.565717592595</v>
      </c>
    </row>
    <row r="150" ht="12.75" customHeight="1">
      <c r="A150" s="2"/>
      <c r="B150" s="2">
        <v>1.0</v>
      </c>
      <c r="C150" s="2" t="s">
        <v>418</v>
      </c>
      <c r="D150" s="2">
        <v>3.20084398E8</v>
      </c>
      <c r="E150" s="2">
        <v>1.400003123E9</v>
      </c>
      <c r="F150" s="2">
        <v>11935.0</v>
      </c>
      <c r="G150" s="2">
        <v>1.0</v>
      </c>
      <c r="H150" s="2">
        <v>64460.0</v>
      </c>
      <c r="I150" s="2">
        <v>293000.0</v>
      </c>
      <c r="J150" s="2">
        <v>1.0</v>
      </c>
      <c r="K150" s="2">
        <v>7.0</v>
      </c>
      <c r="O150" s="2" t="s">
        <v>419</v>
      </c>
      <c r="P150" s="2" t="s">
        <v>166</v>
      </c>
      <c r="Q150" s="2"/>
      <c r="R150" s="2" t="s">
        <v>167</v>
      </c>
      <c r="S150" s="11">
        <v>42222.565717592595</v>
      </c>
    </row>
    <row r="151" ht="12.75" customHeight="1">
      <c r="A151" s="2"/>
      <c r="B151" s="2">
        <v>1.0</v>
      </c>
      <c r="C151" s="2" t="s">
        <v>420</v>
      </c>
      <c r="D151" s="2">
        <v>3.20084404E8</v>
      </c>
      <c r="E151" s="2">
        <v>1.400003123E9</v>
      </c>
      <c r="F151" s="2">
        <v>16237.0</v>
      </c>
      <c r="G151" s="2">
        <v>1.0</v>
      </c>
      <c r="H151" s="2">
        <v>64460.0</v>
      </c>
      <c r="I151" s="2">
        <v>293000.0</v>
      </c>
      <c r="J151" s="2">
        <v>1.0</v>
      </c>
      <c r="K151" s="2">
        <v>7.0</v>
      </c>
      <c r="O151" s="2" t="s">
        <v>245</v>
      </c>
      <c r="P151" s="2" t="s">
        <v>166</v>
      </c>
      <c r="Q151" s="2"/>
      <c r="R151" s="2" t="s">
        <v>167</v>
      </c>
      <c r="S151" s="11">
        <v>42222.565717592595</v>
      </c>
    </row>
    <row r="152" ht="12.75" customHeight="1">
      <c r="A152" s="2"/>
      <c r="B152" s="2">
        <v>1.0</v>
      </c>
      <c r="C152" s="2" t="s">
        <v>421</v>
      </c>
      <c r="D152" s="2">
        <v>3.20084403E8</v>
      </c>
      <c r="E152" s="2">
        <v>1.400003123E9</v>
      </c>
      <c r="F152" s="2">
        <v>16238.0</v>
      </c>
      <c r="G152" s="2">
        <v>1.0</v>
      </c>
      <c r="H152" s="2">
        <v>80300.0</v>
      </c>
      <c r="I152" s="2">
        <v>365000.0</v>
      </c>
      <c r="J152" s="2">
        <v>1.0</v>
      </c>
      <c r="K152" s="2">
        <v>7.0</v>
      </c>
      <c r="O152" s="2" t="s">
        <v>422</v>
      </c>
      <c r="P152" s="2" t="s">
        <v>166</v>
      </c>
      <c r="Q152" s="2"/>
      <c r="R152" s="2" t="s">
        <v>167</v>
      </c>
      <c r="S152" s="11">
        <v>42222.565717592595</v>
      </c>
    </row>
    <row r="153" ht="12.75" customHeight="1">
      <c r="A153" s="2"/>
      <c r="B153" s="2">
        <v>1.0</v>
      </c>
      <c r="C153" s="2" t="s">
        <v>423</v>
      </c>
      <c r="D153" s="2">
        <v>3.20084733E8</v>
      </c>
      <c r="E153" s="2">
        <v>1.400003132E9</v>
      </c>
      <c r="F153" s="2">
        <v>14060.0</v>
      </c>
      <c r="G153" s="2">
        <v>8.0</v>
      </c>
      <c r="H153" s="2">
        <v>890000.0</v>
      </c>
      <c r="I153" s="2">
        <v>3560000.0</v>
      </c>
      <c r="J153" s="2">
        <v>1.0</v>
      </c>
      <c r="K153" s="2">
        <v>7.0</v>
      </c>
      <c r="O153" s="2" t="s">
        <v>424</v>
      </c>
      <c r="P153" s="2" t="s">
        <v>166</v>
      </c>
      <c r="Q153" s="2"/>
      <c r="R153" s="2" t="s">
        <v>167</v>
      </c>
      <c r="S153" s="11">
        <v>42222.72048611111</v>
      </c>
    </row>
    <row r="154" ht="12.75" customHeight="1">
      <c r="A154" s="2"/>
      <c r="B154" s="2">
        <v>1.0</v>
      </c>
      <c r="C154" s="2" t="s">
        <v>425</v>
      </c>
      <c r="D154" s="2">
        <v>3.20084731E8</v>
      </c>
      <c r="E154" s="2">
        <v>1.400003132E9</v>
      </c>
      <c r="F154" s="2">
        <v>14916.0</v>
      </c>
      <c r="G154" s="2">
        <v>2.0</v>
      </c>
      <c r="H154" s="2">
        <v>160600.0</v>
      </c>
      <c r="I154" s="2">
        <v>730000.0</v>
      </c>
      <c r="J154" s="2">
        <v>1.0</v>
      </c>
      <c r="K154" s="2">
        <v>7.0</v>
      </c>
      <c r="O154" s="2" t="s">
        <v>422</v>
      </c>
      <c r="P154" s="2" t="s">
        <v>166</v>
      </c>
      <c r="Q154" s="2"/>
      <c r="R154" s="2" t="s">
        <v>167</v>
      </c>
      <c r="S154" s="11">
        <v>42222.72048611111</v>
      </c>
    </row>
    <row r="155" ht="12.75" customHeight="1">
      <c r="A155" s="2"/>
      <c r="B155" s="2">
        <v>1.0</v>
      </c>
      <c r="C155" s="2" t="s">
        <v>426</v>
      </c>
      <c r="D155" s="2">
        <v>3.20084729E8</v>
      </c>
      <c r="E155" s="2">
        <v>1.400003132E9</v>
      </c>
      <c r="F155" s="2">
        <v>16336.0</v>
      </c>
      <c r="G155" s="2">
        <v>3.0</v>
      </c>
      <c r="H155" s="2">
        <v>564570.0</v>
      </c>
      <c r="I155" s="2">
        <v>2091000.0</v>
      </c>
      <c r="J155" s="2">
        <v>1.0</v>
      </c>
      <c r="K155" s="2">
        <v>7.0</v>
      </c>
      <c r="O155" s="2" t="s">
        <v>427</v>
      </c>
      <c r="P155" s="2" t="s">
        <v>166</v>
      </c>
      <c r="Q155" s="2"/>
      <c r="R155" s="2" t="s">
        <v>167</v>
      </c>
      <c r="S155" s="11">
        <v>42222.72048611111</v>
      </c>
    </row>
    <row r="156" ht="12.75" customHeight="1">
      <c r="A156" s="2"/>
      <c r="B156" s="2">
        <v>1.0</v>
      </c>
      <c r="C156" s="2" t="s">
        <v>428</v>
      </c>
      <c r="D156" s="2">
        <v>3.20084728E8</v>
      </c>
      <c r="E156" s="2">
        <v>1.400003132E9</v>
      </c>
      <c r="F156" s="2">
        <v>16340.0</v>
      </c>
      <c r="G156" s="2">
        <v>5.0</v>
      </c>
      <c r="H156" s="2">
        <v>762750.0</v>
      </c>
      <c r="I156" s="2">
        <v>2825000.0</v>
      </c>
      <c r="J156" s="2">
        <v>1.0</v>
      </c>
      <c r="K156" s="2">
        <v>7.0</v>
      </c>
      <c r="O156" s="2" t="s">
        <v>429</v>
      </c>
      <c r="P156" s="2" t="s">
        <v>166</v>
      </c>
      <c r="Q156" s="2"/>
      <c r="R156" s="2" t="s">
        <v>167</v>
      </c>
      <c r="S156" s="11">
        <v>42222.72048611111</v>
      </c>
    </row>
    <row r="157" ht="12.75" customHeight="1">
      <c r="A157" s="2"/>
      <c r="B157" s="2">
        <v>1.0</v>
      </c>
      <c r="C157" s="2" t="s">
        <v>430</v>
      </c>
      <c r="D157" s="2">
        <v>3.20084724E8</v>
      </c>
      <c r="E157" s="2">
        <v>1.400003132E9</v>
      </c>
      <c r="F157" s="2">
        <v>16779.0</v>
      </c>
      <c r="G157" s="2">
        <v>5.0</v>
      </c>
      <c r="H157" s="2">
        <v>531250.0</v>
      </c>
      <c r="I157" s="2">
        <v>2125000.0</v>
      </c>
      <c r="J157" s="2">
        <v>1.0</v>
      </c>
      <c r="K157" s="2">
        <v>7.0</v>
      </c>
      <c r="O157" s="2" t="s">
        <v>217</v>
      </c>
      <c r="P157" s="2" t="s">
        <v>166</v>
      </c>
      <c r="Q157" s="2"/>
      <c r="R157" s="2" t="s">
        <v>167</v>
      </c>
      <c r="S157" s="11">
        <v>42222.72048611111</v>
      </c>
    </row>
    <row r="158" ht="12.75" customHeight="1">
      <c r="A158" s="2"/>
      <c r="B158" s="2">
        <v>1.0</v>
      </c>
      <c r="C158" s="2" t="s">
        <v>431</v>
      </c>
      <c r="D158" s="2">
        <v>3.20084726E8</v>
      </c>
      <c r="E158" s="2">
        <v>1.400003132E9</v>
      </c>
      <c r="F158" s="2">
        <v>16800.0</v>
      </c>
      <c r="G158" s="2">
        <v>5.0</v>
      </c>
      <c r="H158" s="2">
        <v>737500.0</v>
      </c>
      <c r="I158" s="2">
        <v>2950000.0</v>
      </c>
      <c r="J158" s="2">
        <v>1.0</v>
      </c>
      <c r="K158" s="2">
        <v>7.0</v>
      </c>
      <c r="O158" s="2" t="s">
        <v>309</v>
      </c>
      <c r="P158" s="2" t="s">
        <v>166</v>
      </c>
      <c r="Q158" s="2"/>
      <c r="R158" s="2" t="s">
        <v>167</v>
      </c>
      <c r="S158" s="11">
        <v>42222.72048611111</v>
      </c>
    </row>
    <row r="159" ht="12.75" customHeight="1">
      <c r="A159" s="2"/>
      <c r="B159" s="2">
        <v>1.0</v>
      </c>
      <c r="C159" s="2" t="s">
        <v>432</v>
      </c>
      <c r="D159" s="2">
        <v>3.20040256E8</v>
      </c>
      <c r="E159" s="2">
        <v>2.000003462E9</v>
      </c>
      <c r="F159" s="2">
        <v>14814.0</v>
      </c>
      <c r="G159" s="2">
        <v>2.0</v>
      </c>
      <c r="H159" s="2">
        <v>0.0</v>
      </c>
      <c r="I159" s="2">
        <v>490000.0</v>
      </c>
      <c r="J159" s="2">
        <v>1.0</v>
      </c>
      <c r="K159" s="2">
        <v>7.0</v>
      </c>
      <c r="O159" s="2" t="s">
        <v>433</v>
      </c>
      <c r="P159" s="2" t="s">
        <v>166</v>
      </c>
      <c r="Q159" s="2"/>
      <c r="R159" s="2" t="s">
        <v>434</v>
      </c>
      <c r="S159" s="11">
        <v>42177.603101851855</v>
      </c>
    </row>
    <row r="160" ht="12.75" customHeight="1">
      <c r="A160" s="2"/>
      <c r="B160" s="2">
        <v>1.0</v>
      </c>
      <c r="C160" s="2" t="s">
        <v>435</v>
      </c>
      <c r="D160" s="2">
        <v>3.2004052E8</v>
      </c>
      <c r="E160" s="2">
        <v>2.000003473E9</v>
      </c>
      <c r="F160" s="2">
        <v>7004.0</v>
      </c>
      <c r="G160" s="2">
        <v>1.0</v>
      </c>
      <c r="H160" s="2">
        <v>0.0</v>
      </c>
      <c r="I160" s="2">
        <v>335000.0</v>
      </c>
      <c r="J160" s="2">
        <v>1.0</v>
      </c>
      <c r="K160" s="2">
        <v>7.0</v>
      </c>
      <c r="O160" s="2" t="s">
        <v>436</v>
      </c>
      <c r="P160" s="2" t="s">
        <v>166</v>
      </c>
      <c r="Q160" s="2"/>
      <c r="R160" s="2" t="s">
        <v>434</v>
      </c>
      <c r="S160" s="11">
        <v>42177.756886574076</v>
      </c>
    </row>
    <row r="161" ht="12.75" customHeight="1">
      <c r="A161" s="2"/>
      <c r="B161" s="2">
        <v>1.0</v>
      </c>
      <c r="C161" s="2" t="s">
        <v>437</v>
      </c>
      <c r="D161" s="2">
        <v>3.20040521E8</v>
      </c>
      <c r="E161" s="2">
        <v>2.000003473E9</v>
      </c>
      <c r="F161" s="2">
        <v>14047.0</v>
      </c>
      <c r="G161" s="2">
        <v>1.0</v>
      </c>
      <c r="H161" s="2">
        <v>0.0</v>
      </c>
      <c r="I161" s="2">
        <v>470000.0</v>
      </c>
      <c r="J161" s="2">
        <v>1.0</v>
      </c>
      <c r="K161" s="2">
        <v>7.0</v>
      </c>
      <c r="O161" s="2" t="s">
        <v>438</v>
      </c>
      <c r="P161" s="2" t="s">
        <v>166</v>
      </c>
      <c r="Q161" s="2"/>
      <c r="R161" s="2" t="s">
        <v>434</v>
      </c>
      <c r="S161" s="11">
        <v>42177.756886574076</v>
      </c>
    </row>
    <row r="162" ht="12.75" customHeight="1">
      <c r="A162" s="2"/>
      <c r="B162" s="2">
        <v>1.0</v>
      </c>
      <c r="C162" s="2" t="s">
        <v>439</v>
      </c>
      <c r="D162" s="2">
        <v>3.20040522E8</v>
      </c>
      <c r="E162" s="2">
        <v>2.000003473E9</v>
      </c>
      <c r="F162" s="2">
        <v>14212.0</v>
      </c>
      <c r="G162" s="2">
        <v>1.0</v>
      </c>
      <c r="H162" s="2">
        <v>0.0</v>
      </c>
      <c r="I162" s="2">
        <v>85000.0</v>
      </c>
      <c r="J162" s="2">
        <v>1.0</v>
      </c>
      <c r="K162" s="2">
        <v>7.0</v>
      </c>
      <c r="O162" s="2" t="s">
        <v>440</v>
      </c>
      <c r="P162" s="2" t="s">
        <v>166</v>
      </c>
      <c r="Q162" s="2"/>
      <c r="R162" s="2" t="s">
        <v>434</v>
      </c>
      <c r="S162" s="11">
        <v>42177.756886574076</v>
      </c>
    </row>
    <row r="163" ht="12.75" customHeight="1">
      <c r="A163" s="2"/>
      <c r="B163" s="2">
        <v>1.0</v>
      </c>
      <c r="C163" s="2" t="s">
        <v>441</v>
      </c>
      <c r="D163" s="2">
        <v>3.20040613E8</v>
      </c>
      <c r="E163" s="2">
        <v>2.000003473E9</v>
      </c>
      <c r="F163" s="2">
        <v>15084.0</v>
      </c>
      <c r="G163" s="2">
        <v>1.0</v>
      </c>
      <c r="H163" s="2">
        <v>0.0</v>
      </c>
      <c r="I163" s="2">
        <v>240000.0</v>
      </c>
      <c r="J163" s="2">
        <v>1.0</v>
      </c>
      <c r="K163" s="2">
        <v>7.0</v>
      </c>
      <c r="O163" s="2" t="s">
        <v>442</v>
      </c>
      <c r="P163" s="2" t="s">
        <v>166</v>
      </c>
      <c r="Q163" s="2"/>
      <c r="R163" s="2" t="s">
        <v>434</v>
      </c>
      <c r="S163" s="11">
        <v>42177.827361111114</v>
      </c>
    </row>
    <row r="164" ht="12.75" customHeight="1">
      <c r="A164" s="2"/>
      <c r="B164" s="2">
        <v>1.0</v>
      </c>
      <c r="C164" s="2" t="s">
        <v>443</v>
      </c>
      <c r="D164" s="2">
        <v>3.20048899E8</v>
      </c>
      <c r="E164" s="2">
        <v>2.000003777E9</v>
      </c>
      <c r="F164" s="2">
        <v>1009.0</v>
      </c>
      <c r="G164" s="2">
        <v>1.0</v>
      </c>
      <c r="H164" s="2">
        <v>0.0</v>
      </c>
      <c r="I164" s="2">
        <v>210000.0</v>
      </c>
      <c r="J164" s="2">
        <v>1.0</v>
      </c>
      <c r="K164" s="2">
        <v>7.0</v>
      </c>
      <c r="O164" s="2" t="s">
        <v>444</v>
      </c>
      <c r="P164" s="2" t="s">
        <v>166</v>
      </c>
      <c r="Q164" s="2"/>
      <c r="R164" s="2" t="s">
        <v>434</v>
      </c>
      <c r="S164" s="11">
        <v>42185.43173611111</v>
      </c>
    </row>
    <row r="165" ht="12.75" customHeight="1">
      <c r="A165" s="2"/>
      <c r="B165" s="2">
        <v>1.0</v>
      </c>
      <c r="C165" s="2" t="s">
        <v>445</v>
      </c>
      <c r="D165" s="2">
        <v>3.20048902E8</v>
      </c>
      <c r="E165" s="2">
        <v>2.000003777E9</v>
      </c>
      <c r="F165" s="2">
        <v>6316.0</v>
      </c>
      <c r="G165" s="2">
        <v>45.0</v>
      </c>
      <c r="H165" s="2">
        <v>0.0</v>
      </c>
      <c r="I165" s="2">
        <v>2700000.0</v>
      </c>
      <c r="J165" s="2">
        <v>1.0</v>
      </c>
      <c r="K165" s="2">
        <v>7.0</v>
      </c>
      <c r="O165" s="2" t="s">
        <v>266</v>
      </c>
      <c r="P165" s="2" t="s">
        <v>166</v>
      </c>
      <c r="Q165" s="2"/>
      <c r="R165" s="2" t="s">
        <v>434</v>
      </c>
      <c r="S165" s="11">
        <v>42185.43173611111</v>
      </c>
    </row>
    <row r="166" ht="12.75" customHeight="1">
      <c r="A166" s="2"/>
      <c r="B166" s="2">
        <v>1.0</v>
      </c>
      <c r="C166" s="2" t="s">
        <v>446</v>
      </c>
      <c r="D166" s="2">
        <v>3.20048901E8</v>
      </c>
      <c r="E166" s="2">
        <v>2.000003777E9</v>
      </c>
      <c r="F166" s="2">
        <v>8524.0</v>
      </c>
      <c r="G166" s="2">
        <v>1.0</v>
      </c>
      <c r="H166" s="2">
        <v>0.0</v>
      </c>
      <c r="I166" s="2">
        <v>695000.0</v>
      </c>
      <c r="J166" s="2">
        <v>1.0</v>
      </c>
      <c r="K166" s="2">
        <v>7.0</v>
      </c>
      <c r="O166" s="2" t="s">
        <v>447</v>
      </c>
      <c r="P166" s="2" t="s">
        <v>166</v>
      </c>
      <c r="Q166" s="2"/>
      <c r="R166" s="2" t="s">
        <v>434</v>
      </c>
      <c r="S166" s="11">
        <v>42185.43173611111</v>
      </c>
    </row>
    <row r="167" ht="12.75" customHeight="1">
      <c r="A167" s="2"/>
      <c r="B167" s="2">
        <v>1.0</v>
      </c>
      <c r="C167" s="2" t="s">
        <v>448</v>
      </c>
      <c r="D167" s="2">
        <v>3.20048898E8</v>
      </c>
      <c r="E167" s="2">
        <v>2.000003777E9</v>
      </c>
      <c r="F167" s="2">
        <v>15678.0</v>
      </c>
      <c r="G167" s="2">
        <v>1.0</v>
      </c>
      <c r="H167" s="2">
        <v>0.0</v>
      </c>
      <c r="I167" s="2">
        <v>149000.0</v>
      </c>
      <c r="J167" s="2">
        <v>1.0</v>
      </c>
      <c r="K167" s="2">
        <v>7.0</v>
      </c>
      <c r="O167" s="2" t="s">
        <v>449</v>
      </c>
      <c r="P167" s="2" t="s">
        <v>166</v>
      </c>
      <c r="Q167" s="2"/>
      <c r="R167" s="2" t="s">
        <v>434</v>
      </c>
      <c r="S167" s="11">
        <v>42185.43173611111</v>
      </c>
    </row>
    <row r="168" ht="12.75" customHeight="1">
      <c r="A168" s="2"/>
      <c r="B168" s="2">
        <v>1.0</v>
      </c>
      <c r="C168" s="2" t="s">
        <v>450</v>
      </c>
      <c r="D168" s="2">
        <v>3.20050448E8</v>
      </c>
      <c r="E168" s="2">
        <v>2.000003833E9</v>
      </c>
      <c r="F168" s="2">
        <v>1.4000039E7</v>
      </c>
      <c r="G168" s="2">
        <v>1.0</v>
      </c>
      <c r="H168" s="2">
        <v>57600.0</v>
      </c>
      <c r="I168" s="2">
        <v>288000.0</v>
      </c>
      <c r="J168" s="2">
        <v>1.0</v>
      </c>
      <c r="K168" s="2">
        <v>7.0</v>
      </c>
      <c r="O168" s="2" t="s">
        <v>451</v>
      </c>
      <c r="P168" s="2" t="s">
        <v>166</v>
      </c>
      <c r="Q168" s="2"/>
      <c r="R168" s="2" t="s">
        <v>434</v>
      </c>
      <c r="S168" s="11">
        <v>42186.69148148148</v>
      </c>
    </row>
    <row r="169" ht="12.75" customHeight="1">
      <c r="A169" s="2"/>
      <c r="B169" s="2">
        <v>1.0</v>
      </c>
      <c r="C169" s="2" t="s">
        <v>452</v>
      </c>
      <c r="D169" s="2">
        <v>3.20050488E8</v>
      </c>
      <c r="E169" s="2">
        <v>2.000003838E9</v>
      </c>
      <c r="F169" s="2">
        <v>6402.0</v>
      </c>
      <c r="G169" s="2">
        <v>2.0</v>
      </c>
      <c r="H169" s="2">
        <v>0.0</v>
      </c>
      <c r="I169" s="2">
        <v>158000.0</v>
      </c>
      <c r="J169" s="2">
        <v>1.0</v>
      </c>
      <c r="K169" s="2">
        <v>7.0</v>
      </c>
      <c r="O169" s="2" t="s">
        <v>453</v>
      </c>
      <c r="P169" s="2" t="s">
        <v>166</v>
      </c>
      <c r="Q169" s="2"/>
      <c r="R169" s="2" t="s">
        <v>434</v>
      </c>
      <c r="S169" s="11">
        <v>42186.711064814815</v>
      </c>
    </row>
    <row r="170" ht="12.75" customHeight="1">
      <c r="A170" s="2"/>
      <c r="B170" s="2">
        <v>1.0</v>
      </c>
      <c r="C170" s="2" t="s">
        <v>454</v>
      </c>
      <c r="D170" s="2">
        <v>3.20050486E8</v>
      </c>
      <c r="E170" s="2">
        <v>2.000003838E9</v>
      </c>
      <c r="F170" s="2">
        <v>1.4000039E7</v>
      </c>
      <c r="G170" s="2">
        <v>1.0</v>
      </c>
      <c r="H170" s="2">
        <v>0.0</v>
      </c>
      <c r="I170" s="2">
        <v>288000.0</v>
      </c>
      <c r="J170" s="2">
        <v>1.0</v>
      </c>
      <c r="K170" s="2">
        <v>7.0</v>
      </c>
      <c r="O170" s="2" t="s">
        <v>451</v>
      </c>
      <c r="P170" s="2" t="s">
        <v>166</v>
      </c>
      <c r="Q170" s="2"/>
      <c r="R170" s="2" t="s">
        <v>434</v>
      </c>
      <c r="S170" s="11">
        <v>42186.71105324074</v>
      </c>
    </row>
    <row r="171" ht="12.75" customHeight="1">
      <c r="A171" s="2"/>
      <c r="B171" s="2">
        <v>1.0</v>
      </c>
      <c r="C171" s="2" t="s">
        <v>455</v>
      </c>
      <c r="D171" s="2">
        <v>3.20050546E8</v>
      </c>
      <c r="E171" s="2">
        <v>2.000003839E9</v>
      </c>
      <c r="F171" s="2">
        <v>9733.0</v>
      </c>
      <c r="G171" s="2">
        <v>1.0</v>
      </c>
      <c r="H171" s="2">
        <v>0.0</v>
      </c>
      <c r="I171" s="2">
        <v>343000.0</v>
      </c>
      <c r="J171" s="2">
        <v>1.0</v>
      </c>
      <c r="K171" s="2">
        <v>7.0</v>
      </c>
      <c r="O171" s="2" t="s">
        <v>456</v>
      </c>
      <c r="P171" s="2" t="s">
        <v>166</v>
      </c>
      <c r="Q171" s="2"/>
      <c r="R171" s="2" t="s">
        <v>434</v>
      </c>
      <c r="S171" s="11">
        <v>42186.73818287037</v>
      </c>
    </row>
    <row r="172" ht="12.75" customHeight="1">
      <c r="A172" s="2"/>
      <c r="B172" s="2">
        <v>1.0</v>
      </c>
      <c r="C172" s="2" t="s">
        <v>457</v>
      </c>
      <c r="D172" s="2">
        <v>3.20050574E8</v>
      </c>
      <c r="E172" s="2">
        <v>2.000003841E9</v>
      </c>
      <c r="F172" s="2">
        <v>1009.0</v>
      </c>
      <c r="G172" s="2">
        <v>1.0</v>
      </c>
      <c r="H172" s="2">
        <v>0.0</v>
      </c>
      <c r="I172" s="2">
        <v>210000.0</v>
      </c>
      <c r="J172" s="2">
        <v>1.0</v>
      </c>
      <c r="K172" s="2">
        <v>7.0</v>
      </c>
      <c r="O172" s="2" t="s">
        <v>444</v>
      </c>
      <c r="P172" s="2" t="s">
        <v>166</v>
      </c>
      <c r="Q172" s="2"/>
      <c r="R172" s="2" t="s">
        <v>434</v>
      </c>
      <c r="S172" s="11">
        <v>42186.75420138889</v>
      </c>
    </row>
    <row r="173" ht="12.75" customHeight="1">
      <c r="A173" s="2"/>
      <c r="B173" s="2">
        <v>1.0</v>
      </c>
      <c r="C173" s="2" t="s">
        <v>458</v>
      </c>
      <c r="D173" s="2">
        <v>3.20050576E8</v>
      </c>
      <c r="E173" s="2">
        <v>2.000003841E9</v>
      </c>
      <c r="F173" s="2">
        <v>1013.0</v>
      </c>
      <c r="G173" s="2">
        <v>1.0</v>
      </c>
      <c r="H173" s="2">
        <v>0.0</v>
      </c>
      <c r="I173" s="2">
        <v>230000.0</v>
      </c>
      <c r="J173" s="2">
        <v>1.0</v>
      </c>
      <c r="K173" s="2">
        <v>7.0</v>
      </c>
      <c r="O173" s="2" t="s">
        <v>459</v>
      </c>
      <c r="P173" s="2" t="s">
        <v>166</v>
      </c>
      <c r="Q173" s="2"/>
      <c r="R173" s="2" t="s">
        <v>434</v>
      </c>
      <c r="S173" s="11">
        <v>42186.75420138889</v>
      </c>
    </row>
    <row r="174" ht="12.75" customHeight="1">
      <c r="A174" s="2"/>
      <c r="B174" s="2">
        <v>1.0</v>
      </c>
      <c r="C174" s="2" t="s">
        <v>460</v>
      </c>
      <c r="D174" s="2">
        <v>3.20050611E8</v>
      </c>
      <c r="E174" s="2">
        <v>2.000003846E9</v>
      </c>
      <c r="F174" s="2">
        <v>1013.0</v>
      </c>
      <c r="G174" s="2">
        <v>1.0</v>
      </c>
      <c r="H174" s="2">
        <v>0.0</v>
      </c>
      <c r="I174" s="2">
        <v>230000.0</v>
      </c>
      <c r="J174" s="2">
        <v>1.0</v>
      </c>
      <c r="K174" s="2">
        <v>7.0</v>
      </c>
      <c r="O174" s="2" t="s">
        <v>459</v>
      </c>
      <c r="P174" s="2" t="s">
        <v>166</v>
      </c>
      <c r="Q174" s="2"/>
      <c r="R174" s="2" t="s">
        <v>434</v>
      </c>
      <c r="S174" s="11">
        <v>42186.777766203704</v>
      </c>
    </row>
    <row r="175" ht="12.75" customHeight="1">
      <c r="A175" s="2"/>
      <c r="B175" s="2">
        <v>1.0</v>
      </c>
      <c r="C175" s="2" t="s">
        <v>461</v>
      </c>
      <c r="D175" s="2">
        <v>3.20050609E8</v>
      </c>
      <c r="E175" s="2">
        <v>2.000003846E9</v>
      </c>
      <c r="F175" s="2">
        <v>16006.0</v>
      </c>
      <c r="G175" s="2">
        <v>1.0</v>
      </c>
      <c r="H175" s="2">
        <v>0.0</v>
      </c>
      <c r="I175" s="2">
        <v>265000.0</v>
      </c>
      <c r="J175" s="2">
        <v>1.0</v>
      </c>
      <c r="K175" s="2">
        <v>7.0</v>
      </c>
      <c r="O175" s="2" t="s">
        <v>462</v>
      </c>
      <c r="P175" s="2" t="s">
        <v>166</v>
      </c>
      <c r="Q175" s="2"/>
      <c r="R175" s="2" t="s">
        <v>434</v>
      </c>
      <c r="S175" s="11">
        <v>42186.777766203704</v>
      </c>
    </row>
    <row r="176" ht="12.75" customHeight="1">
      <c r="A176" s="2"/>
      <c r="B176" s="2">
        <v>1.0</v>
      </c>
      <c r="C176" s="2" t="s">
        <v>463</v>
      </c>
      <c r="D176" s="2">
        <v>3.20050614E8</v>
      </c>
      <c r="E176" s="2">
        <v>2.000003848E9</v>
      </c>
      <c r="F176" s="2">
        <v>3253.0</v>
      </c>
      <c r="G176" s="2">
        <v>1.0</v>
      </c>
      <c r="H176" s="2">
        <v>0.0</v>
      </c>
      <c r="I176" s="2">
        <v>69000.0</v>
      </c>
      <c r="J176" s="2">
        <v>1.0</v>
      </c>
      <c r="K176" s="2">
        <v>7.0</v>
      </c>
      <c r="O176" s="2" t="s">
        <v>464</v>
      </c>
      <c r="P176" s="2" t="s">
        <v>166</v>
      </c>
      <c r="Q176" s="2"/>
      <c r="R176" s="2" t="s">
        <v>434</v>
      </c>
      <c r="S176" s="11">
        <v>42186.78163194445</v>
      </c>
    </row>
    <row r="177" ht="12.75" customHeight="1">
      <c r="A177" s="2"/>
      <c r="B177" s="2">
        <v>1.0</v>
      </c>
      <c r="C177" s="2" t="s">
        <v>465</v>
      </c>
      <c r="D177" s="2">
        <v>3.20050616E8</v>
      </c>
      <c r="E177" s="2">
        <v>2.000003848E9</v>
      </c>
      <c r="F177" s="2">
        <v>6388.0</v>
      </c>
      <c r="G177" s="2">
        <v>1.0</v>
      </c>
      <c r="H177" s="2">
        <v>0.0</v>
      </c>
      <c r="I177" s="2">
        <v>58000.0</v>
      </c>
      <c r="J177" s="2">
        <v>1.0</v>
      </c>
      <c r="K177" s="2">
        <v>7.0</v>
      </c>
      <c r="O177" s="2" t="s">
        <v>466</v>
      </c>
      <c r="P177" s="2" t="s">
        <v>166</v>
      </c>
      <c r="Q177" s="2"/>
      <c r="R177" s="2" t="s">
        <v>434</v>
      </c>
      <c r="S177" s="11">
        <v>42186.78163194445</v>
      </c>
    </row>
    <row r="178" ht="12.75" customHeight="1">
      <c r="A178" s="2"/>
      <c r="B178" s="2">
        <v>1.0</v>
      </c>
      <c r="C178" s="2" t="s">
        <v>467</v>
      </c>
      <c r="D178" s="2">
        <v>3.20050613E8</v>
      </c>
      <c r="E178" s="2">
        <v>2.000003848E9</v>
      </c>
      <c r="F178" s="2">
        <v>13047.0</v>
      </c>
      <c r="G178" s="2">
        <v>1.0</v>
      </c>
      <c r="H178" s="2">
        <v>0.0</v>
      </c>
      <c r="I178" s="2">
        <v>119000.0</v>
      </c>
      <c r="J178" s="2">
        <v>1.0</v>
      </c>
      <c r="K178" s="2">
        <v>7.0</v>
      </c>
      <c r="O178" s="2" t="s">
        <v>468</v>
      </c>
      <c r="P178" s="2" t="s">
        <v>166</v>
      </c>
      <c r="Q178" s="2"/>
      <c r="R178" s="2" t="s">
        <v>434</v>
      </c>
      <c r="S178" s="11">
        <v>42186.78162037037</v>
      </c>
    </row>
    <row r="179" ht="12.75" customHeight="1">
      <c r="A179" s="2"/>
      <c r="B179" s="2">
        <v>1.0</v>
      </c>
      <c r="C179" s="2" t="s">
        <v>469</v>
      </c>
      <c r="D179" s="2">
        <v>3.20050619E8</v>
      </c>
      <c r="E179" s="2">
        <v>2.000003848E9</v>
      </c>
      <c r="F179" s="2">
        <v>15119.0</v>
      </c>
      <c r="G179" s="2">
        <v>1.0</v>
      </c>
      <c r="H179" s="2">
        <v>0.0</v>
      </c>
      <c r="I179" s="2">
        <v>530000.0</v>
      </c>
      <c r="J179" s="2">
        <v>1.0</v>
      </c>
      <c r="K179" s="2">
        <v>7.0</v>
      </c>
      <c r="O179" s="2" t="s">
        <v>470</v>
      </c>
      <c r="P179" s="2" t="s">
        <v>166</v>
      </c>
      <c r="Q179" s="2"/>
      <c r="R179" s="2" t="s">
        <v>434</v>
      </c>
      <c r="S179" s="11">
        <v>42186.78163194445</v>
      </c>
    </row>
    <row r="180" ht="12.75" customHeight="1">
      <c r="A180" s="2"/>
      <c r="B180" s="2">
        <v>1.0</v>
      </c>
      <c r="C180" s="2" t="s">
        <v>471</v>
      </c>
      <c r="D180" s="2">
        <v>3.20050622E8</v>
      </c>
      <c r="E180" s="2">
        <v>2.000003848E9</v>
      </c>
      <c r="F180" s="2">
        <v>15212.0</v>
      </c>
      <c r="G180" s="2">
        <v>1.0</v>
      </c>
      <c r="H180" s="2">
        <v>0.0</v>
      </c>
      <c r="I180" s="2">
        <v>470000.0</v>
      </c>
      <c r="J180" s="2">
        <v>1.0</v>
      </c>
      <c r="K180" s="2">
        <v>7.0</v>
      </c>
      <c r="O180" s="2" t="s">
        <v>472</v>
      </c>
      <c r="P180" s="2" t="s">
        <v>166</v>
      </c>
      <c r="Q180" s="2"/>
      <c r="R180" s="2" t="s">
        <v>434</v>
      </c>
      <c r="S180" s="11">
        <v>42186.78163194445</v>
      </c>
    </row>
    <row r="181" ht="12.75" customHeight="1">
      <c r="A181" s="2"/>
      <c r="B181" s="2">
        <v>1.0</v>
      </c>
      <c r="C181" s="2" t="s">
        <v>473</v>
      </c>
      <c r="D181" s="2">
        <v>3.20050644E8</v>
      </c>
      <c r="E181" s="2">
        <v>2.00000385E9</v>
      </c>
      <c r="F181" s="2">
        <v>65.0</v>
      </c>
      <c r="G181" s="2">
        <v>1.0</v>
      </c>
      <c r="H181" s="2">
        <v>0.0</v>
      </c>
      <c r="I181" s="2">
        <v>220000.0</v>
      </c>
      <c r="J181" s="2">
        <v>1.0</v>
      </c>
      <c r="K181" s="2">
        <v>7.0</v>
      </c>
      <c r="O181" s="2" t="s">
        <v>474</v>
      </c>
      <c r="P181" s="2" t="s">
        <v>166</v>
      </c>
      <c r="Q181" s="2"/>
      <c r="R181" s="2" t="s">
        <v>434</v>
      </c>
      <c r="S181" s="11">
        <v>42186.79131944444</v>
      </c>
    </row>
    <row r="182" ht="12.75" customHeight="1">
      <c r="A182" s="2"/>
      <c r="B182" s="2">
        <v>1.0</v>
      </c>
      <c r="C182" s="2" t="s">
        <v>475</v>
      </c>
      <c r="D182" s="2">
        <v>3.20050646E8</v>
      </c>
      <c r="E182" s="2">
        <v>2.00000385E9</v>
      </c>
      <c r="F182" s="2">
        <v>13041.0</v>
      </c>
      <c r="G182" s="2">
        <v>1.0</v>
      </c>
      <c r="H182" s="2">
        <v>0.0</v>
      </c>
      <c r="I182" s="2">
        <v>39000.0</v>
      </c>
      <c r="J182" s="2">
        <v>1.0</v>
      </c>
      <c r="K182" s="2">
        <v>7.0</v>
      </c>
      <c r="O182" s="2" t="s">
        <v>476</v>
      </c>
      <c r="P182" s="2" t="s">
        <v>166</v>
      </c>
      <c r="Q182" s="2"/>
      <c r="R182" s="2" t="s">
        <v>434</v>
      </c>
      <c r="S182" s="11">
        <v>42186.79131944444</v>
      </c>
    </row>
    <row r="183" ht="12.75" customHeight="1">
      <c r="A183" s="2"/>
      <c r="B183" s="2">
        <v>1.0</v>
      </c>
      <c r="C183" s="2" t="s">
        <v>477</v>
      </c>
      <c r="D183" s="2">
        <v>3.20050709E8</v>
      </c>
      <c r="E183" s="2">
        <v>2.000003853E9</v>
      </c>
      <c r="F183" s="2">
        <v>5426.0</v>
      </c>
      <c r="G183" s="2">
        <v>1.0</v>
      </c>
      <c r="H183" s="2">
        <v>0.0</v>
      </c>
      <c r="I183" s="2">
        <v>325000.0</v>
      </c>
      <c r="J183" s="2">
        <v>1.0</v>
      </c>
      <c r="K183" s="2">
        <v>7.0</v>
      </c>
      <c r="O183" s="2" t="s">
        <v>478</v>
      </c>
      <c r="P183" s="2" t="s">
        <v>166</v>
      </c>
      <c r="Q183" s="2"/>
      <c r="R183" s="2" t="s">
        <v>434</v>
      </c>
      <c r="S183" s="11">
        <v>42186.818923611114</v>
      </c>
    </row>
    <row r="184" ht="12.75" customHeight="1">
      <c r="A184" s="2"/>
      <c r="B184" s="2">
        <v>1.0</v>
      </c>
      <c r="C184" s="2" t="s">
        <v>479</v>
      </c>
      <c r="D184" s="2">
        <v>3.20050724E8</v>
      </c>
      <c r="E184" s="2">
        <v>2.000003854E9</v>
      </c>
      <c r="F184" s="2">
        <v>14831.0</v>
      </c>
      <c r="G184" s="2">
        <v>1.0</v>
      </c>
      <c r="H184" s="2">
        <v>0.0</v>
      </c>
      <c r="I184" s="2">
        <v>195000.0</v>
      </c>
      <c r="J184" s="2">
        <v>1.0</v>
      </c>
      <c r="K184" s="2">
        <v>7.0</v>
      </c>
      <c r="O184" s="2" t="s">
        <v>480</v>
      </c>
      <c r="P184" s="2" t="s">
        <v>166</v>
      </c>
      <c r="Q184" s="2"/>
      <c r="R184" s="2" t="s">
        <v>434</v>
      </c>
      <c r="S184" s="11">
        <v>42186.8337962963</v>
      </c>
    </row>
    <row r="185" ht="12.75" customHeight="1">
      <c r="A185" s="2"/>
      <c r="B185" s="2">
        <v>1.0</v>
      </c>
      <c r="C185" s="2" t="s">
        <v>481</v>
      </c>
      <c r="D185" s="2">
        <v>3.20050721E8</v>
      </c>
      <c r="E185" s="2">
        <v>2.000003854E9</v>
      </c>
      <c r="F185" s="2">
        <v>15238.0</v>
      </c>
      <c r="G185" s="2">
        <v>1.0</v>
      </c>
      <c r="H185" s="2">
        <v>0.0</v>
      </c>
      <c r="I185" s="2">
        <v>315000.0</v>
      </c>
      <c r="J185" s="2">
        <v>1.0</v>
      </c>
      <c r="K185" s="2">
        <v>7.0</v>
      </c>
      <c r="O185" s="2" t="s">
        <v>482</v>
      </c>
      <c r="P185" s="2" t="s">
        <v>166</v>
      </c>
      <c r="Q185" s="2"/>
      <c r="R185" s="2" t="s">
        <v>434</v>
      </c>
      <c r="S185" s="11">
        <v>42186.8337962963</v>
      </c>
    </row>
    <row r="186" ht="12.75" customHeight="1">
      <c r="A186" s="2"/>
      <c r="B186" s="2">
        <v>1.0</v>
      </c>
      <c r="C186" s="2" t="s">
        <v>483</v>
      </c>
      <c r="D186" s="2">
        <v>3.20051581E8</v>
      </c>
      <c r="E186" s="2">
        <v>2.0000039E9</v>
      </c>
      <c r="F186" s="2">
        <v>8509.0</v>
      </c>
      <c r="G186" s="2">
        <v>1.0</v>
      </c>
      <c r="H186" s="2">
        <v>0.0</v>
      </c>
      <c r="I186" s="2">
        <v>375000.0</v>
      </c>
      <c r="J186" s="2">
        <v>1.0</v>
      </c>
      <c r="K186" s="2">
        <v>7.0</v>
      </c>
      <c r="O186" s="2" t="s">
        <v>484</v>
      </c>
      <c r="P186" s="2" t="s">
        <v>166</v>
      </c>
      <c r="Q186" s="2"/>
      <c r="R186" s="2" t="s">
        <v>434</v>
      </c>
      <c r="S186" s="11">
        <v>42187.85599537037</v>
      </c>
    </row>
    <row r="187" ht="12.75" customHeight="1">
      <c r="A187" s="2"/>
      <c r="B187" s="2">
        <v>1.0</v>
      </c>
      <c r="C187" s="2" t="s">
        <v>485</v>
      </c>
      <c r="D187" s="2">
        <v>3.20051583E8</v>
      </c>
      <c r="E187" s="2">
        <v>2.0000039E9</v>
      </c>
      <c r="F187" s="2">
        <v>13814.0</v>
      </c>
      <c r="G187" s="2">
        <v>-1.0</v>
      </c>
      <c r="H187" s="2">
        <v>0.0</v>
      </c>
      <c r="I187" s="2">
        <v>-195000.0</v>
      </c>
      <c r="J187" s="2">
        <v>1.0</v>
      </c>
      <c r="K187" s="2">
        <v>7.0</v>
      </c>
      <c r="O187" s="2" t="s">
        <v>486</v>
      </c>
      <c r="P187" s="2" t="s">
        <v>166</v>
      </c>
      <c r="Q187" s="2"/>
      <c r="R187" s="2" t="s">
        <v>434</v>
      </c>
      <c r="S187" s="11">
        <v>42187.85599537037</v>
      </c>
    </row>
    <row r="188" ht="12.75" customHeight="1">
      <c r="A188" s="2"/>
      <c r="B188" s="2">
        <v>1.0</v>
      </c>
      <c r="C188" s="2" t="s">
        <v>487</v>
      </c>
      <c r="D188" s="2">
        <v>3.20052385E8</v>
      </c>
      <c r="E188" s="2">
        <v>2.000003931E9</v>
      </c>
      <c r="F188" s="2">
        <v>975.0</v>
      </c>
      <c r="G188" s="2">
        <v>1.0</v>
      </c>
      <c r="H188" s="2">
        <v>118800.0</v>
      </c>
      <c r="I188" s="2">
        <v>495000.0</v>
      </c>
      <c r="J188" s="2">
        <v>1.0</v>
      </c>
      <c r="K188" s="2">
        <v>7.0</v>
      </c>
      <c r="O188" s="2" t="s">
        <v>488</v>
      </c>
      <c r="P188" s="2" t="s">
        <v>166</v>
      </c>
      <c r="Q188" s="2"/>
      <c r="R188" s="2" t="s">
        <v>434</v>
      </c>
      <c r="S188" s="11">
        <v>42188.787523148145</v>
      </c>
    </row>
    <row r="189" ht="12.75" customHeight="1">
      <c r="A189" s="2"/>
      <c r="B189" s="2">
        <v>1.0</v>
      </c>
      <c r="C189" s="2" t="s">
        <v>489</v>
      </c>
      <c r="D189" s="2">
        <v>3.20052415E8</v>
      </c>
      <c r="E189" s="2">
        <v>2.000003931E9</v>
      </c>
      <c r="F189" s="2">
        <v>1008.0</v>
      </c>
      <c r="G189" s="2">
        <v>1.0</v>
      </c>
      <c r="H189" s="2">
        <v>51600.0</v>
      </c>
      <c r="I189" s="2">
        <v>215000.0</v>
      </c>
      <c r="J189" s="2">
        <v>1.0</v>
      </c>
      <c r="K189" s="2">
        <v>7.0</v>
      </c>
      <c r="O189" s="2" t="s">
        <v>490</v>
      </c>
      <c r="P189" s="2" t="s">
        <v>166</v>
      </c>
      <c r="Q189" s="2"/>
      <c r="R189" s="2" t="s">
        <v>434</v>
      </c>
      <c r="S189" s="11">
        <v>42188.78759259259</v>
      </c>
    </row>
    <row r="190" ht="12.75" customHeight="1">
      <c r="A190" s="2"/>
      <c r="B190" s="2">
        <v>1.0</v>
      </c>
      <c r="C190" s="2" t="s">
        <v>491</v>
      </c>
      <c r="D190" s="2">
        <v>3.20052384E8</v>
      </c>
      <c r="E190" s="2">
        <v>2.000003931E9</v>
      </c>
      <c r="F190" s="2">
        <v>1009.0</v>
      </c>
      <c r="G190" s="2">
        <v>1.0</v>
      </c>
      <c r="H190" s="2">
        <v>50400.0</v>
      </c>
      <c r="I190" s="2">
        <v>210000.0</v>
      </c>
      <c r="J190" s="2">
        <v>1.0</v>
      </c>
      <c r="K190" s="2">
        <v>7.0</v>
      </c>
      <c r="O190" s="2" t="s">
        <v>444</v>
      </c>
      <c r="P190" s="2" t="s">
        <v>166</v>
      </c>
      <c r="Q190" s="2"/>
      <c r="R190" s="2" t="s">
        <v>434</v>
      </c>
      <c r="S190" s="11">
        <v>42188.787511574075</v>
      </c>
    </row>
    <row r="191" ht="12.75" customHeight="1">
      <c r="A191" s="2"/>
      <c r="B191" s="2">
        <v>1.0</v>
      </c>
      <c r="C191" s="2" t="s">
        <v>492</v>
      </c>
      <c r="D191" s="2">
        <v>3.20052408E8</v>
      </c>
      <c r="E191" s="2">
        <v>2.000003931E9</v>
      </c>
      <c r="F191" s="2">
        <v>1013.0</v>
      </c>
      <c r="G191" s="2">
        <v>2.0</v>
      </c>
      <c r="H191" s="2">
        <v>110400.0</v>
      </c>
      <c r="I191" s="2">
        <v>460000.0</v>
      </c>
      <c r="J191" s="2">
        <v>1.0</v>
      </c>
      <c r="K191" s="2">
        <v>7.0</v>
      </c>
      <c r="O191" s="2" t="s">
        <v>459</v>
      </c>
      <c r="P191" s="2" t="s">
        <v>166</v>
      </c>
      <c r="Q191" s="2"/>
      <c r="R191" s="2" t="s">
        <v>434</v>
      </c>
      <c r="S191" s="11">
        <v>42188.78759259259</v>
      </c>
    </row>
    <row r="192" ht="12.75" customHeight="1">
      <c r="A192" s="2"/>
      <c r="B192" s="2">
        <v>1.0</v>
      </c>
      <c r="C192" s="2" t="s">
        <v>493</v>
      </c>
      <c r="D192" s="2">
        <v>3.20052403E8</v>
      </c>
      <c r="E192" s="2">
        <v>2.000003931E9</v>
      </c>
      <c r="F192" s="2">
        <v>3856.0</v>
      </c>
      <c r="G192" s="2">
        <v>1.0</v>
      </c>
      <c r="H192" s="2">
        <v>412800.0</v>
      </c>
      <c r="I192" s="2">
        <v>1720000.0</v>
      </c>
      <c r="J192" s="2">
        <v>1.0</v>
      </c>
      <c r="K192" s="2">
        <v>7.0</v>
      </c>
      <c r="O192" s="2" t="s">
        <v>494</v>
      </c>
      <c r="P192" s="2" t="s">
        <v>166</v>
      </c>
      <c r="Q192" s="2"/>
      <c r="R192" s="2" t="s">
        <v>434</v>
      </c>
      <c r="S192" s="11">
        <v>42188.78758101852</v>
      </c>
    </row>
    <row r="193" ht="12.75" customHeight="1">
      <c r="A193" s="2"/>
      <c r="B193" s="2">
        <v>1.0</v>
      </c>
      <c r="C193" s="2" t="s">
        <v>495</v>
      </c>
      <c r="D193" s="2">
        <v>3.2005241E8</v>
      </c>
      <c r="E193" s="2">
        <v>2.000003931E9</v>
      </c>
      <c r="F193" s="2">
        <v>3876.0</v>
      </c>
      <c r="G193" s="2">
        <v>1.0</v>
      </c>
      <c r="H193" s="2">
        <v>103200.0</v>
      </c>
      <c r="I193" s="2">
        <v>430000.0</v>
      </c>
      <c r="J193" s="2">
        <v>1.0</v>
      </c>
      <c r="K193" s="2">
        <v>7.0</v>
      </c>
      <c r="O193" s="2" t="s">
        <v>496</v>
      </c>
      <c r="P193" s="2" t="s">
        <v>166</v>
      </c>
      <c r="Q193" s="2"/>
      <c r="R193" s="2" t="s">
        <v>434</v>
      </c>
      <c r="S193" s="11">
        <v>42188.78759259259</v>
      </c>
    </row>
    <row r="194" ht="12.75" customHeight="1">
      <c r="A194" s="2"/>
      <c r="B194" s="2">
        <v>1.0</v>
      </c>
      <c r="C194" s="2" t="s">
        <v>497</v>
      </c>
      <c r="D194" s="2">
        <v>3.20052386E8</v>
      </c>
      <c r="E194" s="2">
        <v>2.000003931E9</v>
      </c>
      <c r="F194" s="2">
        <v>5466.0</v>
      </c>
      <c r="G194" s="2">
        <v>1.0</v>
      </c>
      <c r="H194" s="2">
        <v>106800.0</v>
      </c>
      <c r="I194" s="2">
        <v>445000.0</v>
      </c>
      <c r="J194" s="2">
        <v>1.0</v>
      </c>
      <c r="K194" s="2">
        <v>7.0</v>
      </c>
      <c r="O194" s="2" t="s">
        <v>498</v>
      </c>
      <c r="P194" s="2" t="s">
        <v>166</v>
      </c>
      <c r="Q194" s="2"/>
      <c r="R194" s="2" t="s">
        <v>434</v>
      </c>
      <c r="S194" s="11">
        <v>42188.787523148145</v>
      </c>
    </row>
    <row r="195" ht="12.75" customHeight="1">
      <c r="A195" s="2"/>
      <c r="B195" s="2">
        <v>1.0</v>
      </c>
      <c r="C195" s="2" t="s">
        <v>499</v>
      </c>
      <c r="D195" s="2">
        <v>3.20052389E8</v>
      </c>
      <c r="E195" s="2">
        <v>2.000003931E9</v>
      </c>
      <c r="F195" s="2">
        <v>8504.0</v>
      </c>
      <c r="G195" s="2">
        <v>10.0</v>
      </c>
      <c r="H195" s="2">
        <v>540000.0</v>
      </c>
      <c r="I195" s="2">
        <v>2250000.0</v>
      </c>
      <c r="J195" s="2">
        <v>1.0</v>
      </c>
      <c r="K195" s="2">
        <v>7.0</v>
      </c>
      <c r="O195" s="2" t="s">
        <v>500</v>
      </c>
      <c r="P195" s="2" t="s">
        <v>166</v>
      </c>
      <c r="Q195" s="2"/>
      <c r="R195" s="2" t="s">
        <v>434</v>
      </c>
      <c r="S195" s="11">
        <v>42188.78755787037</v>
      </c>
    </row>
    <row r="196" ht="12.75" customHeight="1">
      <c r="A196" s="2"/>
      <c r="B196" s="2">
        <v>1.0</v>
      </c>
      <c r="C196" s="2" t="s">
        <v>501</v>
      </c>
      <c r="D196" s="2">
        <v>3.20052387E8</v>
      </c>
      <c r="E196" s="2">
        <v>2.000003931E9</v>
      </c>
      <c r="F196" s="2">
        <v>8506.0</v>
      </c>
      <c r="G196" s="2">
        <v>9.0</v>
      </c>
      <c r="H196" s="2">
        <v>680400.0</v>
      </c>
      <c r="I196" s="2">
        <v>2835000.0</v>
      </c>
      <c r="J196" s="2">
        <v>1.0</v>
      </c>
      <c r="K196" s="2">
        <v>7.0</v>
      </c>
      <c r="O196" s="2" t="s">
        <v>502</v>
      </c>
      <c r="P196" s="2" t="s">
        <v>166</v>
      </c>
      <c r="Q196" s="2"/>
      <c r="R196" s="2" t="s">
        <v>434</v>
      </c>
      <c r="S196" s="11">
        <v>42188.787523148145</v>
      </c>
    </row>
    <row r="197" ht="12.75" customHeight="1">
      <c r="A197" s="2"/>
      <c r="B197" s="2">
        <v>1.0</v>
      </c>
      <c r="C197" s="2" t="s">
        <v>503</v>
      </c>
      <c r="D197" s="2">
        <v>3.20052388E8</v>
      </c>
      <c r="E197" s="2">
        <v>2.000003931E9</v>
      </c>
      <c r="F197" s="2">
        <v>8508.0</v>
      </c>
      <c r="G197" s="2">
        <v>8.0</v>
      </c>
      <c r="H197" s="2">
        <v>662400.0</v>
      </c>
      <c r="I197" s="2">
        <v>2760000.0</v>
      </c>
      <c r="J197" s="2">
        <v>1.0</v>
      </c>
      <c r="K197" s="2">
        <v>7.0</v>
      </c>
      <c r="O197" s="2" t="s">
        <v>504</v>
      </c>
      <c r="P197" s="2" t="s">
        <v>166</v>
      </c>
      <c r="Q197" s="2"/>
      <c r="R197" s="2" t="s">
        <v>434</v>
      </c>
      <c r="S197" s="11">
        <v>42188.78755787037</v>
      </c>
    </row>
    <row r="198" ht="12.75" customHeight="1">
      <c r="A198" s="2"/>
      <c r="B198" s="2">
        <v>1.0</v>
      </c>
      <c r="C198" s="2" t="s">
        <v>505</v>
      </c>
      <c r="D198" s="2">
        <v>3.20052405E8</v>
      </c>
      <c r="E198" s="2">
        <v>2.000003931E9</v>
      </c>
      <c r="F198" s="2">
        <v>8518.0</v>
      </c>
      <c r="G198" s="2">
        <v>2.0</v>
      </c>
      <c r="H198" s="2">
        <v>160800.0</v>
      </c>
      <c r="I198" s="2">
        <v>670000.0</v>
      </c>
      <c r="J198" s="2">
        <v>1.0</v>
      </c>
      <c r="K198" s="2">
        <v>7.0</v>
      </c>
      <c r="O198" s="2" t="s">
        <v>506</v>
      </c>
      <c r="P198" s="2" t="s">
        <v>166</v>
      </c>
      <c r="Q198" s="2"/>
      <c r="R198" s="2" t="s">
        <v>434</v>
      </c>
      <c r="S198" s="11">
        <v>42188.78758101852</v>
      </c>
    </row>
    <row r="199" ht="12.75" customHeight="1">
      <c r="A199" s="2"/>
      <c r="B199" s="2">
        <v>1.0</v>
      </c>
      <c r="C199" s="2" t="s">
        <v>507</v>
      </c>
      <c r="D199" s="2">
        <v>3.20052401E8</v>
      </c>
      <c r="E199" s="2">
        <v>2.000003931E9</v>
      </c>
      <c r="F199" s="2">
        <v>8519.0</v>
      </c>
      <c r="G199" s="2">
        <v>8.0</v>
      </c>
      <c r="H199" s="2">
        <v>758400.0</v>
      </c>
      <c r="I199" s="2">
        <v>3160000.0</v>
      </c>
      <c r="J199" s="2">
        <v>1.0</v>
      </c>
      <c r="K199" s="2">
        <v>7.0</v>
      </c>
      <c r="O199" s="2" t="s">
        <v>508</v>
      </c>
      <c r="P199" s="2" t="s">
        <v>166</v>
      </c>
      <c r="Q199" s="2"/>
      <c r="R199" s="2" t="s">
        <v>434</v>
      </c>
      <c r="S199" s="11">
        <v>42188.78758101852</v>
      </c>
    </row>
    <row r="200" ht="12.75" customHeight="1">
      <c r="A200" s="2"/>
      <c r="B200" s="2">
        <v>1.0</v>
      </c>
      <c r="C200" s="2" t="s">
        <v>509</v>
      </c>
      <c r="D200" s="2">
        <v>3.20052383E8</v>
      </c>
      <c r="E200" s="2">
        <v>2.000003931E9</v>
      </c>
      <c r="F200" s="2">
        <v>8540.0</v>
      </c>
      <c r="G200" s="2">
        <v>5.0</v>
      </c>
      <c r="H200" s="2">
        <v>330000.0</v>
      </c>
      <c r="I200" s="2">
        <v>1375000.0</v>
      </c>
      <c r="J200" s="2">
        <v>1.0</v>
      </c>
      <c r="K200" s="2">
        <v>7.0</v>
      </c>
      <c r="O200" s="2" t="s">
        <v>510</v>
      </c>
      <c r="P200" s="2" t="s">
        <v>166</v>
      </c>
      <c r="Q200" s="2"/>
      <c r="R200" s="2" t="s">
        <v>434</v>
      </c>
      <c r="S200" s="11">
        <v>42188.787511574075</v>
      </c>
    </row>
    <row r="201" ht="12.75" customHeight="1">
      <c r="A201" s="2"/>
      <c r="B201" s="2">
        <v>1.0</v>
      </c>
      <c r="C201" s="2" t="s">
        <v>511</v>
      </c>
      <c r="D201" s="2">
        <v>3.20052397E8</v>
      </c>
      <c r="E201" s="2">
        <v>2.000003931E9</v>
      </c>
      <c r="F201" s="2">
        <v>8544.0</v>
      </c>
      <c r="G201" s="2">
        <v>5.0</v>
      </c>
      <c r="H201" s="2">
        <v>438000.0</v>
      </c>
      <c r="I201" s="2">
        <v>1825000.0</v>
      </c>
      <c r="J201" s="2">
        <v>1.0</v>
      </c>
      <c r="K201" s="2">
        <v>7.0</v>
      </c>
      <c r="O201" s="2" t="s">
        <v>512</v>
      </c>
      <c r="P201" s="2" t="s">
        <v>166</v>
      </c>
      <c r="Q201" s="2"/>
      <c r="R201" s="2" t="s">
        <v>434</v>
      </c>
      <c r="S201" s="11">
        <v>42188.78755787037</v>
      </c>
    </row>
    <row r="202" ht="12.75" customHeight="1">
      <c r="A202" s="2"/>
      <c r="B202" s="2">
        <v>1.0</v>
      </c>
      <c r="C202" s="2" t="s">
        <v>513</v>
      </c>
      <c r="D202" s="2">
        <v>3.20052394E8</v>
      </c>
      <c r="E202" s="2">
        <v>2.000003931E9</v>
      </c>
      <c r="F202" s="2">
        <v>8596.0</v>
      </c>
      <c r="G202" s="2">
        <v>1.0</v>
      </c>
      <c r="H202" s="2">
        <v>93600.0</v>
      </c>
      <c r="I202" s="2">
        <v>390000.0</v>
      </c>
      <c r="J202" s="2">
        <v>1.0</v>
      </c>
      <c r="K202" s="2">
        <v>7.0</v>
      </c>
      <c r="O202" s="2" t="s">
        <v>514</v>
      </c>
      <c r="P202" s="2" t="s">
        <v>166</v>
      </c>
      <c r="Q202" s="2"/>
      <c r="R202" s="2" t="s">
        <v>434</v>
      </c>
      <c r="S202" s="11">
        <v>42188.78755787037</v>
      </c>
    </row>
    <row r="203" ht="12.75" customHeight="1">
      <c r="A203" s="2"/>
      <c r="B203" s="2">
        <v>1.0</v>
      </c>
      <c r="C203" s="2" t="s">
        <v>515</v>
      </c>
      <c r="D203" s="2">
        <v>3.20052416E8</v>
      </c>
      <c r="E203" s="2">
        <v>2.000003931E9</v>
      </c>
      <c r="F203" s="2">
        <v>9736.0</v>
      </c>
      <c r="G203" s="2">
        <v>1.0</v>
      </c>
      <c r="H203" s="2">
        <v>89040.0</v>
      </c>
      <c r="I203" s="2">
        <v>371000.0</v>
      </c>
      <c r="J203" s="2">
        <v>1.0</v>
      </c>
      <c r="K203" s="2">
        <v>7.0</v>
      </c>
      <c r="O203" s="2" t="s">
        <v>516</v>
      </c>
      <c r="P203" s="2" t="s">
        <v>166</v>
      </c>
      <c r="Q203" s="2"/>
      <c r="R203" s="2" t="s">
        <v>434</v>
      </c>
      <c r="S203" s="11">
        <v>42188.78759259259</v>
      </c>
    </row>
    <row r="204" ht="12.75" customHeight="1">
      <c r="A204" s="2"/>
      <c r="B204" s="2">
        <v>1.0</v>
      </c>
      <c r="C204" s="2" t="s">
        <v>517</v>
      </c>
      <c r="D204" s="2">
        <v>3.20052419E8</v>
      </c>
      <c r="E204" s="2">
        <v>2.000003932E9</v>
      </c>
      <c r="F204" s="2">
        <v>13814.0</v>
      </c>
      <c r="G204" s="2">
        <v>1.0</v>
      </c>
      <c r="H204" s="2">
        <v>0.0</v>
      </c>
      <c r="I204" s="2">
        <v>195000.0</v>
      </c>
      <c r="J204" s="2">
        <v>1.0</v>
      </c>
      <c r="K204" s="2">
        <v>7.0</v>
      </c>
      <c r="O204" s="2" t="s">
        <v>486</v>
      </c>
      <c r="P204" s="2" t="s">
        <v>166</v>
      </c>
      <c r="Q204" s="2"/>
      <c r="R204" s="2" t="s">
        <v>434</v>
      </c>
      <c r="S204" s="11">
        <v>42188.78760416667</v>
      </c>
    </row>
    <row r="205" ht="12.75" customHeight="1">
      <c r="A205" s="2"/>
      <c r="B205" s="2">
        <v>1.0</v>
      </c>
      <c r="C205" s="2" t="s">
        <v>518</v>
      </c>
      <c r="D205" s="2">
        <v>3.20052429E8</v>
      </c>
      <c r="E205" s="2">
        <v>2.000003933E9</v>
      </c>
      <c r="F205" s="2">
        <v>3243.0</v>
      </c>
      <c r="G205" s="2">
        <v>1.0</v>
      </c>
      <c r="H205" s="2">
        <v>59000.0</v>
      </c>
      <c r="I205" s="2">
        <v>295000.0</v>
      </c>
      <c r="J205" s="2">
        <v>1.0</v>
      </c>
      <c r="K205" s="2">
        <v>7.0</v>
      </c>
      <c r="O205" s="2" t="s">
        <v>519</v>
      </c>
      <c r="P205" s="2" t="s">
        <v>166</v>
      </c>
      <c r="Q205" s="2"/>
      <c r="R205" s="2" t="s">
        <v>434</v>
      </c>
      <c r="S205" s="11">
        <v>42188.78766203704</v>
      </c>
    </row>
    <row r="206" ht="12.75" customHeight="1">
      <c r="A206" s="2"/>
      <c r="B206" s="2">
        <v>1.0</v>
      </c>
      <c r="C206" s="2" t="s">
        <v>520</v>
      </c>
      <c r="D206" s="2">
        <v>3.20052434E8</v>
      </c>
      <c r="E206" s="2">
        <v>2.000003933E9</v>
      </c>
      <c r="F206" s="2">
        <v>6329.0</v>
      </c>
      <c r="G206" s="2">
        <v>1.0</v>
      </c>
      <c r="H206" s="2">
        <v>60000.0</v>
      </c>
      <c r="I206" s="2">
        <v>300000.0</v>
      </c>
      <c r="J206" s="2">
        <v>1.0</v>
      </c>
      <c r="K206" s="2">
        <v>7.0</v>
      </c>
      <c r="O206" s="2" t="s">
        <v>521</v>
      </c>
      <c r="P206" s="2" t="s">
        <v>166</v>
      </c>
      <c r="Q206" s="2"/>
      <c r="R206" s="2" t="s">
        <v>434</v>
      </c>
      <c r="S206" s="11">
        <v>42188.787673611114</v>
      </c>
    </row>
    <row r="207" ht="12.75" customHeight="1">
      <c r="A207" s="2"/>
      <c r="B207" s="2">
        <v>1.0</v>
      </c>
      <c r="C207" s="2" t="s">
        <v>522</v>
      </c>
      <c r="D207" s="2">
        <v>3.20052436E8</v>
      </c>
      <c r="E207" s="2">
        <v>2.000003933E9</v>
      </c>
      <c r="F207" s="2">
        <v>13681.0</v>
      </c>
      <c r="G207" s="2">
        <v>1.0</v>
      </c>
      <c r="H207" s="2">
        <v>43000.0</v>
      </c>
      <c r="I207" s="2">
        <v>215000.0</v>
      </c>
      <c r="J207" s="2">
        <v>1.0</v>
      </c>
      <c r="K207" s="2">
        <v>7.0</v>
      </c>
      <c r="O207" s="2" t="s">
        <v>523</v>
      </c>
      <c r="P207" s="2" t="s">
        <v>166</v>
      </c>
      <c r="Q207" s="2"/>
      <c r="R207" s="2" t="s">
        <v>434</v>
      </c>
      <c r="S207" s="11">
        <v>42188.787673611114</v>
      </c>
    </row>
    <row r="208" ht="12.75" customHeight="1">
      <c r="A208" s="2"/>
      <c r="B208" s="2">
        <v>1.0</v>
      </c>
      <c r="C208" s="2" t="s">
        <v>524</v>
      </c>
      <c r="D208" s="2">
        <v>3.20052439E8</v>
      </c>
      <c r="E208" s="2">
        <v>2.000003933E9</v>
      </c>
      <c r="F208" s="2">
        <v>15679.0</v>
      </c>
      <c r="G208" s="2">
        <v>1.0</v>
      </c>
      <c r="H208" s="2">
        <v>25000.0</v>
      </c>
      <c r="I208" s="2">
        <v>125000.0</v>
      </c>
      <c r="J208" s="2">
        <v>1.0</v>
      </c>
      <c r="K208" s="2">
        <v>7.0</v>
      </c>
      <c r="O208" s="2" t="s">
        <v>525</v>
      </c>
      <c r="P208" s="2" t="s">
        <v>166</v>
      </c>
      <c r="Q208" s="2"/>
      <c r="R208" s="2" t="s">
        <v>434</v>
      </c>
      <c r="S208" s="11">
        <v>42188.787673611114</v>
      </c>
    </row>
    <row r="209" ht="12.75" customHeight="1">
      <c r="A209" s="2"/>
      <c r="B209" s="2">
        <v>1.0</v>
      </c>
      <c r="C209" s="2" t="s">
        <v>526</v>
      </c>
      <c r="D209" s="2">
        <v>3.20052427E8</v>
      </c>
      <c r="E209" s="2">
        <v>2.000003934E9</v>
      </c>
      <c r="F209" s="2">
        <v>8599.0</v>
      </c>
      <c r="G209" s="2">
        <v>-1.0</v>
      </c>
      <c r="H209" s="2">
        <v>0.0</v>
      </c>
      <c r="I209" s="2">
        <v>-450000.0</v>
      </c>
      <c r="J209" s="2">
        <v>1.0</v>
      </c>
      <c r="K209" s="2">
        <v>7.0</v>
      </c>
      <c r="O209" s="2" t="s">
        <v>527</v>
      </c>
      <c r="P209" s="2" t="s">
        <v>166</v>
      </c>
      <c r="Q209" s="2"/>
      <c r="R209" s="2" t="s">
        <v>434</v>
      </c>
      <c r="S209" s="11">
        <v>42188.787627314814</v>
      </c>
    </row>
    <row r="210" ht="12.75" customHeight="1">
      <c r="A210" s="2"/>
      <c r="B210" s="2">
        <v>1.0</v>
      </c>
      <c r="C210" s="2" t="s">
        <v>528</v>
      </c>
      <c r="D210" s="2">
        <v>3.20052422E8</v>
      </c>
      <c r="E210" s="2">
        <v>2.000003934E9</v>
      </c>
      <c r="F210" s="2">
        <v>14436.0</v>
      </c>
      <c r="G210" s="2">
        <v>1.0</v>
      </c>
      <c r="H210" s="2">
        <v>0.0</v>
      </c>
      <c r="I210" s="2">
        <v>430000.0</v>
      </c>
      <c r="J210" s="2">
        <v>1.0</v>
      </c>
      <c r="K210" s="2">
        <v>7.0</v>
      </c>
      <c r="O210" s="2" t="s">
        <v>529</v>
      </c>
      <c r="P210" s="2" t="s">
        <v>166</v>
      </c>
      <c r="Q210" s="2"/>
      <c r="R210" s="2" t="s">
        <v>434</v>
      </c>
      <c r="S210" s="11">
        <v>42188.787627314814</v>
      </c>
    </row>
    <row r="211" ht="12.75" customHeight="1">
      <c r="A211" s="2"/>
      <c r="B211" s="2">
        <v>1.0</v>
      </c>
      <c r="C211" s="2" t="s">
        <v>530</v>
      </c>
      <c r="D211" s="2">
        <v>3.20052441E8</v>
      </c>
      <c r="E211" s="2">
        <v>2.000003935E9</v>
      </c>
      <c r="F211" s="2">
        <v>8528.0</v>
      </c>
      <c r="G211" s="2">
        <v>10.0</v>
      </c>
      <c r="H211" s="2">
        <v>110000.0</v>
      </c>
      <c r="I211" s="2">
        <v>550000.0</v>
      </c>
      <c r="J211" s="2">
        <v>1.0</v>
      </c>
      <c r="K211" s="2">
        <v>7.0</v>
      </c>
      <c r="O211" s="2" t="s">
        <v>531</v>
      </c>
      <c r="P211" s="2" t="s">
        <v>166</v>
      </c>
      <c r="Q211" s="2"/>
      <c r="R211" s="2" t="s">
        <v>434</v>
      </c>
      <c r="S211" s="11">
        <v>42188.78768518518</v>
      </c>
    </row>
    <row r="212" ht="12.75" customHeight="1">
      <c r="A212" s="2"/>
      <c r="B212" s="2">
        <v>1.0</v>
      </c>
      <c r="C212" s="2" t="s">
        <v>532</v>
      </c>
      <c r="D212" s="2">
        <v>3.20052445E8</v>
      </c>
      <c r="E212" s="2">
        <v>2.000003936E9</v>
      </c>
      <c r="F212" s="2">
        <v>5310.0</v>
      </c>
      <c r="G212" s="2">
        <v>1.0</v>
      </c>
      <c r="H212" s="2">
        <v>71000.0</v>
      </c>
      <c r="I212" s="2">
        <v>355000.0</v>
      </c>
      <c r="J212" s="2">
        <v>1.0</v>
      </c>
      <c r="K212" s="2">
        <v>7.0</v>
      </c>
      <c r="O212" s="2" t="s">
        <v>533</v>
      </c>
      <c r="P212" s="2" t="s">
        <v>166</v>
      </c>
      <c r="Q212" s="2"/>
      <c r="R212" s="2" t="s">
        <v>434</v>
      </c>
      <c r="S212" s="11">
        <v>42188.78769675926</v>
      </c>
    </row>
    <row r="213" ht="12.75" customHeight="1">
      <c r="A213" s="2"/>
      <c r="B213" s="2">
        <v>1.0</v>
      </c>
      <c r="C213" s="2" t="s">
        <v>534</v>
      </c>
      <c r="D213" s="2">
        <v>3.20052447E8</v>
      </c>
      <c r="E213" s="2">
        <v>2.000003937E9</v>
      </c>
      <c r="F213" s="2">
        <v>8509.0</v>
      </c>
      <c r="G213" s="2">
        <v>2.0</v>
      </c>
      <c r="H213" s="2">
        <v>150000.0</v>
      </c>
      <c r="I213" s="2">
        <v>750000.0</v>
      </c>
      <c r="J213" s="2">
        <v>1.0</v>
      </c>
      <c r="K213" s="2">
        <v>7.0</v>
      </c>
      <c r="O213" s="2" t="s">
        <v>484</v>
      </c>
      <c r="P213" s="2" t="s">
        <v>166</v>
      </c>
      <c r="Q213" s="2"/>
      <c r="R213" s="2" t="s">
        <v>434</v>
      </c>
      <c r="S213" s="11">
        <v>42188.78769675926</v>
      </c>
    </row>
    <row r="214" ht="12.75" customHeight="1">
      <c r="A214" s="2"/>
      <c r="B214" s="2">
        <v>1.0</v>
      </c>
      <c r="C214" s="2" t="s">
        <v>535</v>
      </c>
      <c r="D214" s="2">
        <v>3.20052451E8</v>
      </c>
      <c r="E214" s="2">
        <v>2.000003937E9</v>
      </c>
      <c r="F214" s="2">
        <v>8528.0</v>
      </c>
      <c r="G214" s="2">
        <v>2.0</v>
      </c>
      <c r="H214" s="2">
        <v>22000.0</v>
      </c>
      <c r="I214" s="2">
        <v>110000.0</v>
      </c>
      <c r="J214" s="2">
        <v>1.0</v>
      </c>
      <c r="K214" s="2">
        <v>7.0</v>
      </c>
      <c r="O214" s="2" t="s">
        <v>531</v>
      </c>
      <c r="P214" s="2" t="s">
        <v>166</v>
      </c>
      <c r="Q214" s="2"/>
      <c r="R214" s="2" t="s">
        <v>434</v>
      </c>
      <c r="S214" s="11">
        <v>42188.78770833334</v>
      </c>
    </row>
    <row r="215" ht="12.75" customHeight="1">
      <c r="A215" s="2"/>
      <c r="B215" s="2">
        <v>1.0</v>
      </c>
      <c r="C215" s="2" t="s">
        <v>536</v>
      </c>
      <c r="D215" s="2">
        <v>3.20052454E8</v>
      </c>
      <c r="E215" s="2">
        <v>2.000003938E9</v>
      </c>
      <c r="F215" s="2">
        <v>7005.0</v>
      </c>
      <c r="G215" s="2">
        <v>1.0</v>
      </c>
      <c r="H215" s="2">
        <v>70000.0</v>
      </c>
      <c r="I215" s="2">
        <v>350000.0</v>
      </c>
      <c r="J215" s="2">
        <v>1.0</v>
      </c>
      <c r="K215" s="2">
        <v>7.0</v>
      </c>
      <c r="O215" s="2" t="s">
        <v>537</v>
      </c>
      <c r="P215" s="2" t="s">
        <v>166</v>
      </c>
      <c r="Q215" s="2"/>
      <c r="R215" s="2" t="s">
        <v>434</v>
      </c>
      <c r="S215" s="11">
        <v>42188.78770833334</v>
      </c>
    </row>
    <row r="216" ht="12.75" customHeight="1">
      <c r="A216" s="2"/>
      <c r="B216" s="2">
        <v>1.0</v>
      </c>
      <c r="C216" s="2" t="s">
        <v>538</v>
      </c>
      <c r="D216" s="2">
        <v>3.20052457E8</v>
      </c>
      <c r="E216" s="2">
        <v>2.000003938E9</v>
      </c>
      <c r="F216" s="2">
        <v>7053.0</v>
      </c>
      <c r="G216" s="2">
        <v>2.0</v>
      </c>
      <c r="H216" s="2">
        <v>151200.0</v>
      </c>
      <c r="I216" s="2">
        <v>756000.0</v>
      </c>
      <c r="J216" s="2">
        <v>1.0</v>
      </c>
      <c r="K216" s="2">
        <v>7.0</v>
      </c>
      <c r="O216" s="2" t="s">
        <v>539</v>
      </c>
      <c r="P216" s="2" t="s">
        <v>166</v>
      </c>
      <c r="Q216" s="2"/>
      <c r="R216" s="2" t="s">
        <v>434</v>
      </c>
      <c r="S216" s="11">
        <v>42188.78770833334</v>
      </c>
    </row>
    <row r="217" ht="12.75" customHeight="1">
      <c r="A217" s="2"/>
      <c r="B217" s="2">
        <v>1.0</v>
      </c>
      <c r="C217" s="2" t="s">
        <v>540</v>
      </c>
      <c r="D217" s="2">
        <v>3.20052473E8</v>
      </c>
      <c r="E217" s="2">
        <v>2.000003939E9</v>
      </c>
      <c r="F217" s="2">
        <v>3846.0</v>
      </c>
      <c r="G217" s="2">
        <v>2.0</v>
      </c>
      <c r="H217" s="2">
        <v>720000.0</v>
      </c>
      <c r="I217" s="2">
        <v>3600000.0</v>
      </c>
      <c r="J217" s="2">
        <v>1.0</v>
      </c>
      <c r="K217" s="2">
        <v>7.0</v>
      </c>
      <c r="O217" s="2" t="s">
        <v>541</v>
      </c>
      <c r="P217" s="2" t="s">
        <v>166</v>
      </c>
      <c r="Q217" s="2"/>
      <c r="R217" s="2" t="s">
        <v>434</v>
      </c>
      <c r="S217" s="11">
        <v>42188.78773148148</v>
      </c>
    </row>
    <row r="218" ht="12.75" customHeight="1">
      <c r="A218" s="2"/>
      <c r="B218" s="2">
        <v>1.0</v>
      </c>
      <c r="C218" s="2" t="s">
        <v>542</v>
      </c>
      <c r="D218" s="2">
        <v>3.20052482E8</v>
      </c>
      <c r="E218" s="2">
        <v>2.000003939E9</v>
      </c>
      <c r="F218" s="2">
        <v>5305.0</v>
      </c>
      <c r="G218" s="2">
        <v>2.0</v>
      </c>
      <c r="H218" s="2">
        <v>136000.0</v>
      </c>
      <c r="I218" s="2">
        <v>680000.0</v>
      </c>
      <c r="J218" s="2">
        <v>1.0</v>
      </c>
      <c r="K218" s="2">
        <v>7.0</v>
      </c>
      <c r="O218" s="2" t="s">
        <v>543</v>
      </c>
      <c r="P218" s="2" t="s">
        <v>166</v>
      </c>
      <c r="Q218" s="2"/>
      <c r="R218" s="2" t="s">
        <v>434</v>
      </c>
      <c r="S218" s="11">
        <v>42188.78778935185</v>
      </c>
    </row>
    <row r="219" ht="12.75" customHeight="1">
      <c r="A219" s="2"/>
      <c r="B219" s="2">
        <v>1.0</v>
      </c>
      <c r="C219" s="2" t="s">
        <v>544</v>
      </c>
      <c r="D219" s="2">
        <v>3.20052478E8</v>
      </c>
      <c r="E219" s="2">
        <v>2.000003939E9</v>
      </c>
      <c r="F219" s="2">
        <v>5447.0</v>
      </c>
      <c r="G219" s="2">
        <v>1.0</v>
      </c>
      <c r="H219" s="2">
        <v>352000.0</v>
      </c>
      <c r="I219" s="2">
        <v>1760000.0</v>
      </c>
      <c r="J219" s="2">
        <v>1.0</v>
      </c>
      <c r="K219" s="2">
        <v>7.0</v>
      </c>
      <c r="O219" s="2" t="s">
        <v>545</v>
      </c>
      <c r="P219" s="2" t="s">
        <v>166</v>
      </c>
      <c r="Q219" s="2"/>
      <c r="R219" s="2" t="s">
        <v>434</v>
      </c>
      <c r="S219" s="11">
        <v>42188.787777777776</v>
      </c>
    </row>
    <row r="220" ht="12.75" customHeight="1">
      <c r="A220" s="2"/>
      <c r="B220" s="2">
        <v>1.0</v>
      </c>
      <c r="C220" s="2" t="s">
        <v>546</v>
      </c>
      <c r="D220" s="2">
        <v>3.20052481E8</v>
      </c>
      <c r="E220" s="2">
        <v>2.000003939E9</v>
      </c>
      <c r="F220" s="2">
        <v>5449.0</v>
      </c>
      <c r="G220" s="2">
        <v>1.0</v>
      </c>
      <c r="H220" s="2">
        <v>88000.0</v>
      </c>
      <c r="I220" s="2">
        <v>440000.0</v>
      </c>
      <c r="J220" s="2">
        <v>1.0</v>
      </c>
      <c r="K220" s="2">
        <v>7.0</v>
      </c>
      <c r="O220" s="2" t="s">
        <v>547</v>
      </c>
      <c r="P220" s="2" t="s">
        <v>166</v>
      </c>
      <c r="Q220" s="2"/>
      <c r="R220" s="2" t="s">
        <v>434</v>
      </c>
      <c r="S220" s="11">
        <v>42188.78778935185</v>
      </c>
    </row>
    <row r="221" ht="12.75" customHeight="1">
      <c r="A221" s="2"/>
      <c r="B221" s="2">
        <v>1.0</v>
      </c>
      <c r="C221" s="2" t="s">
        <v>548</v>
      </c>
      <c r="D221" s="2">
        <v>3.20052487E8</v>
      </c>
      <c r="E221" s="2">
        <v>2.000003939E9</v>
      </c>
      <c r="F221" s="2">
        <v>6312.0</v>
      </c>
      <c r="G221" s="2">
        <v>1.0</v>
      </c>
      <c r="H221" s="2">
        <v>8000.0</v>
      </c>
      <c r="I221" s="2">
        <v>40000.0</v>
      </c>
      <c r="J221" s="2">
        <v>1.0</v>
      </c>
      <c r="K221" s="2">
        <v>7.0</v>
      </c>
      <c r="O221" s="2" t="s">
        <v>264</v>
      </c>
      <c r="P221" s="2" t="s">
        <v>166</v>
      </c>
      <c r="Q221" s="2"/>
      <c r="R221" s="2" t="s">
        <v>434</v>
      </c>
      <c r="S221" s="11">
        <v>42188.78778935185</v>
      </c>
    </row>
    <row r="222" ht="12.75" customHeight="1">
      <c r="A222" s="2"/>
      <c r="B222" s="2">
        <v>1.0</v>
      </c>
      <c r="C222" s="2" t="s">
        <v>549</v>
      </c>
      <c r="D222" s="2">
        <v>3.20052472E8</v>
      </c>
      <c r="E222" s="2">
        <v>2.000003939E9</v>
      </c>
      <c r="F222" s="2">
        <v>6990.0</v>
      </c>
      <c r="G222" s="2">
        <v>1.0</v>
      </c>
      <c r="H222" s="2">
        <v>79000.0</v>
      </c>
      <c r="I222" s="2">
        <v>395000.0</v>
      </c>
      <c r="J222" s="2">
        <v>1.0</v>
      </c>
      <c r="K222" s="2">
        <v>7.0</v>
      </c>
      <c r="O222" s="2" t="s">
        <v>550</v>
      </c>
      <c r="P222" s="2" t="s">
        <v>166</v>
      </c>
      <c r="Q222" s="2"/>
      <c r="R222" s="2" t="s">
        <v>434</v>
      </c>
      <c r="S222" s="11">
        <v>42188.78773148148</v>
      </c>
    </row>
    <row r="223" ht="12.75" customHeight="1">
      <c r="A223" s="2"/>
      <c r="B223" s="2">
        <v>1.0</v>
      </c>
      <c r="C223" s="2" t="s">
        <v>551</v>
      </c>
      <c r="D223" s="2">
        <v>3.20052462E8</v>
      </c>
      <c r="E223" s="2">
        <v>2.000003939E9</v>
      </c>
      <c r="F223" s="2">
        <v>8520.0</v>
      </c>
      <c r="G223" s="2">
        <v>2.0</v>
      </c>
      <c r="H223" s="2">
        <v>174000.0</v>
      </c>
      <c r="I223" s="2">
        <v>870000.0</v>
      </c>
      <c r="J223" s="2">
        <v>1.0</v>
      </c>
      <c r="K223" s="2">
        <v>7.0</v>
      </c>
      <c r="O223" s="2" t="s">
        <v>552</v>
      </c>
      <c r="P223" s="2" t="s">
        <v>166</v>
      </c>
      <c r="Q223" s="2"/>
      <c r="R223" s="2" t="s">
        <v>434</v>
      </c>
      <c r="S223" s="11">
        <v>42188.78771990741</v>
      </c>
    </row>
    <row r="224" ht="12.75" customHeight="1">
      <c r="A224" s="2"/>
      <c r="B224" s="2">
        <v>1.0</v>
      </c>
      <c r="C224" s="2" t="s">
        <v>553</v>
      </c>
      <c r="D224" s="2">
        <v>3.20052459E8</v>
      </c>
      <c r="E224" s="2">
        <v>2.000003939E9</v>
      </c>
      <c r="F224" s="2">
        <v>8521.0</v>
      </c>
      <c r="G224" s="2">
        <v>1.0</v>
      </c>
      <c r="H224" s="2">
        <v>95000.0</v>
      </c>
      <c r="I224" s="2">
        <v>475000.0</v>
      </c>
      <c r="J224" s="2">
        <v>1.0</v>
      </c>
      <c r="K224" s="2">
        <v>7.0</v>
      </c>
      <c r="O224" s="2" t="s">
        <v>554</v>
      </c>
      <c r="P224" s="2" t="s">
        <v>166</v>
      </c>
      <c r="Q224" s="2"/>
      <c r="R224" s="2" t="s">
        <v>434</v>
      </c>
      <c r="S224" s="11">
        <v>42188.78770833334</v>
      </c>
    </row>
    <row r="225" ht="12.75" customHeight="1">
      <c r="A225" s="2"/>
      <c r="B225" s="2">
        <v>1.0</v>
      </c>
      <c r="C225" s="2" t="s">
        <v>555</v>
      </c>
      <c r="D225" s="2">
        <v>3.20052466E8</v>
      </c>
      <c r="E225" s="2">
        <v>2.000003939E9</v>
      </c>
      <c r="F225" s="2">
        <v>8528.0</v>
      </c>
      <c r="G225" s="2">
        <v>2.0</v>
      </c>
      <c r="H225" s="2">
        <v>22000.0</v>
      </c>
      <c r="I225" s="2">
        <v>110000.0</v>
      </c>
      <c r="J225" s="2">
        <v>1.0</v>
      </c>
      <c r="K225" s="2">
        <v>7.0</v>
      </c>
      <c r="O225" s="2" t="s">
        <v>531</v>
      </c>
      <c r="P225" s="2" t="s">
        <v>166</v>
      </c>
      <c r="Q225" s="2"/>
      <c r="R225" s="2" t="s">
        <v>434</v>
      </c>
      <c r="S225" s="11">
        <v>42188.78771990741</v>
      </c>
    </row>
    <row r="226" ht="12.75" customHeight="1">
      <c r="A226" s="2"/>
      <c r="B226" s="2">
        <v>1.0</v>
      </c>
      <c r="C226" s="2" t="s">
        <v>556</v>
      </c>
      <c r="D226" s="2">
        <v>3.20052467E8</v>
      </c>
      <c r="E226" s="2">
        <v>2.000003939E9</v>
      </c>
      <c r="F226" s="2">
        <v>13041.0</v>
      </c>
      <c r="G226" s="2">
        <v>5.0</v>
      </c>
      <c r="H226" s="2">
        <v>39000.0</v>
      </c>
      <c r="I226" s="2">
        <v>195000.0</v>
      </c>
      <c r="J226" s="2">
        <v>1.0</v>
      </c>
      <c r="K226" s="2">
        <v>7.0</v>
      </c>
      <c r="O226" s="2" t="s">
        <v>476</v>
      </c>
      <c r="P226" s="2" t="s">
        <v>166</v>
      </c>
      <c r="Q226" s="2"/>
      <c r="R226" s="2" t="s">
        <v>434</v>
      </c>
      <c r="S226" s="11">
        <v>42188.78771990741</v>
      </c>
    </row>
    <row r="227" ht="12.75" customHeight="1">
      <c r="A227" s="2"/>
      <c r="B227" s="2">
        <v>1.0</v>
      </c>
      <c r="C227" s="2" t="s">
        <v>557</v>
      </c>
      <c r="D227" s="2">
        <v>3.20052493E8</v>
      </c>
      <c r="E227" s="2">
        <v>2.00000394E9</v>
      </c>
      <c r="F227" s="2">
        <v>1002.0</v>
      </c>
      <c r="G227" s="2">
        <v>1.0</v>
      </c>
      <c r="H227" s="2">
        <v>48000.0</v>
      </c>
      <c r="I227" s="2">
        <v>240000.0</v>
      </c>
      <c r="J227" s="2">
        <v>1.0</v>
      </c>
      <c r="K227" s="2">
        <v>7.0</v>
      </c>
      <c r="O227" s="2" t="s">
        <v>558</v>
      </c>
      <c r="P227" s="2" t="s">
        <v>166</v>
      </c>
      <c r="Q227" s="2"/>
      <c r="R227" s="2" t="s">
        <v>434</v>
      </c>
      <c r="S227" s="11">
        <v>42188.78780092593</v>
      </c>
    </row>
    <row r="228" ht="12.75" customHeight="1">
      <c r="A228" s="2"/>
      <c r="B228" s="2">
        <v>1.0</v>
      </c>
      <c r="C228" s="2" t="s">
        <v>559</v>
      </c>
      <c r="D228" s="2">
        <v>3.20052497E8</v>
      </c>
      <c r="E228" s="2">
        <v>2.00000394E9</v>
      </c>
      <c r="F228" s="2">
        <v>3148.0</v>
      </c>
      <c r="G228" s="2">
        <v>0.0</v>
      </c>
      <c r="H228" s="2">
        <v>0.0</v>
      </c>
      <c r="I228" s="2">
        <v>0.0</v>
      </c>
      <c r="J228" s="2">
        <v>1.0</v>
      </c>
      <c r="K228" s="2">
        <v>7.0</v>
      </c>
      <c r="O228" s="2" t="s">
        <v>560</v>
      </c>
      <c r="P228" s="2" t="s">
        <v>166</v>
      </c>
      <c r="Q228" s="2"/>
      <c r="R228" s="2" t="s">
        <v>434</v>
      </c>
      <c r="S228" s="11">
        <v>42188.78780092593</v>
      </c>
    </row>
    <row r="229" ht="12.75" customHeight="1">
      <c r="A229" s="2"/>
      <c r="B229" s="2">
        <v>1.0</v>
      </c>
      <c r="C229" s="2" t="s">
        <v>561</v>
      </c>
      <c r="D229" s="2">
        <v>3.2005249E8</v>
      </c>
      <c r="E229" s="2">
        <v>2.00000394E9</v>
      </c>
      <c r="F229" s="2">
        <v>5305.0</v>
      </c>
      <c r="G229" s="2">
        <v>2.0</v>
      </c>
      <c r="H229" s="2">
        <v>136000.0</v>
      </c>
      <c r="I229" s="2">
        <v>680000.0</v>
      </c>
      <c r="J229" s="2">
        <v>1.0</v>
      </c>
      <c r="K229" s="2">
        <v>7.0</v>
      </c>
      <c r="O229" s="2" t="s">
        <v>543</v>
      </c>
      <c r="P229" s="2" t="s">
        <v>166</v>
      </c>
      <c r="Q229" s="2"/>
      <c r="R229" s="2" t="s">
        <v>434</v>
      </c>
      <c r="S229" s="11">
        <v>42188.78778935185</v>
      </c>
    </row>
    <row r="230" ht="12.75" customHeight="1">
      <c r="A230" s="2"/>
      <c r="B230" s="2">
        <v>1.0</v>
      </c>
      <c r="C230" s="2" t="s">
        <v>562</v>
      </c>
      <c r="D230" s="2">
        <v>3.2005251E8</v>
      </c>
      <c r="E230" s="2">
        <v>2.00000394E9</v>
      </c>
      <c r="F230" s="2">
        <v>5326.0</v>
      </c>
      <c r="G230" s="2">
        <v>1.0</v>
      </c>
      <c r="H230" s="2">
        <v>67000.0</v>
      </c>
      <c r="I230" s="2">
        <v>335000.0</v>
      </c>
      <c r="J230" s="2">
        <v>1.0</v>
      </c>
      <c r="K230" s="2">
        <v>7.0</v>
      </c>
      <c r="O230" s="2" t="s">
        <v>563</v>
      </c>
      <c r="P230" s="2" t="s">
        <v>166</v>
      </c>
      <c r="Q230" s="2"/>
      <c r="R230" s="2" t="s">
        <v>434</v>
      </c>
      <c r="S230" s="11">
        <v>42188.78780092593</v>
      </c>
    </row>
    <row r="231" ht="12.75" customHeight="1">
      <c r="A231" s="2"/>
      <c r="B231" s="2">
        <v>1.0</v>
      </c>
      <c r="C231" s="2" t="s">
        <v>564</v>
      </c>
      <c r="D231" s="2">
        <v>3.20052503E8</v>
      </c>
      <c r="E231" s="2">
        <v>2.00000394E9</v>
      </c>
      <c r="F231" s="2">
        <v>6316.0</v>
      </c>
      <c r="G231" s="2">
        <v>1.0</v>
      </c>
      <c r="H231" s="2">
        <v>6000.0</v>
      </c>
      <c r="I231" s="2">
        <v>30000.0</v>
      </c>
      <c r="J231" s="2">
        <v>1.0</v>
      </c>
      <c r="K231" s="2">
        <v>7.0</v>
      </c>
      <c r="O231" s="2" t="s">
        <v>266</v>
      </c>
      <c r="P231" s="2" t="s">
        <v>166</v>
      </c>
      <c r="Q231" s="2"/>
      <c r="R231" s="2" t="s">
        <v>434</v>
      </c>
      <c r="S231" s="11">
        <v>42188.78780092593</v>
      </c>
    </row>
    <row r="232" ht="12.75" customHeight="1">
      <c r="A232" s="2"/>
      <c r="B232" s="2">
        <v>1.0</v>
      </c>
      <c r="C232" s="2" t="s">
        <v>565</v>
      </c>
      <c r="D232" s="2">
        <v>3.20052506E8</v>
      </c>
      <c r="E232" s="2">
        <v>2.00000394E9</v>
      </c>
      <c r="F232" s="2">
        <v>6402.0</v>
      </c>
      <c r="G232" s="2">
        <v>1.0</v>
      </c>
      <c r="H232" s="2">
        <v>15800.0</v>
      </c>
      <c r="I232" s="2">
        <v>79000.0</v>
      </c>
      <c r="J232" s="2">
        <v>1.0</v>
      </c>
      <c r="K232" s="2">
        <v>7.0</v>
      </c>
      <c r="O232" s="2" t="s">
        <v>453</v>
      </c>
      <c r="P232" s="2" t="s">
        <v>166</v>
      </c>
      <c r="Q232" s="2"/>
      <c r="R232" s="2" t="s">
        <v>434</v>
      </c>
      <c r="S232" s="11">
        <v>42188.78780092593</v>
      </c>
    </row>
    <row r="233" ht="12.75" customHeight="1">
      <c r="A233" s="2"/>
      <c r="B233" s="2">
        <v>1.0</v>
      </c>
      <c r="C233" s="2" t="s">
        <v>566</v>
      </c>
      <c r="D233" s="2">
        <v>3.20052501E8</v>
      </c>
      <c r="E233" s="2">
        <v>2.00000394E9</v>
      </c>
      <c r="F233" s="2">
        <v>8528.0</v>
      </c>
      <c r="G233" s="2">
        <v>0.0</v>
      </c>
      <c r="H233" s="2">
        <v>0.0</v>
      </c>
      <c r="I233" s="2">
        <v>0.0</v>
      </c>
      <c r="J233" s="2">
        <v>1.0</v>
      </c>
      <c r="K233" s="2">
        <v>7.0</v>
      </c>
      <c r="O233" s="2" t="s">
        <v>531</v>
      </c>
      <c r="P233" s="2" t="s">
        <v>166</v>
      </c>
      <c r="Q233" s="2"/>
      <c r="R233" s="2" t="s">
        <v>434</v>
      </c>
      <c r="S233" s="11">
        <v>42188.78780092593</v>
      </c>
    </row>
    <row r="234" ht="12.75" customHeight="1">
      <c r="A234" s="2"/>
      <c r="B234" s="2">
        <v>1.0</v>
      </c>
      <c r="C234" s="2" t="s">
        <v>567</v>
      </c>
      <c r="D234" s="2">
        <v>3.20052494E8</v>
      </c>
      <c r="E234" s="2">
        <v>2.00000394E9</v>
      </c>
      <c r="F234" s="2">
        <v>13041.0</v>
      </c>
      <c r="G234" s="2">
        <v>2.0</v>
      </c>
      <c r="H234" s="2">
        <v>15600.0</v>
      </c>
      <c r="I234" s="2">
        <v>78000.0</v>
      </c>
      <c r="J234" s="2">
        <v>1.0</v>
      </c>
      <c r="K234" s="2">
        <v>7.0</v>
      </c>
      <c r="O234" s="2" t="s">
        <v>476</v>
      </c>
      <c r="P234" s="2" t="s">
        <v>166</v>
      </c>
      <c r="Q234" s="2"/>
      <c r="R234" s="2" t="s">
        <v>434</v>
      </c>
      <c r="S234" s="11">
        <v>42188.78780092593</v>
      </c>
    </row>
    <row r="235" ht="12.75" customHeight="1">
      <c r="A235" s="2"/>
      <c r="B235" s="2">
        <v>1.0</v>
      </c>
      <c r="C235" s="2" t="s">
        <v>568</v>
      </c>
      <c r="D235" s="2">
        <v>3.2005252E8</v>
      </c>
      <c r="E235" s="2">
        <v>2.000003941E9</v>
      </c>
      <c r="F235" s="2">
        <v>1003.0</v>
      </c>
      <c r="G235" s="2">
        <v>1.0</v>
      </c>
      <c r="H235" s="2">
        <v>39000.0</v>
      </c>
      <c r="I235" s="2">
        <v>195000.0</v>
      </c>
      <c r="J235" s="2">
        <v>1.0</v>
      </c>
      <c r="K235" s="2">
        <v>7.0</v>
      </c>
      <c r="O235" s="2" t="s">
        <v>569</v>
      </c>
      <c r="P235" s="2" t="s">
        <v>166</v>
      </c>
      <c r="Q235" s="2"/>
      <c r="R235" s="2" t="s">
        <v>434</v>
      </c>
      <c r="S235" s="11">
        <v>42188.7878125</v>
      </c>
    </row>
    <row r="236" ht="12.75" customHeight="1">
      <c r="A236" s="2"/>
      <c r="B236" s="2">
        <v>1.0</v>
      </c>
      <c r="C236" s="2" t="s">
        <v>570</v>
      </c>
      <c r="D236" s="2">
        <v>3.20052517E8</v>
      </c>
      <c r="E236" s="2">
        <v>2.000003941E9</v>
      </c>
      <c r="F236" s="2">
        <v>3243.0</v>
      </c>
      <c r="G236" s="2">
        <v>1.0</v>
      </c>
      <c r="H236" s="2">
        <v>59000.0</v>
      </c>
      <c r="I236" s="2">
        <v>295000.0</v>
      </c>
      <c r="J236" s="2">
        <v>1.0</v>
      </c>
      <c r="K236" s="2">
        <v>7.0</v>
      </c>
      <c r="O236" s="2" t="s">
        <v>519</v>
      </c>
      <c r="P236" s="2" t="s">
        <v>166</v>
      </c>
      <c r="Q236" s="2"/>
      <c r="R236" s="2" t="s">
        <v>434</v>
      </c>
      <c r="S236" s="11">
        <v>42188.7878125</v>
      </c>
    </row>
    <row r="237" ht="12.75" customHeight="1">
      <c r="A237" s="2"/>
      <c r="B237" s="2">
        <v>1.0</v>
      </c>
      <c r="C237" s="2" t="s">
        <v>571</v>
      </c>
      <c r="D237" s="2">
        <v>3.20052524E8</v>
      </c>
      <c r="E237" s="2">
        <v>2.000003941E9</v>
      </c>
      <c r="F237" s="2">
        <v>3249.0</v>
      </c>
      <c r="G237" s="2">
        <v>1.0</v>
      </c>
      <c r="H237" s="2">
        <v>19800.0</v>
      </c>
      <c r="I237" s="2">
        <v>99000.0</v>
      </c>
      <c r="J237" s="2">
        <v>1.0</v>
      </c>
      <c r="K237" s="2">
        <v>7.0</v>
      </c>
      <c r="O237" s="2" t="s">
        <v>572</v>
      </c>
      <c r="P237" s="2" t="s">
        <v>166</v>
      </c>
      <c r="Q237" s="2"/>
      <c r="R237" s="2" t="s">
        <v>434</v>
      </c>
      <c r="S237" s="11">
        <v>42188.7878125</v>
      </c>
    </row>
    <row r="238" ht="12.75" customHeight="1">
      <c r="A238" s="2"/>
      <c r="B238" s="2">
        <v>1.0</v>
      </c>
      <c r="C238" s="2" t="s">
        <v>573</v>
      </c>
      <c r="D238" s="2">
        <v>3.20052513E8</v>
      </c>
      <c r="E238" s="2">
        <v>2.000003941E9</v>
      </c>
      <c r="F238" s="2">
        <v>5344.0</v>
      </c>
      <c r="G238" s="2">
        <v>1.0</v>
      </c>
      <c r="H238" s="2">
        <v>67000.0</v>
      </c>
      <c r="I238" s="2">
        <v>335000.0</v>
      </c>
      <c r="J238" s="2">
        <v>1.0</v>
      </c>
      <c r="K238" s="2">
        <v>7.0</v>
      </c>
      <c r="O238" s="2" t="s">
        <v>574</v>
      </c>
      <c r="P238" s="2" t="s">
        <v>166</v>
      </c>
      <c r="Q238" s="2"/>
      <c r="R238" s="2" t="s">
        <v>434</v>
      </c>
      <c r="S238" s="11">
        <v>42188.7878125</v>
      </c>
    </row>
    <row r="239" ht="12.75" customHeight="1">
      <c r="A239" s="2"/>
      <c r="B239" s="2">
        <v>1.0</v>
      </c>
      <c r="C239" s="2" t="s">
        <v>575</v>
      </c>
      <c r="D239" s="2">
        <v>3.20052521E8</v>
      </c>
      <c r="E239" s="2">
        <v>2.000003941E9</v>
      </c>
      <c r="F239" s="2">
        <v>15678.0</v>
      </c>
      <c r="G239" s="2">
        <v>1.0</v>
      </c>
      <c r="H239" s="2">
        <v>29800.0</v>
      </c>
      <c r="I239" s="2">
        <v>149000.0</v>
      </c>
      <c r="J239" s="2">
        <v>1.0</v>
      </c>
      <c r="K239" s="2">
        <v>7.0</v>
      </c>
      <c r="O239" s="2" t="s">
        <v>449</v>
      </c>
      <c r="P239" s="2" t="s">
        <v>166</v>
      </c>
      <c r="Q239" s="2"/>
      <c r="R239" s="2" t="s">
        <v>434</v>
      </c>
      <c r="S239" s="11">
        <v>42188.7878125</v>
      </c>
    </row>
    <row r="240" ht="12.75" customHeight="1">
      <c r="A240" s="2"/>
      <c r="B240" s="2">
        <v>1.0</v>
      </c>
      <c r="C240" s="2" t="s">
        <v>576</v>
      </c>
      <c r="D240" s="2">
        <v>3.20052527E8</v>
      </c>
      <c r="E240" s="2">
        <v>2.000003942E9</v>
      </c>
      <c r="F240" s="2">
        <v>8515.0</v>
      </c>
      <c r="G240" s="2">
        <v>1.0</v>
      </c>
      <c r="H240" s="2">
        <v>0.0</v>
      </c>
      <c r="I240" s="2">
        <v>635000.0</v>
      </c>
      <c r="J240" s="2">
        <v>1.0</v>
      </c>
      <c r="K240" s="2">
        <v>7.0</v>
      </c>
      <c r="O240" s="2" t="s">
        <v>577</v>
      </c>
      <c r="P240" s="2" t="s">
        <v>166</v>
      </c>
      <c r="Q240" s="2"/>
      <c r="R240" s="2" t="s">
        <v>434</v>
      </c>
      <c r="S240" s="11">
        <v>42188.787824074076</v>
      </c>
    </row>
    <row r="241" ht="12.75" customHeight="1">
      <c r="A241" s="2"/>
      <c r="B241" s="2">
        <v>1.0</v>
      </c>
      <c r="C241" s="2" t="s">
        <v>578</v>
      </c>
      <c r="D241" s="2">
        <v>3.20052594E8</v>
      </c>
      <c r="E241" s="2">
        <v>2.000003944E9</v>
      </c>
      <c r="F241" s="2">
        <v>3361.0</v>
      </c>
      <c r="G241" s="2">
        <v>1.0</v>
      </c>
      <c r="H241" s="2">
        <v>0.0</v>
      </c>
      <c r="I241" s="2">
        <v>300000.0</v>
      </c>
      <c r="J241" s="2">
        <v>1.0</v>
      </c>
      <c r="K241" s="2">
        <v>7.0</v>
      </c>
      <c r="O241" s="2" t="s">
        <v>579</v>
      </c>
      <c r="P241" s="2" t="s">
        <v>166</v>
      </c>
      <c r="Q241" s="2"/>
      <c r="R241" s="2" t="s">
        <v>434</v>
      </c>
      <c r="S241" s="11">
        <v>42188.86157407407</v>
      </c>
    </row>
    <row r="242" ht="12.75" customHeight="1">
      <c r="A242" s="2"/>
      <c r="B242" s="2">
        <v>1.0</v>
      </c>
      <c r="C242" s="2" t="s">
        <v>580</v>
      </c>
      <c r="D242" s="2">
        <v>3.20052588E8</v>
      </c>
      <c r="E242" s="2">
        <v>2.000003944E9</v>
      </c>
      <c r="F242" s="2">
        <v>6385.0</v>
      </c>
      <c r="G242" s="2">
        <v>1.0</v>
      </c>
      <c r="H242" s="2">
        <v>0.0</v>
      </c>
      <c r="I242" s="2">
        <v>60000.0</v>
      </c>
      <c r="J242" s="2">
        <v>1.0</v>
      </c>
      <c r="K242" s="2">
        <v>7.0</v>
      </c>
      <c r="O242" s="2" t="s">
        <v>581</v>
      </c>
      <c r="P242" s="2" t="s">
        <v>166</v>
      </c>
      <c r="Q242" s="2"/>
      <c r="R242" s="2" t="s">
        <v>434</v>
      </c>
      <c r="S242" s="11">
        <v>42188.86157407407</v>
      </c>
    </row>
    <row r="243" ht="12.75" customHeight="1">
      <c r="A243" s="2"/>
      <c r="B243" s="2">
        <v>1.0</v>
      </c>
      <c r="C243" s="2" t="s">
        <v>582</v>
      </c>
      <c r="D243" s="2">
        <v>3.20052591E8</v>
      </c>
      <c r="E243" s="2">
        <v>2.000003944E9</v>
      </c>
      <c r="F243" s="2">
        <v>6400.0</v>
      </c>
      <c r="G243" s="2">
        <v>1.0</v>
      </c>
      <c r="H243" s="2">
        <v>0.0</v>
      </c>
      <c r="I243" s="2">
        <v>60000.0</v>
      </c>
      <c r="J243" s="2">
        <v>1.0</v>
      </c>
      <c r="K243" s="2">
        <v>7.0</v>
      </c>
      <c r="O243" s="2" t="s">
        <v>583</v>
      </c>
      <c r="P243" s="2" t="s">
        <v>166</v>
      </c>
      <c r="Q243" s="2"/>
      <c r="R243" s="2" t="s">
        <v>434</v>
      </c>
      <c r="S243" s="11">
        <v>42188.86157407407</v>
      </c>
    </row>
    <row r="244" ht="12.75" customHeight="1">
      <c r="A244" s="2"/>
      <c r="B244" s="2">
        <v>1.0</v>
      </c>
      <c r="C244" s="2" t="s">
        <v>584</v>
      </c>
      <c r="D244" s="2">
        <v>3.20052582E8</v>
      </c>
      <c r="E244" s="2">
        <v>2.000003944E9</v>
      </c>
      <c r="F244" s="2">
        <v>6610.0</v>
      </c>
      <c r="G244" s="2">
        <v>1.0</v>
      </c>
      <c r="H244" s="2">
        <v>0.0</v>
      </c>
      <c r="I244" s="2">
        <v>257000.0</v>
      </c>
      <c r="J244" s="2">
        <v>1.0</v>
      </c>
      <c r="K244" s="2">
        <v>7.0</v>
      </c>
      <c r="O244" s="2" t="s">
        <v>585</v>
      </c>
      <c r="P244" s="2" t="s">
        <v>166</v>
      </c>
      <c r="Q244" s="2"/>
      <c r="R244" s="2" t="s">
        <v>434</v>
      </c>
      <c r="S244" s="11">
        <v>42188.86157407407</v>
      </c>
    </row>
    <row r="245" ht="12.75" customHeight="1">
      <c r="A245" s="2"/>
      <c r="B245" s="2">
        <v>1.0</v>
      </c>
      <c r="C245" s="2" t="s">
        <v>586</v>
      </c>
      <c r="D245" s="2">
        <v>3.20052585E8</v>
      </c>
      <c r="E245" s="2">
        <v>2.000003944E9</v>
      </c>
      <c r="F245" s="2">
        <v>9736.0</v>
      </c>
      <c r="G245" s="2">
        <v>1.0</v>
      </c>
      <c r="H245" s="2">
        <v>0.0</v>
      </c>
      <c r="I245" s="2">
        <v>371000.0</v>
      </c>
      <c r="J245" s="2">
        <v>1.0</v>
      </c>
      <c r="K245" s="2">
        <v>7.0</v>
      </c>
      <c r="O245" s="2" t="s">
        <v>516</v>
      </c>
      <c r="P245" s="2" t="s">
        <v>166</v>
      </c>
      <c r="Q245" s="2"/>
      <c r="R245" s="2" t="s">
        <v>434</v>
      </c>
      <c r="S245" s="11">
        <v>42188.86157407407</v>
      </c>
    </row>
    <row r="246" ht="12.75" customHeight="1">
      <c r="A246" s="2"/>
      <c r="B246" s="2">
        <v>1.0</v>
      </c>
      <c r="C246" s="2" t="s">
        <v>587</v>
      </c>
      <c r="D246" s="2">
        <v>3.20054312E8</v>
      </c>
      <c r="E246" s="2">
        <v>2.000003979E9</v>
      </c>
      <c r="F246" s="2">
        <v>12524.0</v>
      </c>
      <c r="G246" s="2">
        <v>2.0</v>
      </c>
      <c r="H246" s="2">
        <v>0.0</v>
      </c>
      <c r="I246" s="2">
        <v>182000.0</v>
      </c>
      <c r="J246" s="2">
        <v>1.0</v>
      </c>
      <c r="K246" s="2">
        <v>7.0</v>
      </c>
      <c r="O246" s="2" t="s">
        <v>345</v>
      </c>
      <c r="P246" s="2" t="s">
        <v>166</v>
      </c>
      <c r="Q246" s="2"/>
      <c r="R246" s="2" t="s">
        <v>434</v>
      </c>
      <c r="S246" s="11">
        <v>42191.49901620371</v>
      </c>
    </row>
    <row r="247" ht="12.75" customHeight="1">
      <c r="A247" s="2"/>
      <c r="B247" s="2">
        <v>1.0</v>
      </c>
      <c r="C247" s="2" t="s">
        <v>588</v>
      </c>
      <c r="D247" s="2">
        <v>3.20054314E8</v>
      </c>
      <c r="E247" s="2">
        <v>2.000003979E9</v>
      </c>
      <c r="F247" s="2">
        <v>13049.0</v>
      </c>
      <c r="G247" s="2">
        <v>2.0</v>
      </c>
      <c r="H247" s="2">
        <v>0.0</v>
      </c>
      <c r="I247" s="2">
        <v>198000.0</v>
      </c>
      <c r="J247" s="2">
        <v>1.0</v>
      </c>
      <c r="K247" s="2">
        <v>7.0</v>
      </c>
      <c r="O247" s="2" t="s">
        <v>589</v>
      </c>
      <c r="P247" s="2" t="s">
        <v>166</v>
      </c>
      <c r="Q247" s="2"/>
      <c r="R247" s="2" t="s">
        <v>434</v>
      </c>
      <c r="S247" s="11">
        <v>42191.49901620371</v>
      </c>
    </row>
    <row r="248" ht="12.75" customHeight="1">
      <c r="A248" s="2"/>
      <c r="B248" s="2">
        <v>1.0</v>
      </c>
      <c r="C248" s="2" t="s">
        <v>590</v>
      </c>
      <c r="D248" s="2">
        <v>3.20054316E8</v>
      </c>
      <c r="E248" s="2">
        <v>2.00000398E9</v>
      </c>
      <c r="F248" s="2">
        <v>991.0</v>
      </c>
      <c r="G248" s="2">
        <v>1.0</v>
      </c>
      <c r="H248" s="2">
        <v>0.0</v>
      </c>
      <c r="I248" s="2">
        <v>590000.0</v>
      </c>
      <c r="J248" s="2">
        <v>1.0</v>
      </c>
      <c r="K248" s="2">
        <v>7.0</v>
      </c>
      <c r="O248" s="2" t="s">
        <v>591</v>
      </c>
      <c r="P248" s="2" t="s">
        <v>166</v>
      </c>
      <c r="Q248" s="2"/>
      <c r="R248" s="2" t="s">
        <v>434</v>
      </c>
      <c r="S248" s="11">
        <v>42191.499027777776</v>
      </c>
    </row>
    <row r="249" ht="12.75" customHeight="1">
      <c r="A249" s="2"/>
      <c r="B249" s="2">
        <v>1.0</v>
      </c>
      <c r="C249" s="2" t="s">
        <v>592</v>
      </c>
      <c r="D249" s="2">
        <v>3.20054326E8</v>
      </c>
      <c r="E249" s="2">
        <v>2.000003982E9</v>
      </c>
      <c r="F249" s="2">
        <v>8509.0</v>
      </c>
      <c r="G249" s="2">
        <v>3.0</v>
      </c>
      <c r="H249" s="2">
        <v>247500.0</v>
      </c>
      <c r="I249" s="2">
        <v>1125000.0</v>
      </c>
      <c r="J249" s="2">
        <v>1.0</v>
      </c>
      <c r="K249" s="2">
        <v>7.0</v>
      </c>
      <c r="O249" s="2" t="s">
        <v>484</v>
      </c>
      <c r="P249" s="2" t="s">
        <v>166</v>
      </c>
      <c r="Q249" s="2"/>
      <c r="R249" s="2" t="s">
        <v>434</v>
      </c>
      <c r="S249" s="11">
        <v>42191.499085648145</v>
      </c>
    </row>
    <row r="250" ht="12.75" customHeight="1">
      <c r="A250" s="2"/>
      <c r="B250" s="2">
        <v>1.0</v>
      </c>
      <c r="C250" s="2" t="s">
        <v>593</v>
      </c>
      <c r="D250" s="2">
        <v>3.20054324E8</v>
      </c>
      <c r="E250" s="2">
        <v>2.000003982E9</v>
      </c>
      <c r="F250" s="2">
        <v>8512.0</v>
      </c>
      <c r="G250" s="2">
        <v>5.0</v>
      </c>
      <c r="H250" s="2">
        <v>544500.0</v>
      </c>
      <c r="I250" s="2">
        <v>2475000.0</v>
      </c>
      <c r="J250" s="2">
        <v>1.0</v>
      </c>
      <c r="K250" s="2">
        <v>7.0</v>
      </c>
      <c r="O250" s="2" t="s">
        <v>594</v>
      </c>
      <c r="P250" s="2" t="s">
        <v>166</v>
      </c>
      <c r="Q250" s="2"/>
      <c r="R250" s="2" t="s">
        <v>434</v>
      </c>
      <c r="S250" s="11">
        <v>42191.499085648145</v>
      </c>
    </row>
    <row r="251" ht="12.75" customHeight="1">
      <c r="A251" s="2"/>
      <c r="B251" s="2">
        <v>1.0</v>
      </c>
      <c r="C251" s="2" t="s">
        <v>595</v>
      </c>
      <c r="D251" s="2">
        <v>3.20054318E8</v>
      </c>
      <c r="E251" s="2">
        <v>2.000003982E9</v>
      </c>
      <c r="F251" s="2">
        <v>8513.0</v>
      </c>
      <c r="G251" s="2">
        <v>4.0</v>
      </c>
      <c r="H251" s="2">
        <v>470800.0</v>
      </c>
      <c r="I251" s="2">
        <v>2140000.0</v>
      </c>
      <c r="J251" s="2">
        <v>1.0</v>
      </c>
      <c r="K251" s="2">
        <v>7.0</v>
      </c>
      <c r="O251" s="2" t="s">
        <v>596</v>
      </c>
      <c r="P251" s="2" t="s">
        <v>166</v>
      </c>
      <c r="Q251" s="2"/>
      <c r="R251" s="2" t="s">
        <v>434</v>
      </c>
      <c r="S251" s="11">
        <v>42191.499074074076</v>
      </c>
    </row>
    <row r="252" ht="12.75" customHeight="1">
      <c r="A252" s="2"/>
      <c r="B252" s="2">
        <v>1.0</v>
      </c>
      <c r="C252" s="2" t="s">
        <v>597</v>
      </c>
      <c r="D252" s="2">
        <v>3.20054321E8</v>
      </c>
      <c r="E252" s="2">
        <v>2.000003982E9</v>
      </c>
      <c r="F252" s="2">
        <v>8515.0</v>
      </c>
      <c r="G252" s="2">
        <v>10.0</v>
      </c>
      <c r="H252" s="2">
        <v>1397000.0</v>
      </c>
      <c r="I252" s="2">
        <v>6350000.0</v>
      </c>
      <c r="J252" s="2">
        <v>1.0</v>
      </c>
      <c r="K252" s="2">
        <v>7.0</v>
      </c>
      <c r="O252" s="2" t="s">
        <v>577</v>
      </c>
      <c r="P252" s="2" t="s">
        <v>166</v>
      </c>
      <c r="Q252" s="2"/>
      <c r="R252" s="2" t="s">
        <v>434</v>
      </c>
      <c r="S252" s="11">
        <v>42191.499085648145</v>
      </c>
    </row>
    <row r="253" ht="12.75" customHeight="1">
      <c r="A253" s="2"/>
      <c r="B253" s="2">
        <v>1.0</v>
      </c>
      <c r="C253" s="2" t="s">
        <v>598</v>
      </c>
      <c r="D253" s="2">
        <v>3.20054323E8</v>
      </c>
      <c r="E253" s="2">
        <v>2.000003982E9</v>
      </c>
      <c r="F253" s="2">
        <v>8516.0</v>
      </c>
      <c r="G253" s="2">
        <v>5.0</v>
      </c>
      <c r="H253" s="2">
        <v>742500.0</v>
      </c>
      <c r="I253" s="2">
        <v>3375000.0</v>
      </c>
      <c r="J253" s="2">
        <v>1.0</v>
      </c>
      <c r="K253" s="2">
        <v>7.0</v>
      </c>
      <c r="O253" s="2" t="s">
        <v>599</v>
      </c>
      <c r="P253" s="2" t="s">
        <v>166</v>
      </c>
      <c r="Q253" s="2"/>
      <c r="R253" s="2" t="s">
        <v>434</v>
      </c>
      <c r="S253" s="11">
        <v>42191.499085648145</v>
      </c>
    </row>
    <row r="254" ht="12.75" customHeight="1">
      <c r="A254" s="2"/>
      <c r="B254" s="2">
        <v>1.0</v>
      </c>
      <c r="C254" s="2" t="s">
        <v>600</v>
      </c>
      <c r="D254" s="2">
        <v>3.2005433E8</v>
      </c>
      <c r="E254" s="2">
        <v>2.000003982E9</v>
      </c>
      <c r="F254" s="2">
        <v>8544.0</v>
      </c>
      <c r="G254" s="2">
        <v>4.0</v>
      </c>
      <c r="H254" s="2">
        <v>321200.0</v>
      </c>
      <c r="I254" s="2">
        <v>1460000.0</v>
      </c>
      <c r="J254" s="2">
        <v>1.0</v>
      </c>
      <c r="K254" s="2">
        <v>7.0</v>
      </c>
      <c r="O254" s="2" t="s">
        <v>512</v>
      </c>
      <c r="P254" s="2" t="s">
        <v>166</v>
      </c>
      <c r="Q254" s="2"/>
      <c r="R254" s="2" t="s">
        <v>434</v>
      </c>
      <c r="S254" s="11">
        <v>42191.499085648145</v>
      </c>
    </row>
    <row r="255" ht="12.75" customHeight="1">
      <c r="A255" s="2"/>
      <c r="B255" s="2">
        <v>1.0</v>
      </c>
      <c r="C255" s="2" t="s">
        <v>601</v>
      </c>
      <c r="D255" s="2">
        <v>3.20054328E8</v>
      </c>
      <c r="E255" s="2">
        <v>2.000003982E9</v>
      </c>
      <c r="F255" s="2">
        <v>8603.0</v>
      </c>
      <c r="G255" s="2">
        <v>10.0</v>
      </c>
      <c r="H255" s="2">
        <v>1221000.0</v>
      </c>
      <c r="I255" s="2">
        <v>5550000.0</v>
      </c>
      <c r="J255" s="2">
        <v>1.0</v>
      </c>
      <c r="K255" s="2">
        <v>7.0</v>
      </c>
      <c r="O255" s="2" t="s">
        <v>602</v>
      </c>
      <c r="P255" s="2" t="s">
        <v>166</v>
      </c>
      <c r="Q255" s="2"/>
      <c r="R255" s="2" t="s">
        <v>434</v>
      </c>
      <c r="S255" s="11">
        <v>42191.499085648145</v>
      </c>
    </row>
    <row r="256" ht="12.75" customHeight="1">
      <c r="A256" s="2"/>
      <c r="B256" s="2">
        <v>1.0</v>
      </c>
      <c r="C256" s="2" t="s">
        <v>603</v>
      </c>
      <c r="D256" s="2">
        <v>3.20054333E8</v>
      </c>
      <c r="E256" s="2">
        <v>2.000003987E9</v>
      </c>
      <c r="F256" s="2">
        <v>997.0</v>
      </c>
      <c r="G256" s="2">
        <v>1.0</v>
      </c>
      <c r="H256" s="2">
        <v>0.0</v>
      </c>
      <c r="I256" s="2">
        <v>595000.0</v>
      </c>
      <c r="J256" s="2">
        <v>1.0</v>
      </c>
      <c r="K256" s="2">
        <v>7.0</v>
      </c>
      <c r="O256" s="2" t="s">
        <v>165</v>
      </c>
      <c r="P256" s="2" t="s">
        <v>166</v>
      </c>
      <c r="Q256" s="2"/>
      <c r="R256" s="2" t="s">
        <v>434</v>
      </c>
      <c r="S256" s="11">
        <v>42191.49916666667</v>
      </c>
    </row>
    <row r="257" ht="12.75" customHeight="1">
      <c r="A257" s="2"/>
      <c r="B257" s="2">
        <v>1.0</v>
      </c>
      <c r="C257" s="2" t="s">
        <v>604</v>
      </c>
      <c r="D257" s="2">
        <v>3.20054336E8</v>
      </c>
      <c r="E257" s="2">
        <v>2.000003988E9</v>
      </c>
      <c r="F257" s="2">
        <v>1013.0</v>
      </c>
      <c r="G257" s="2">
        <v>1.0</v>
      </c>
      <c r="H257" s="2">
        <v>0.0</v>
      </c>
      <c r="I257" s="2">
        <v>230000.0</v>
      </c>
      <c r="J257" s="2">
        <v>1.0</v>
      </c>
      <c r="K257" s="2">
        <v>7.0</v>
      </c>
      <c r="O257" s="2" t="s">
        <v>459</v>
      </c>
      <c r="P257" s="2" t="s">
        <v>166</v>
      </c>
      <c r="Q257" s="2"/>
      <c r="R257" s="2" t="s">
        <v>434</v>
      </c>
      <c r="S257" s="11">
        <v>42191.49917824074</v>
      </c>
    </row>
    <row r="258" ht="12.75" customHeight="1">
      <c r="A258" s="2"/>
      <c r="B258" s="2">
        <v>1.0</v>
      </c>
      <c r="C258" s="2" t="s">
        <v>605</v>
      </c>
      <c r="D258" s="2">
        <v>3.20054334E8</v>
      </c>
      <c r="E258" s="2">
        <v>2.000003988E9</v>
      </c>
      <c r="F258" s="2">
        <v>8528.0</v>
      </c>
      <c r="G258" s="2">
        <v>3.0</v>
      </c>
      <c r="H258" s="2">
        <v>0.0</v>
      </c>
      <c r="I258" s="2">
        <v>165000.0</v>
      </c>
      <c r="J258" s="2">
        <v>1.0</v>
      </c>
      <c r="K258" s="2">
        <v>7.0</v>
      </c>
      <c r="O258" s="2" t="s">
        <v>531</v>
      </c>
      <c r="P258" s="2" t="s">
        <v>166</v>
      </c>
      <c r="Q258" s="2"/>
      <c r="R258" s="2" t="s">
        <v>434</v>
      </c>
      <c r="S258" s="11">
        <v>42191.49917824074</v>
      </c>
    </row>
    <row r="259" ht="12.75" customHeight="1">
      <c r="A259" s="2"/>
      <c r="B259" s="2">
        <v>1.0</v>
      </c>
      <c r="C259" s="2" t="s">
        <v>606</v>
      </c>
      <c r="D259" s="2">
        <v>3.20054339E8</v>
      </c>
      <c r="E259" s="2">
        <v>2.000003988E9</v>
      </c>
      <c r="F259" s="2">
        <v>14813.0</v>
      </c>
      <c r="G259" s="2">
        <v>1.0</v>
      </c>
      <c r="H259" s="2">
        <v>0.0</v>
      </c>
      <c r="I259" s="2">
        <v>165000.0</v>
      </c>
      <c r="J259" s="2">
        <v>1.0</v>
      </c>
      <c r="K259" s="2">
        <v>7.0</v>
      </c>
      <c r="O259" s="2" t="s">
        <v>607</v>
      </c>
      <c r="P259" s="2" t="s">
        <v>166</v>
      </c>
      <c r="Q259" s="2"/>
      <c r="R259" s="2" t="s">
        <v>434</v>
      </c>
      <c r="S259" s="11">
        <v>42191.499189814815</v>
      </c>
    </row>
    <row r="260" ht="12.75" customHeight="1">
      <c r="A260" s="2"/>
      <c r="B260" s="2">
        <v>1.0</v>
      </c>
      <c r="C260" s="2" t="s">
        <v>608</v>
      </c>
      <c r="D260" s="2">
        <v>3.2005434E8</v>
      </c>
      <c r="E260" s="2">
        <v>2.000003989E9</v>
      </c>
      <c r="F260" s="2">
        <v>8521.0</v>
      </c>
      <c r="G260" s="2">
        <v>1.0</v>
      </c>
      <c r="H260" s="2">
        <v>0.0</v>
      </c>
      <c r="I260" s="2">
        <v>475000.0</v>
      </c>
      <c r="J260" s="2">
        <v>1.0</v>
      </c>
      <c r="K260" s="2">
        <v>7.0</v>
      </c>
      <c r="O260" s="2" t="s">
        <v>554</v>
      </c>
      <c r="P260" s="2" t="s">
        <v>166</v>
      </c>
      <c r="Q260" s="2"/>
      <c r="R260" s="2" t="s">
        <v>434</v>
      </c>
      <c r="S260" s="11">
        <v>42191.49921296296</v>
      </c>
    </row>
    <row r="261" ht="12.75" customHeight="1">
      <c r="A261" s="2"/>
      <c r="B261" s="2">
        <v>1.0</v>
      </c>
      <c r="C261" s="2" t="s">
        <v>609</v>
      </c>
      <c r="D261" s="2">
        <v>3.20054343E8</v>
      </c>
      <c r="E261" s="2">
        <v>2.00000399E9</v>
      </c>
      <c r="F261" s="2">
        <v>8508.0</v>
      </c>
      <c r="G261" s="2">
        <v>1.0</v>
      </c>
      <c r="H261" s="2">
        <v>0.0</v>
      </c>
      <c r="I261" s="2">
        <v>345000.0</v>
      </c>
      <c r="J261" s="2">
        <v>1.0</v>
      </c>
      <c r="K261" s="2">
        <v>7.0</v>
      </c>
      <c r="O261" s="2" t="s">
        <v>504</v>
      </c>
      <c r="P261" s="2" t="s">
        <v>166</v>
      </c>
      <c r="Q261" s="2"/>
      <c r="R261" s="2" t="s">
        <v>434</v>
      </c>
      <c r="S261" s="11">
        <v>42191.49921296296</v>
      </c>
    </row>
    <row r="262" ht="12.75" customHeight="1">
      <c r="A262" s="2"/>
      <c r="B262" s="2">
        <v>1.0</v>
      </c>
      <c r="C262" s="2" t="s">
        <v>610</v>
      </c>
      <c r="D262" s="2">
        <v>3.20054344E8</v>
      </c>
      <c r="E262" s="2">
        <v>2.00000399E9</v>
      </c>
      <c r="F262" s="2">
        <v>8544.0</v>
      </c>
      <c r="G262" s="2">
        <v>2.0</v>
      </c>
      <c r="H262" s="2">
        <v>0.0</v>
      </c>
      <c r="I262" s="2">
        <v>730000.0</v>
      </c>
      <c r="J262" s="2">
        <v>1.0</v>
      </c>
      <c r="K262" s="2">
        <v>7.0</v>
      </c>
      <c r="O262" s="2" t="s">
        <v>512</v>
      </c>
      <c r="P262" s="2" t="s">
        <v>166</v>
      </c>
      <c r="Q262" s="2"/>
      <c r="R262" s="2" t="s">
        <v>434</v>
      </c>
      <c r="S262" s="11">
        <v>42191.49921296296</v>
      </c>
    </row>
    <row r="263" ht="12.75" customHeight="1">
      <c r="A263" s="2"/>
      <c r="B263" s="2">
        <v>1.0</v>
      </c>
      <c r="C263" s="2" t="s">
        <v>611</v>
      </c>
      <c r="D263" s="2">
        <v>3.20054346E8</v>
      </c>
      <c r="E263" s="2">
        <v>2.000003993E9</v>
      </c>
      <c r="F263" s="2">
        <v>14434.0</v>
      </c>
      <c r="G263" s="2">
        <v>1.0</v>
      </c>
      <c r="H263" s="2">
        <v>0.0</v>
      </c>
      <c r="I263" s="2">
        <v>430000.0</v>
      </c>
      <c r="J263" s="2">
        <v>1.0</v>
      </c>
      <c r="K263" s="2">
        <v>7.0</v>
      </c>
      <c r="O263" s="2" t="s">
        <v>612</v>
      </c>
      <c r="P263" s="2" t="s">
        <v>166</v>
      </c>
      <c r="Q263" s="2"/>
      <c r="R263" s="2" t="s">
        <v>434</v>
      </c>
      <c r="S263" s="11">
        <v>42191.49922453704</v>
      </c>
    </row>
    <row r="264" ht="12.75" customHeight="1">
      <c r="A264" s="2"/>
      <c r="B264" s="2">
        <v>1.0</v>
      </c>
      <c r="C264" s="2" t="s">
        <v>613</v>
      </c>
      <c r="D264" s="2">
        <v>3.20054349E8</v>
      </c>
      <c r="E264" s="2">
        <v>2.000003995E9</v>
      </c>
      <c r="F264" s="2">
        <v>6402.0</v>
      </c>
      <c r="G264" s="2">
        <v>2.0</v>
      </c>
      <c r="H264" s="2">
        <v>0.0</v>
      </c>
      <c r="I264" s="2">
        <v>158000.0</v>
      </c>
      <c r="J264" s="2">
        <v>1.0</v>
      </c>
      <c r="K264" s="2">
        <v>7.0</v>
      </c>
      <c r="O264" s="2" t="s">
        <v>453</v>
      </c>
      <c r="P264" s="2" t="s">
        <v>166</v>
      </c>
      <c r="Q264" s="2"/>
      <c r="R264" s="2" t="s">
        <v>434</v>
      </c>
      <c r="S264" s="11">
        <v>42191.499236111114</v>
      </c>
    </row>
    <row r="265" ht="12.75" customHeight="1">
      <c r="A265" s="2"/>
      <c r="B265" s="2">
        <v>1.0</v>
      </c>
      <c r="C265" s="2" t="s">
        <v>614</v>
      </c>
      <c r="D265" s="2">
        <v>3.2005435E8</v>
      </c>
      <c r="E265" s="2">
        <v>2.000003995E9</v>
      </c>
      <c r="F265" s="2">
        <v>12524.0</v>
      </c>
      <c r="G265" s="2">
        <v>-2.0</v>
      </c>
      <c r="H265" s="2">
        <v>0.0</v>
      </c>
      <c r="I265" s="2">
        <v>-182000.0</v>
      </c>
      <c r="J265" s="2">
        <v>1.0</v>
      </c>
      <c r="K265" s="2">
        <v>7.0</v>
      </c>
      <c r="O265" s="2" t="s">
        <v>345</v>
      </c>
      <c r="P265" s="2" t="s">
        <v>166</v>
      </c>
      <c r="Q265" s="2"/>
      <c r="R265" s="2" t="s">
        <v>434</v>
      </c>
      <c r="S265" s="11">
        <v>42191.499236111114</v>
      </c>
    </row>
    <row r="266" ht="12.75" customHeight="1">
      <c r="A266" s="2"/>
      <c r="B266" s="2">
        <v>1.0</v>
      </c>
      <c r="C266" s="2" t="s">
        <v>615</v>
      </c>
      <c r="D266" s="2">
        <v>3.20054353E8</v>
      </c>
      <c r="E266" s="2">
        <v>2.000003997E9</v>
      </c>
      <c r="F266" s="2">
        <v>5319.0</v>
      </c>
      <c r="G266" s="2">
        <v>1.0</v>
      </c>
      <c r="H266" s="2">
        <v>0.0</v>
      </c>
      <c r="I266" s="2">
        <v>335000.0</v>
      </c>
      <c r="J266" s="2">
        <v>1.0</v>
      </c>
      <c r="K266" s="2">
        <v>7.0</v>
      </c>
      <c r="O266" s="2" t="s">
        <v>616</v>
      </c>
      <c r="P266" s="2" t="s">
        <v>166</v>
      </c>
      <c r="Q266" s="2"/>
      <c r="R266" s="2" t="s">
        <v>434</v>
      </c>
      <c r="S266" s="11">
        <v>42191.499247685184</v>
      </c>
    </row>
    <row r="267" ht="12.75" customHeight="1">
      <c r="A267" s="2"/>
      <c r="B267" s="2">
        <v>1.0</v>
      </c>
      <c r="C267" s="2" t="s">
        <v>617</v>
      </c>
      <c r="D267" s="2">
        <v>3.20054354E8</v>
      </c>
      <c r="E267" s="2">
        <v>2.000003998E9</v>
      </c>
      <c r="F267" s="2">
        <v>13232.0</v>
      </c>
      <c r="G267" s="2">
        <v>1.0</v>
      </c>
      <c r="H267" s="2">
        <v>0.0</v>
      </c>
      <c r="I267" s="2">
        <v>390000.0</v>
      </c>
      <c r="J267" s="2">
        <v>1.0</v>
      </c>
      <c r="K267" s="2">
        <v>7.0</v>
      </c>
      <c r="O267" s="2" t="s">
        <v>618</v>
      </c>
      <c r="P267" s="2" t="s">
        <v>166</v>
      </c>
      <c r="Q267" s="2"/>
      <c r="R267" s="2" t="s">
        <v>434</v>
      </c>
      <c r="S267" s="11">
        <v>42191.499247685184</v>
      </c>
    </row>
    <row r="268" ht="12.75" customHeight="1">
      <c r="A268" s="2"/>
      <c r="B268" s="2">
        <v>1.0</v>
      </c>
      <c r="C268" s="2" t="s">
        <v>619</v>
      </c>
      <c r="D268" s="2">
        <v>3.20054356E8</v>
      </c>
      <c r="E268" s="2">
        <v>2.000003999E9</v>
      </c>
      <c r="F268" s="2">
        <v>6583.0</v>
      </c>
      <c r="G268" s="2">
        <v>1.0</v>
      </c>
      <c r="H268" s="2">
        <v>0.0</v>
      </c>
      <c r="I268" s="2">
        <v>250000.0</v>
      </c>
      <c r="J268" s="2">
        <v>1.0</v>
      </c>
      <c r="K268" s="2">
        <v>7.0</v>
      </c>
      <c r="O268" s="2" t="s">
        <v>620</v>
      </c>
      <c r="P268" s="2" t="s">
        <v>166</v>
      </c>
      <c r="Q268" s="2"/>
      <c r="R268" s="2" t="s">
        <v>434</v>
      </c>
      <c r="S268" s="11">
        <v>42191.49925925926</v>
      </c>
    </row>
    <row r="269" ht="12.75" customHeight="1">
      <c r="A269" s="2"/>
      <c r="B269" s="2">
        <v>1.0</v>
      </c>
      <c r="C269" s="2" t="s">
        <v>621</v>
      </c>
      <c r="D269" s="2">
        <v>3.20054358E8</v>
      </c>
      <c r="E269" s="2">
        <v>2.000004E9</v>
      </c>
      <c r="F269" s="2">
        <v>5327.0</v>
      </c>
      <c r="G269" s="2">
        <v>1.0</v>
      </c>
      <c r="H269" s="2">
        <v>0.0</v>
      </c>
      <c r="I269" s="2">
        <v>395000.0</v>
      </c>
      <c r="J269" s="2">
        <v>1.0</v>
      </c>
      <c r="K269" s="2">
        <v>7.0</v>
      </c>
      <c r="O269" s="2" t="s">
        <v>622</v>
      </c>
      <c r="P269" s="2" t="s">
        <v>166</v>
      </c>
      <c r="Q269" s="2"/>
      <c r="R269" s="2" t="s">
        <v>434</v>
      </c>
      <c r="S269" s="11">
        <v>42191.49927083333</v>
      </c>
    </row>
    <row r="270" ht="12.75" customHeight="1">
      <c r="A270" s="2"/>
      <c r="B270" s="2">
        <v>1.0</v>
      </c>
      <c r="C270" s="2" t="s">
        <v>623</v>
      </c>
      <c r="D270" s="2">
        <v>3.20054361E8</v>
      </c>
      <c r="E270" s="2">
        <v>2.000004001E9</v>
      </c>
      <c r="F270" s="2">
        <v>936.0</v>
      </c>
      <c r="G270" s="2">
        <v>1.0</v>
      </c>
      <c r="H270" s="2">
        <v>0.0</v>
      </c>
      <c r="I270" s="2">
        <v>535000.0</v>
      </c>
      <c r="J270" s="2">
        <v>1.0</v>
      </c>
      <c r="K270" s="2">
        <v>7.0</v>
      </c>
      <c r="O270" s="2" t="s">
        <v>624</v>
      </c>
      <c r="P270" s="2" t="s">
        <v>166</v>
      </c>
      <c r="Q270" s="2"/>
      <c r="R270" s="2" t="s">
        <v>434</v>
      </c>
      <c r="S270" s="11">
        <v>42191.49928240741</v>
      </c>
    </row>
    <row r="271" ht="12.75" customHeight="1">
      <c r="A271" s="2"/>
      <c r="B271" s="2">
        <v>1.0</v>
      </c>
      <c r="C271" s="2" t="s">
        <v>625</v>
      </c>
      <c r="D271" s="2">
        <v>3.20054362E8</v>
      </c>
      <c r="E271" s="2">
        <v>2.000004001E9</v>
      </c>
      <c r="F271" s="2">
        <v>14645.0</v>
      </c>
      <c r="G271" s="2">
        <v>1.0</v>
      </c>
      <c r="H271" s="2">
        <v>0.0</v>
      </c>
      <c r="I271" s="2">
        <v>275000.0</v>
      </c>
      <c r="J271" s="2">
        <v>1.0</v>
      </c>
      <c r="K271" s="2">
        <v>7.0</v>
      </c>
      <c r="O271" s="2" t="s">
        <v>626</v>
      </c>
      <c r="P271" s="2" t="s">
        <v>166</v>
      </c>
      <c r="Q271" s="2"/>
      <c r="R271" s="2" t="s">
        <v>434</v>
      </c>
      <c r="S271" s="11">
        <v>42191.49928240741</v>
      </c>
    </row>
    <row r="272" ht="12.75" customHeight="1">
      <c r="A272" s="2"/>
      <c r="B272" s="2">
        <v>1.0</v>
      </c>
      <c r="C272" s="2" t="s">
        <v>627</v>
      </c>
      <c r="D272" s="2">
        <v>3.20054364E8</v>
      </c>
      <c r="E272" s="2">
        <v>2.000004002E9</v>
      </c>
      <c r="F272" s="2">
        <v>5286.0</v>
      </c>
      <c r="G272" s="2">
        <v>1.0</v>
      </c>
      <c r="H272" s="2">
        <v>0.0</v>
      </c>
      <c r="I272" s="2">
        <v>365000.0</v>
      </c>
      <c r="J272" s="2">
        <v>1.0</v>
      </c>
      <c r="K272" s="2">
        <v>7.0</v>
      </c>
      <c r="O272" s="2" t="s">
        <v>628</v>
      </c>
      <c r="P272" s="2" t="s">
        <v>166</v>
      </c>
      <c r="Q272" s="2"/>
      <c r="R272" s="2" t="s">
        <v>434</v>
      </c>
      <c r="S272" s="11">
        <v>42191.499293981484</v>
      </c>
    </row>
    <row r="273" ht="12.75" customHeight="1">
      <c r="A273" s="2"/>
      <c r="B273" s="2">
        <v>1.0</v>
      </c>
      <c r="C273" s="2" t="s">
        <v>629</v>
      </c>
      <c r="D273" s="2">
        <v>3.20054366E8</v>
      </c>
      <c r="E273" s="2">
        <v>2.000004002E9</v>
      </c>
      <c r="F273" s="2">
        <v>14060.0</v>
      </c>
      <c r="G273" s="2">
        <v>1.0</v>
      </c>
      <c r="H273" s="2">
        <v>0.0</v>
      </c>
      <c r="I273" s="2">
        <v>445000.0</v>
      </c>
      <c r="J273" s="2">
        <v>1.0</v>
      </c>
      <c r="K273" s="2">
        <v>7.0</v>
      </c>
      <c r="O273" s="2" t="s">
        <v>424</v>
      </c>
      <c r="P273" s="2" t="s">
        <v>166</v>
      </c>
      <c r="Q273" s="2"/>
      <c r="R273" s="2" t="s">
        <v>434</v>
      </c>
      <c r="S273" s="11">
        <v>42191.499293981484</v>
      </c>
    </row>
    <row r="274" ht="12.75" customHeight="1">
      <c r="A274" s="2"/>
      <c r="B274" s="2">
        <v>1.0</v>
      </c>
      <c r="C274" s="2" t="s">
        <v>630</v>
      </c>
      <c r="D274" s="2">
        <v>3.20054373E8</v>
      </c>
      <c r="E274" s="2">
        <v>2.000004003E9</v>
      </c>
      <c r="F274" s="2">
        <v>8629.0</v>
      </c>
      <c r="G274" s="2">
        <v>1.0</v>
      </c>
      <c r="H274" s="2">
        <v>0.0</v>
      </c>
      <c r="I274" s="2">
        <v>655000.0</v>
      </c>
      <c r="J274" s="2">
        <v>1.0</v>
      </c>
      <c r="K274" s="2">
        <v>7.0</v>
      </c>
      <c r="O274" s="2" t="s">
        <v>631</v>
      </c>
      <c r="P274" s="2" t="s">
        <v>166</v>
      </c>
      <c r="Q274" s="2"/>
      <c r="R274" s="2" t="s">
        <v>434</v>
      </c>
      <c r="S274" s="11">
        <v>42191.49931712963</v>
      </c>
    </row>
    <row r="275" ht="12.75" customHeight="1">
      <c r="A275" s="2"/>
      <c r="B275" s="2">
        <v>1.0</v>
      </c>
      <c r="C275" s="2" t="s">
        <v>632</v>
      </c>
      <c r="D275" s="2">
        <v>3.20054369E8</v>
      </c>
      <c r="E275" s="2">
        <v>2.000004003E9</v>
      </c>
      <c r="F275" s="2">
        <v>14047.0</v>
      </c>
      <c r="G275" s="2">
        <v>1.0</v>
      </c>
      <c r="H275" s="2">
        <v>0.0</v>
      </c>
      <c r="I275" s="2">
        <v>470000.0</v>
      </c>
      <c r="J275" s="2">
        <v>1.0</v>
      </c>
      <c r="K275" s="2">
        <v>7.0</v>
      </c>
      <c r="O275" s="2" t="s">
        <v>438</v>
      </c>
      <c r="P275" s="2" t="s">
        <v>166</v>
      </c>
      <c r="Q275" s="2"/>
      <c r="R275" s="2" t="s">
        <v>434</v>
      </c>
      <c r="S275" s="11">
        <v>42191.49931712963</v>
      </c>
    </row>
    <row r="276" ht="12.75" customHeight="1">
      <c r="A276" s="2"/>
      <c r="B276" s="2">
        <v>1.0</v>
      </c>
      <c r="C276" s="2" t="s">
        <v>633</v>
      </c>
      <c r="D276" s="2">
        <v>3.2005437E8</v>
      </c>
      <c r="E276" s="2">
        <v>2.000004003E9</v>
      </c>
      <c r="F276" s="2">
        <v>1.4000035E7</v>
      </c>
      <c r="G276" s="2">
        <v>1.0</v>
      </c>
      <c r="H276" s="2">
        <v>0.0</v>
      </c>
      <c r="I276" s="2">
        <v>538000.0</v>
      </c>
      <c r="J276" s="2">
        <v>1.0</v>
      </c>
      <c r="K276" s="2">
        <v>7.0</v>
      </c>
      <c r="O276" s="2" t="s">
        <v>634</v>
      </c>
      <c r="P276" s="2" t="s">
        <v>166</v>
      </c>
      <c r="Q276" s="2"/>
      <c r="R276" s="2" t="s">
        <v>434</v>
      </c>
      <c r="S276" s="11">
        <v>42191.49931712963</v>
      </c>
    </row>
    <row r="277" ht="12.75" customHeight="1">
      <c r="A277" s="2"/>
      <c r="B277" s="2">
        <v>1.0</v>
      </c>
      <c r="C277" s="2" t="s">
        <v>635</v>
      </c>
      <c r="D277" s="2">
        <v>3.20054375E8</v>
      </c>
      <c r="E277" s="2">
        <v>2.000004004E9</v>
      </c>
      <c r="F277" s="2">
        <v>8544.0</v>
      </c>
      <c r="G277" s="2">
        <v>1.0</v>
      </c>
      <c r="H277" s="2">
        <v>0.0</v>
      </c>
      <c r="I277" s="2">
        <v>365000.0</v>
      </c>
      <c r="J277" s="2">
        <v>1.0</v>
      </c>
      <c r="K277" s="2">
        <v>7.0</v>
      </c>
      <c r="O277" s="2" t="s">
        <v>512</v>
      </c>
      <c r="P277" s="2" t="s">
        <v>166</v>
      </c>
      <c r="Q277" s="2"/>
      <c r="R277" s="2" t="s">
        <v>434</v>
      </c>
      <c r="S277" s="11">
        <v>42191.499340277776</v>
      </c>
    </row>
    <row r="278" ht="12.75" customHeight="1">
      <c r="A278" s="2"/>
      <c r="B278" s="2">
        <v>1.0</v>
      </c>
      <c r="C278" s="2" t="s">
        <v>636</v>
      </c>
      <c r="D278" s="2">
        <v>3.20054376E8</v>
      </c>
      <c r="E278" s="2">
        <v>2.000004005E9</v>
      </c>
      <c r="F278" s="2">
        <v>5310.0</v>
      </c>
      <c r="G278" s="2">
        <v>1.0</v>
      </c>
      <c r="H278" s="2">
        <v>0.0</v>
      </c>
      <c r="I278" s="2">
        <v>355000.0</v>
      </c>
      <c r="J278" s="2">
        <v>1.0</v>
      </c>
      <c r="K278" s="2">
        <v>7.0</v>
      </c>
      <c r="O278" s="2" t="s">
        <v>533</v>
      </c>
      <c r="P278" s="2" t="s">
        <v>166</v>
      </c>
      <c r="Q278" s="2"/>
      <c r="R278" s="2" t="s">
        <v>434</v>
      </c>
      <c r="S278" s="11">
        <v>42191.49936342592</v>
      </c>
    </row>
    <row r="279" ht="12.75" customHeight="1">
      <c r="A279" s="2"/>
      <c r="B279" s="2">
        <v>1.0</v>
      </c>
      <c r="C279" s="2" t="s">
        <v>637</v>
      </c>
      <c r="D279" s="2">
        <v>3.20054378E8</v>
      </c>
      <c r="E279" s="2">
        <v>2.000004006E9</v>
      </c>
      <c r="F279" s="2">
        <v>936.0</v>
      </c>
      <c r="G279" s="2">
        <v>1.0</v>
      </c>
      <c r="H279" s="2">
        <v>0.0</v>
      </c>
      <c r="I279" s="2">
        <v>535000.0</v>
      </c>
      <c r="J279" s="2">
        <v>1.0</v>
      </c>
      <c r="K279" s="2">
        <v>7.0</v>
      </c>
      <c r="O279" s="2" t="s">
        <v>624</v>
      </c>
      <c r="P279" s="2" t="s">
        <v>166</v>
      </c>
      <c r="Q279" s="2"/>
      <c r="R279" s="2" t="s">
        <v>434</v>
      </c>
      <c r="S279" s="11">
        <v>42191.499375</v>
      </c>
    </row>
    <row r="280" ht="12.75" customHeight="1">
      <c r="A280" s="2"/>
      <c r="B280" s="2">
        <v>1.0</v>
      </c>
      <c r="C280" s="2" t="s">
        <v>638</v>
      </c>
      <c r="D280" s="2">
        <v>3.20054381E8</v>
      </c>
      <c r="E280" s="2">
        <v>2.000004006E9</v>
      </c>
      <c r="F280" s="2">
        <v>8526.0</v>
      </c>
      <c r="G280" s="2">
        <v>1.0</v>
      </c>
      <c r="H280" s="2">
        <v>0.0</v>
      </c>
      <c r="I280" s="2">
        <v>545000.0</v>
      </c>
      <c r="J280" s="2">
        <v>1.0</v>
      </c>
      <c r="K280" s="2">
        <v>7.0</v>
      </c>
      <c r="O280" s="2" t="s">
        <v>639</v>
      </c>
      <c r="P280" s="2" t="s">
        <v>166</v>
      </c>
      <c r="Q280" s="2"/>
      <c r="R280" s="2" t="s">
        <v>434</v>
      </c>
      <c r="S280" s="11">
        <v>42191.499386574076</v>
      </c>
    </row>
    <row r="281" ht="12.75" customHeight="1">
      <c r="A281" s="2"/>
      <c r="B281" s="2">
        <v>1.0</v>
      </c>
      <c r="C281" s="2" t="s">
        <v>640</v>
      </c>
      <c r="D281" s="2">
        <v>3.20054382E8</v>
      </c>
      <c r="E281" s="2">
        <v>2.000004007E9</v>
      </c>
      <c r="F281" s="2">
        <v>5456.0</v>
      </c>
      <c r="G281" s="2">
        <v>1.0</v>
      </c>
      <c r="H281" s="2">
        <v>0.0</v>
      </c>
      <c r="I281" s="2">
        <v>550000.0</v>
      </c>
      <c r="J281" s="2">
        <v>1.0</v>
      </c>
      <c r="K281" s="2">
        <v>7.0</v>
      </c>
      <c r="O281" s="2" t="s">
        <v>641</v>
      </c>
      <c r="P281" s="2" t="s">
        <v>166</v>
      </c>
      <c r="Q281" s="2"/>
      <c r="R281" s="2" t="s">
        <v>434</v>
      </c>
      <c r="S281" s="11">
        <v>42191.499398148146</v>
      </c>
    </row>
    <row r="282" ht="12.75" customHeight="1">
      <c r="A282" s="2"/>
      <c r="B282" s="2">
        <v>1.0</v>
      </c>
      <c r="C282" s="2" t="s">
        <v>642</v>
      </c>
      <c r="D282" s="2">
        <v>3.20054384E8</v>
      </c>
      <c r="E282" s="2">
        <v>2.000004007E9</v>
      </c>
      <c r="F282" s="2">
        <v>1.4000038E7</v>
      </c>
      <c r="G282" s="2">
        <v>1.0</v>
      </c>
      <c r="H282" s="2">
        <v>0.0</v>
      </c>
      <c r="I282" s="2">
        <v>355000.0</v>
      </c>
      <c r="J282" s="2">
        <v>1.0</v>
      </c>
      <c r="K282" s="2">
        <v>7.0</v>
      </c>
      <c r="O282" s="2" t="s">
        <v>219</v>
      </c>
      <c r="P282" s="2" t="s">
        <v>166</v>
      </c>
      <c r="Q282" s="2"/>
      <c r="R282" s="2" t="s">
        <v>434</v>
      </c>
      <c r="S282" s="11">
        <v>42191.499398148146</v>
      </c>
    </row>
    <row r="283" ht="12.75" customHeight="1">
      <c r="A283" s="2"/>
      <c r="B283" s="2">
        <v>1.0</v>
      </c>
      <c r="C283" s="2" t="s">
        <v>643</v>
      </c>
      <c r="D283" s="2">
        <v>3.20054387E8</v>
      </c>
      <c r="E283" s="2">
        <v>2.000004008E9</v>
      </c>
      <c r="F283" s="2">
        <v>1013.0</v>
      </c>
      <c r="G283" s="2">
        <v>2.0</v>
      </c>
      <c r="H283" s="2">
        <v>0.0</v>
      </c>
      <c r="I283" s="2">
        <v>460000.0</v>
      </c>
      <c r="J283" s="2">
        <v>1.0</v>
      </c>
      <c r="K283" s="2">
        <v>7.0</v>
      </c>
      <c r="O283" s="2" t="s">
        <v>459</v>
      </c>
      <c r="P283" s="2" t="s">
        <v>166</v>
      </c>
      <c r="Q283" s="2"/>
      <c r="R283" s="2" t="s">
        <v>434</v>
      </c>
      <c r="S283" s="11">
        <v>42191.49951388889</v>
      </c>
    </row>
    <row r="284" ht="12.75" customHeight="1">
      <c r="A284" s="2"/>
      <c r="B284" s="2">
        <v>1.0</v>
      </c>
      <c r="C284" s="2" t="s">
        <v>644</v>
      </c>
      <c r="D284" s="2">
        <v>3.20054395E8</v>
      </c>
      <c r="E284" s="2">
        <v>2.000004009E9</v>
      </c>
      <c r="F284" s="2">
        <v>5310.0</v>
      </c>
      <c r="G284" s="2">
        <v>1.0</v>
      </c>
      <c r="H284" s="2">
        <v>0.0</v>
      </c>
      <c r="I284" s="2">
        <v>355000.0</v>
      </c>
      <c r="J284" s="2">
        <v>1.0</v>
      </c>
      <c r="K284" s="2">
        <v>7.0</v>
      </c>
      <c r="O284" s="2" t="s">
        <v>533</v>
      </c>
      <c r="P284" s="2" t="s">
        <v>166</v>
      </c>
      <c r="Q284" s="2"/>
      <c r="R284" s="2" t="s">
        <v>434</v>
      </c>
      <c r="S284" s="11">
        <v>42191.499560185184</v>
      </c>
    </row>
    <row r="285" ht="12.75" customHeight="1">
      <c r="A285" s="2"/>
      <c r="B285" s="2">
        <v>1.0</v>
      </c>
      <c r="C285" s="2" t="s">
        <v>645</v>
      </c>
      <c r="D285" s="2">
        <v>3.20054388E8</v>
      </c>
      <c r="E285" s="2">
        <v>2.000004009E9</v>
      </c>
      <c r="F285" s="2">
        <v>8514.0</v>
      </c>
      <c r="G285" s="2">
        <v>1.0</v>
      </c>
      <c r="H285" s="2">
        <v>0.0</v>
      </c>
      <c r="I285" s="2">
        <v>575000.0</v>
      </c>
      <c r="J285" s="2">
        <v>1.0</v>
      </c>
      <c r="K285" s="2">
        <v>7.0</v>
      </c>
      <c r="O285" s="2" t="s">
        <v>646</v>
      </c>
      <c r="P285" s="2" t="s">
        <v>166</v>
      </c>
      <c r="Q285" s="2"/>
      <c r="R285" s="2" t="s">
        <v>434</v>
      </c>
      <c r="S285" s="11">
        <v>42191.49952546296</v>
      </c>
    </row>
    <row r="286" ht="12.75" customHeight="1">
      <c r="A286" s="2"/>
      <c r="B286" s="2">
        <v>1.0</v>
      </c>
      <c r="C286" s="2" t="s">
        <v>647</v>
      </c>
      <c r="D286" s="2">
        <v>3.20054391E8</v>
      </c>
      <c r="E286" s="2">
        <v>2.000004009E9</v>
      </c>
      <c r="F286" s="2">
        <v>8515.0</v>
      </c>
      <c r="G286" s="2">
        <v>1.0</v>
      </c>
      <c r="H286" s="2">
        <v>0.0</v>
      </c>
      <c r="I286" s="2">
        <v>635000.0</v>
      </c>
      <c r="J286" s="2">
        <v>1.0</v>
      </c>
      <c r="K286" s="2">
        <v>7.0</v>
      </c>
      <c r="O286" s="2" t="s">
        <v>577</v>
      </c>
      <c r="P286" s="2" t="s">
        <v>166</v>
      </c>
      <c r="Q286" s="2"/>
      <c r="R286" s="2" t="s">
        <v>434</v>
      </c>
      <c r="S286" s="11">
        <v>42191.49953703704</v>
      </c>
    </row>
    <row r="287" ht="12.75" customHeight="1">
      <c r="A287" s="2"/>
      <c r="B287" s="2">
        <v>1.0</v>
      </c>
      <c r="C287" s="2" t="s">
        <v>648</v>
      </c>
      <c r="D287" s="2">
        <v>3.20054392E8</v>
      </c>
      <c r="E287" s="2">
        <v>2.000004009E9</v>
      </c>
      <c r="F287" s="2">
        <v>16049.0</v>
      </c>
      <c r="G287" s="2">
        <v>1.0</v>
      </c>
      <c r="H287" s="2">
        <v>0.0</v>
      </c>
      <c r="I287" s="2">
        <v>470000.0</v>
      </c>
      <c r="J287" s="2">
        <v>1.0</v>
      </c>
      <c r="K287" s="2">
        <v>7.0</v>
      </c>
      <c r="O287" s="2" t="s">
        <v>649</v>
      </c>
      <c r="P287" s="2" t="s">
        <v>166</v>
      </c>
      <c r="Q287" s="2"/>
      <c r="R287" s="2" t="s">
        <v>434</v>
      </c>
      <c r="S287" s="11">
        <v>42191.49953703704</v>
      </c>
    </row>
    <row r="288" ht="12.75" customHeight="1">
      <c r="A288" s="2"/>
      <c r="B288" s="2">
        <v>1.0</v>
      </c>
      <c r="C288" s="2" t="s">
        <v>650</v>
      </c>
      <c r="D288" s="2">
        <v>3.20054396E8</v>
      </c>
      <c r="E288" s="2">
        <v>2.00000401E9</v>
      </c>
      <c r="F288" s="2">
        <v>1013.0</v>
      </c>
      <c r="G288" s="2">
        <v>2.0</v>
      </c>
      <c r="H288" s="2">
        <v>0.0</v>
      </c>
      <c r="I288" s="2">
        <v>460000.0</v>
      </c>
      <c r="J288" s="2">
        <v>1.0</v>
      </c>
      <c r="K288" s="2">
        <v>7.0</v>
      </c>
      <c r="O288" s="2" t="s">
        <v>459</v>
      </c>
      <c r="P288" s="2" t="s">
        <v>166</v>
      </c>
      <c r="Q288" s="2"/>
      <c r="R288" s="2" t="s">
        <v>434</v>
      </c>
      <c r="S288" s="11">
        <v>42191.49957175926</v>
      </c>
    </row>
    <row r="289" ht="12.75" customHeight="1">
      <c r="A289" s="2"/>
      <c r="B289" s="2">
        <v>1.0</v>
      </c>
      <c r="C289" s="2" t="s">
        <v>651</v>
      </c>
      <c r="D289" s="2">
        <v>3.20054401E8</v>
      </c>
      <c r="E289" s="2">
        <v>2.000004012E9</v>
      </c>
      <c r="F289" s="2">
        <v>1008.0</v>
      </c>
      <c r="G289" s="2">
        <v>1.0</v>
      </c>
      <c r="H289" s="2">
        <v>0.0</v>
      </c>
      <c r="I289" s="2">
        <v>215000.0</v>
      </c>
      <c r="J289" s="2">
        <v>1.0</v>
      </c>
      <c r="K289" s="2">
        <v>7.0</v>
      </c>
      <c r="O289" s="2" t="s">
        <v>490</v>
      </c>
      <c r="P289" s="2" t="s">
        <v>166</v>
      </c>
      <c r="Q289" s="2"/>
      <c r="R289" s="2" t="s">
        <v>434</v>
      </c>
      <c r="S289" s="11">
        <v>42191.49958333333</v>
      </c>
    </row>
    <row r="290" ht="12.75" customHeight="1">
      <c r="A290" s="2"/>
      <c r="B290" s="2">
        <v>1.0</v>
      </c>
      <c r="C290" s="2" t="s">
        <v>652</v>
      </c>
      <c r="D290" s="2">
        <v>3.20054402E8</v>
      </c>
      <c r="E290" s="2">
        <v>2.000004012E9</v>
      </c>
      <c r="F290" s="2">
        <v>1013.0</v>
      </c>
      <c r="G290" s="2">
        <v>1.0</v>
      </c>
      <c r="H290" s="2">
        <v>0.0</v>
      </c>
      <c r="I290" s="2">
        <v>230000.0</v>
      </c>
      <c r="J290" s="2">
        <v>1.0</v>
      </c>
      <c r="K290" s="2">
        <v>7.0</v>
      </c>
      <c r="O290" s="2" t="s">
        <v>459</v>
      </c>
      <c r="P290" s="2" t="s">
        <v>166</v>
      </c>
      <c r="Q290" s="2"/>
      <c r="R290" s="2" t="s">
        <v>434</v>
      </c>
      <c r="S290" s="11">
        <v>42191.49959490741</v>
      </c>
    </row>
    <row r="291" ht="12.75" customHeight="1">
      <c r="A291" s="2"/>
      <c r="B291" s="2">
        <v>1.0</v>
      </c>
      <c r="C291" s="2" t="s">
        <v>653</v>
      </c>
      <c r="D291" s="2">
        <v>3.20054399E8</v>
      </c>
      <c r="E291" s="2">
        <v>2.000004012E9</v>
      </c>
      <c r="F291" s="2">
        <v>15982.0</v>
      </c>
      <c r="G291" s="2">
        <v>2.0</v>
      </c>
      <c r="H291" s="2">
        <v>0.0</v>
      </c>
      <c r="I291" s="2">
        <v>1120000.0</v>
      </c>
      <c r="J291" s="2">
        <v>1.0</v>
      </c>
      <c r="K291" s="2">
        <v>7.0</v>
      </c>
      <c r="O291" s="2" t="s">
        <v>654</v>
      </c>
      <c r="P291" s="2" t="s">
        <v>166</v>
      </c>
      <c r="Q291" s="2"/>
      <c r="R291" s="2" t="s">
        <v>434</v>
      </c>
      <c r="S291" s="11">
        <v>42191.49958333333</v>
      </c>
    </row>
    <row r="292" ht="12.75" customHeight="1">
      <c r="A292" s="2"/>
      <c r="B292" s="2">
        <v>1.0</v>
      </c>
      <c r="C292" s="2" t="s">
        <v>655</v>
      </c>
      <c r="D292" s="2">
        <v>3.20054404E8</v>
      </c>
      <c r="E292" s="2">
        <v>2.000004013E9</v>
      </c>
      <c r="F292" s="2">
        <v>15175.0</v>
      </c>
      <c r="G292" s="2">
        <v>1.0</v>
      </c>
      <c r="H292" s="2">
        <v>0.0</v>
      </c>
      <c r="I292" s="2">
        <v>618000.0</v>
      </c>
      <c r="J292" s="2">
        <v>1.0</v>
      </c>
      <c r="K292" s="2">
        <v>7.0</v>
      </c>
      <c r="O292" s="2" t="s">
        <v>656</v>
      </c>
      <c r="P292" s="2" t="s">
        <v>166</v>
      </c>
      <c r="Q292" s="2"/>
      <c r="R292" s="2" t="s">
        <v>434</v>
      </c>
      <c r="S292" s="11">
        <v>42191.499606481484</v>
      </c>
    </row>
    <row r="293" ht="12.75" customHeight="1">
      <c r="A293" s="2"/>
      <c r="B293" s="2">
        <v>1.0</v>
      </c>
      <c r="C293" s="2" t="s">
        <v>657</v>
      </c>
      <c r="D293" s="2">
        <v>3.20054406E8</v>
      </c>
      <c r="E293" s="2">
        <v>2.000004014E9</v>
      </c>
      <c r="F293" s="2">
        <v>8544.0</v>
      </c>
      <c r="G293" s="2">
        <v>1.0</v>
      </c>
      <c r="H293" s="2">
        <v>0.0</v>
      </c>
      <c r="I293" s="2">
        <v>365000.0</v>
      </c>
      <c r="J293" s="2">
        <v>1.0</v>
      </c>
      <c r="K293" s="2">
        <v>7.0</v>
      </c>
      <c r="O293" s="2" t="s">
        <v>512</v>
      </c>
      <c r="P293" s="2" t="s">
        <v>166</v>
      </c>
      <c r="Q293" s="2"/>
      <c r="R293" s="2" t="s">
        <v>434</v>
      </c>
      <c r="S293" s="11">
        <v>42191.49961805555</v>
      </c>
    </row>
    <row r="294" ht="12.75" customHeight="1">
      <c r="A294" s="2"/>
      <c r="B294" s="2">
        <v>1.0</v>
      </c>
      <c r="C294" s="2" t="s">
        <v>658</v>
      </c>
      <c r="D294" s="2">
        <v>3.20054409E8</v>
      </c>
      <c r="E294" s="2">
        <v>2.000004015E9</v>
      </c>
      <c r="F294" s="2">
        <v>8528.0</v>
      </c>
      <c r="G294" s="2">
        <v>2.0</v>
      </c>
      <c r="H294" s="2">
        <v>0.0</v>
      </c>
      <c r="I294" s="2">
        <v>110000.0</v>
      </c>
      <c r="J294" s="2">
        <v>1.0</v>
      </c>
      <c r="K294" s="2">
        <v>7.0</v>
      </c>
      <c r="O294" s="2" t="s">
        <v>531</v>
      </c>
      <c r="P294" s="2" t="s">
        <v>166</v>
      </c>
      <c r="Q294" s="2"/>
      <c r="R294" s="2" t="s">
        <v>434</v>
      </c>
      <c r="S294" s="11">
        <v>42191.49962962963</v>
      </c>
    </row>
    <row r="295" ht="12.75" customHeight="1">
      <c r="A295" s="2"/>
      <c r="B295" s="2">
        <v>1.0</v>
      </c>
      <c r="C295" s="2" t="s">
        <v>659</v>
      </c>
      <c r="D295" s="2">
        <v>3.2005441E8</v>
      </c>
      <c r="E295" s="2">
        <v>2.000004015E9</v>
      </c>
      <c r="F295" s="2">
        <v>13814.0</v>
      </c>
      <c r="G295" s="2">
        <v>1.0</v>
      </c>
      <c r="H295" s="2">
        <v>0.0</v>
      </c>
      <c r="I295" s="2">
        <v>195000.0</v>
      </c>
      <c r="J295" s="2">
        <v>1.0</v>
      </c>
      <c r="K295" s="2">
        <v>7.0</v>
      </c>
      <c r="O295" s="2" t="s">
        <v>486</v>
      </c>
      <c r="P295" s="2" t="s">
        <v>166</v>
      </c>
      <c r="Q295" s="2"/>
      <c r="R295" s="2" t="s">
        <v>434</v>
      </c>
      <c r="S295" s="11">
        <v>42191.49962962963</v>
      </c>
    </row>
    <row r="296" ht="12.75" customHeight="1">
      <c r="A296" s="2"/>
      <c r="B296" s="2">
        <v>1.0</v>
      </c>
      <c r="C296" s="2" t="s">
        <v>660</v>
      </c>
      <c r="D296" s="2">
        <v>3.20054412E8</v>
      </c>
      <c r="E296" s="2">
        <v>2.000004016E9</v>
      </c>
      <c r="F296" s="2">
        <v>8520.0</v>
      </c>
      <c r="G296" s="2">
        <v>1.0</v>
      </c>
      <c r="H296" s="2">
        <v>0.0</v>
      </c>
      <c r="I296" s="2">
        <v>435000.0</v>
      </c>
      <c r="J296" s="2">
        <v>1.0</v>
      </c>
      <c r="K296" s="2">
        <v>7.0</v>
      </c>
      <c r="O296" s="2" t="s">
        <v>552</v>
      </c>
      <c r="P296" s="2" t="s">
        <v>166</v>
      </c>
      <c r="Q296" s="2"/>
      <c r="R296" s="2" t="s">
        <v>434</v>
      </c>
      <c r="S296" s="11">
        <v>42191.49964120371</v>
      </c>
    </row>
    <row r="297" ht="12.75" customHeight="1">
      <c r="A297" s="2"/>
      <c r="B297" s="2">
        <v>1.0</v>
      </c>
      <c r="C297" s="2" t="s">
        <v>661</v>
      </c>
      <c r="D297" s="2">
        <v>3.20054419E8</v>
      </c>
      <c r="E297" s="2">
        <v>2.000004017E9</v>
      </c>
      <c r="F297" s="2">
        <v>3148.0</v>
      </c>
      <c r="G297" s="2">
        <v>2.0</v>
      </c>
      <c r="H297" s="2">
        <v>0.0</v>
      </c>
      <c r="I297" s="2">
        <v>80000.0</v>
      </c>
      <c r="J297" s="2">
        <v>1.0</v>
      </c>
      <c r="K297" s="2">
        <v>7.0</v>
      </c>
      <c r="O297" s="2" t="s">
        <v>560</v>
      </c>
      <c r="P297" s="2" t="s">
        <v>166</v>
      </c>
      <c r="Q297" s="2"/>
      <c r="R297" s="2" t="s">
        <v>434</v>
      </c>
      <c r="S297" s="11">
        <v>42191.4996875</v>
      </c>
    </row>
    <row r="298" ht="12.75" customHeight="1">
      <c r="A298" s="2"/>
      <c r="B298" s="2">
        <v>1.0</v>
      </c>
      <c r="C298" s="2" t="s">
        <v>662</v>
      </c>
      <c r="D298" s="2">
        <v>3.20054414E8</v>
      </c>
      <c r="E298" s="2">
        <v>2.000004017E9</v>
      </c>
      <c r="F298" s="2">
        <v>14114.0</v>
      </c>
      <c r="G298" s="2">
        <v>1.0</v>
      </c>
      <c r="H298" s="2">
        <v>0.0</v>
      </c>
      <c r="I298" s="2">
        <v>255000.0</v>
      </c>
      <c r="J298" s="2">
        <v>1.0</v>
      </c>
      <c r="K298" s="2">
        <v>7.0</v>
      </c>
      <c r="O298" s="2" t="s">
        <v>663</v>
      </c>
      <c r="P298" s="2" t="s">
        <v>166</v>
      </c>
      <c r="Q298" s="2"/>
      <c r="R298" s="2" t="s">
        <v>434</v>
      </c>
      <c r="S298" s="11">
        <v>42191.49967592592</v>
      </c>
    </row>
    <row r="299" ht="12.75" customHeight="1">
      <c r="A299" s="2"/>
      <c r="B299" s="2">
        <v>1.0</v>
      </c>
      <c r="C299" s="2" t="s">
        <v>664</v>
      </c>
      <c r="D299" s="2">
        <v>3.20054417E8</v>
      </c>
      <c r="E299" s="2">
        <v>2.000004017E9</v>
      </c>
      <c r="F299" s="2">
        <v>14645.0</v>
      </c>
      <c r="G299" s="2">
        <v>1.0</v>
      </c>
      <c r="H299" s="2">
        <v>0.0</v>
      </c>
      <c r="I299" s="2">
        <v>275000.0</v>
      </c>
      <c r="J299" s="2">
        <v>1.0</v>
      </c>
      <c r="K299" s="2">
        <v>7.0</v>
      </c>
      <c r="O299" s="2" t="s">
        <v>626</v>
      </c>
      <c r="P299" s="2" t="s">
        <v>166</v>
      </c>
      <c r="Q299" s="2"/>
      <c r="R299" s="2" t="s">
        <v>434</v>
      </c>
      <c r="S299" s="11">
        <v>42191.4996875</v>
      </c>
    </row>
    <row r="300" ht="12.75" customHeight="1">
      <c r="A300" s="2"/>
      <c r="B300" s="2">
        <v>1.0</v>
      </c>
      <c r="C300" s="2" t="s">
        <v>665</v>
      </c>
      <c r="D300" s="2">
        <v>3.2005442E8</v>
      </c>
      <c r="E300" s="2">
        <v>2.000004018E9</v>
      </c>
      <c r="F300" s="2">
        <v>14813.0</v>
      </c>
      <c r="G300" s="2">
        <v>1.0</v>
      </c>
      <c r="H300" s="2">
        <v>0.0</v>
      </c>
      <c r="I300" s="2">
        <v>165000.0</v>
      </c>
      <c r="J300" s="2">
        <v>1.0</v>
      </c>
      <c r="K300" s="2">
        <v>7.0</v>
      </c>
      <c r="O300" s="2" t="s">
        <v>607</v>
      </c>
      <c r="P300" s="2" t="s">
        <v>166</v>
      </c>
      <c r="Q300" s="2"/>
      <c r="R300" s="2" t="s">
        <v>434</v>
      </c>
      <c r="S300" s="11">
        <v>42191.49969907408</v>
      </c>
    </row>
    <row r="301" ht="12.75" customHeight="1">
      <c r="A301" s="2"/>
      <c r="B301" s="2">
        <v>1.0</v>
      </c>
      <c r="C301" s="2" t="s">
        <v>666</v>
      </c>
      <c r="D301" s="2">
        <v>3.20054431E8</v>
      </c>
      <c r="E301" s="2">
        <v>2.000004019E9</v>
      </c>
      <c r="F301" s="2">
        <v>1007.0</v>
      </c>
      <c r="G301" s="2">
        <v>1.0</v>
      </c>
      <c r="H301" s="2">
        <v>0.0</v>
      </c>
      <c r="I301" s="2">
        <v>245000.0</v>
      </c>
      <c r="J301" s="2">
        <v>1.0</v>
      </c>
      <c r="K301" s="2">
        <v>7.0</v>
      </c>
      <c r="O301" s="2" t="s">
        <v>667</v>
      </c>
      <c r="P301" s="2" t="s">
        <v>166</v>
      </c>
      <c r="Q301" s="2"/>
      <c r="R301" s="2" t="s">
        <v>434</v>
      </c>
      <c r="S301" s="11">
        <v>42191.49974537037</v>
      </c>
    </row>
    <row r="302" ht="12.75" customHeight="1">
      <c r="A302" s="2"/>
      <c r="B302" s="2">
        <v>1.0</v>
      </c>
      <c r="C302" s="2" t="s">
        <v>668</v>
      </c>
      <c r="D302" s="2">
        <v>3.20054422E8</v>
      </c>
      <c r="E302" s="2">
        <v>2.00000402E9</v>
      </c>
      <c r="F302" s="2">
        <v>5327.0</v>
      </c>
      <c r="G302" s="2">
        <v>1.0</v>
      </c>
      <c r="H302" s="2">
        <v>0.0</v>
      </c>
      <c r="I302" s="2">
        <v>395000.0</v>
      </c>
      <c r="J302" s="2">
        <v>1.0</v>
      </c>
      <c r="K302" s="2">
        <v>7.0</v>
      </c>
      <c r="O302" s="2" t="s">
        <v>622</v>
      </c>
      <c r="P302" s="2" t="s">
        <v>166</v>
      </c>
      <c r="Q302" s="2"/>
      <c r="R302" s="2" t="s">
        <v>434</v>
      </c>
      <c r="S302" s="11">
        <v>42191.49972222222</v>
      </c>
    </row>
    <row r="303" ht="12.75" customHeight="1">
      <c r="A303" s="2"/>
      <c r="B303" s="2">
        <v>1.0</v>
      </c>
      <c r="C303" s="2" t="s">
        <v>669</v>
      </c>
      <c r="D303" s="2">
        <v>3.20054424E8</v>
      </c>
      <c r="E303" s="2">
        <v>2.00000402E9</v>
      </c>
      <c r="F303" s="2">
        <v>1.4000038E7</v>
      </c>
      <c r="G303" s="2">
        <v>1.0</v>
      </c>
      <c r="H303" s="2">
        <v>0.0</v>
      </c>
      <c r="I303" s="2">
        <v>355000.0</v>
      </c>
      <c r="J303" s="2">
        <v>1.0</v>
      </c>
      <c r="K303" s="2">
        <v>7.0</v>
      </c>
      <c r="O303" s="2" t="s">
        <v>219</v>
      </c>
      <c r="P303" s="2" t="s">
        <v>166</v>
      </c>
      <c r="Q303" s="2"/>
      <c r="R303" s="2" t="s">
        <v>434</v>
      </c>
      <c r="S303" s="11">
        <v>42191.49972222222</v>
      </c>
    </row>
    <row r="304" ht="12.75" customHeight="1">
      <c r="A304" s="2"/>
      <c r="B304" s="2">
        <v>1.0</v>
      </c>
      <c r="C304" s="2" t="s">
        <v>670</v>
      </c>
      <c r="D304" s="2">
        <v>3.20054426E8</v>
      </c>
      <c r="E304" s="2">
        <v>2.000004021E9</v>
      </c>
      <c r="F304" s="2">
        <v>8544.0</v>
      </c>
      <c r="G304" s="2">
        <v>1.0</v>
      </c>
      <c r="H304" s="2">
        <v>0.0</v>
      </c>
      <c r="I304" s="2">
        <v>365000.0</v>
      </c>
      <c r="J304" s="2">
        <v>1.0</v>
      </c>
      <c r="K304" s="2">
        <v>7.0</v>
      </c>
      <c r="O304" s="2" t="s">
        <v>512</v>
      </c>
      <c r="P304" s="2" t="s">
        <v>166</v>
      </c>
      <c r="Q304" s="2"/>
      <c r="R304" s="2" t="s">
        <v>434</v>
      </c>
      <c r="S304" s="11">
        <v>42191.4997337963</v>
      </c>
    </row>
    <row r="305" ht="12.75" customHeight="1">
      <c r="A305" s="2"/>
      <c r="B305" s="2">
        <v>1.0</v>
      </c>
      <c r="C305" s="2" t="s">
        <v>671</v>
      </c>
      <c r="D305" s="2">
        <v>3.20054429E8</v>
      </c>
      <c r="E305" s="2">
        <v>2.000004022E9</v>
      </c>
      <c r="F305" s="2">
        <v>991.0</v>
      </c>
      <c r="G305" s="2">
        <v>1.0</v>
      </c>
      <c r="H305" s="2">
        <v>0.0</v>
      </c>
      <c r="I305" s="2">
        <v>590000.0</v>
      </c>
      <c r="J305" s="2">
        <v>1.0</v>
      </c>
      <c r="K305" s="2">
        <v>7.0</v>
      </c>
      <c r="O305" s="2" t="s">
        <v>591</v>
      </c>
      <c r="P305" s="2" t="s">
        <v>166</v>
      </c>
      <c r="Q305" s="2"/>
      <c r="R305" s="2" t="s">
        <v>434</v>
      </c>
      <c r="S305" s="11">
        <v>42191.4997337963</v>
      </c>
    </row>
    <row r="306" ht="12.75" customHeight="1">
      <c r="A306" s="2"/>
      <c r="B306" s="2">
        <v>1.0</v>
      </c>
      <c r="C306" s="2" t="s">
        <v>672</v>
      </c>
      <c r="D306" s="2">
        <v>3.20054432E8</v>
      </c>
      <c r="E306" s="2">
        <v>2.000004023E9</v>
      </c>
      <c r="F306" s="2">
        <v>15714.0</v>
      </c>
      <c r="G306" s="2">
        <v>1.0</v>
      </c>
      <c r="H306" s="2">
        <v>0.0</v>
      </c>
      <c r="I306" s="2">
        <v>385000.0</v>
      </c>
      <c r="J306" s="2">
        <v>1.0</v>
      </c>
      <c r="K306" s="2">
        <v>7.0</v>
      </c>
      <c r="O306" s="2" t="s">
        <v>673</v>
      </c>
      <c r="P306" s="2" t="s">
        <v>166</v>
      </c>
      <c r="Q306" s="2"/>
      <c r="R306" s="2" t="s">
        <v>434</v>
      </c>
      <c r="S306" s="11">
        <v>42191.499756944446</v>
      </c>
    </row>
    <row r="307" ht="12.75" customHeight="1">
      <c r="A307" s="2"/>
      <c r="B307" s="2">
        <v>1.0</v>
      </c>
      <c r="C307" s="2" t="s">
        <v>674</v>
      </c>
      <c r="D307" s="2">
        <v>3.20054435E8</v>
      </c>
      <c r="E307" s="2">
        <v>2.000004024E9</v>
      </c>
      <c r="F307" s="2">
        <v>975.0</v>
      </c>
      <c r="G307" s="2">
        <v>1.0</v>
      </c>
      <c r="H307" s="2">
        <v>0.0</v>
      </c>
      <c r="I307" s="2">
        <v>495000.0</v>
      </c>
      <c r="J307" s="2">
        <v>1.0</v>
      </c>
      <c r="K307" s="2">
        <v>7.0</v>
      </c>
      <c r="O307" s="2" t="s">
        <v>488</v>
      </c>
      <c r="P307" s="2" t="s">
        <v>166</v>
      </c>
      <c r="Q307" s="2"/>
      <c r="R307" s="2" t="s">
        <v>434</v>
      </c>
      <c r="S307" s="11">
        <v>42191.499756944446</v>
      </c>
    </row>
    <row r="308" ht="12.75" customHeight="1">
      <c r="A308" s="2"/>
      <c r="B308" s="2">
        <v>1.0</v>
      </c>
      <c r="C308" s="2" t="s">
        <v>675</v>
      </c>
      <c r="D308" s="2">
        <v>3.20054436E8</v>
      </c>
      <c r="E308" s="2">
        <v>2.000004024E9</v>
      </c>
      <c r="F308" s="2">
        <v>991.0</v>
      </c>
      <c r="G308" s="2">
        <v>-1.0</v>
      </c>
      <c r="H308" s="2">
        <v>0.0</v>
      </c>
      <c r="I308" s="2">
        <v>-590000.0</v>
      </c>
      <c r="J308" s="2">
        <v>1.0</v>
      </c>
      <c r="K308" s="2">
        <v>7.0</v>
      </c>
      <c r="O308" s="2" t="s">
        <v>591</v>
      </c>
      <c r="P308" s="2" t="s">
        <v>166</v>
      </c>
      <c r="Q308" s="2"/>
      <c r="R308" s="2" t="s">
        <v>434</v>
      </c>
      <c r="S308" s="11">
        <v>42191.499768518515</v>
      </c>
    </row>
    <row r="309" ht="12.75" customHeight="1">
      <c r="A309" s="2"/>
      <c r="B309" s="2">
        <v>1.0</v>
      </c>
      <c r="C309" s="2" t="s">
        <v>676</v>
      </c>
      <c r="D309" s="2">
        <v>3.20054441E8</v>
      </c>
      <c r="E309" s="2">
        <v>2.000004025E9</v>
      </c>
      <c r="F309" s="2">
        <v>3148.0</v>
      </c>
      <c r="G309" s="2">
        <v>1.0</v>
      </c>
      <c r="H309" s="2">
        <v>0.0</v>
      </c>
      <c r="I309" s="2">
        <v>40000.0</v>
      </c>
      <c r="J309" s="2">
        <v>1.0</v>
      </c>
      <c r="K309" s="2">
        <v>7.0</v>
      </c>
      <c r="O309" s="2" t="s">
        <v>560</v>
      </c>
      <c r="P309" s="2" t="s">
        <v>166</v>
      </c>
      <c r="Q309" s="2"/>
      <c r="R309" s="2" t="s">
        <v>434</v>
      </c>
      <c r="S309" s="11">
        <v>42191.499768518515</v>
      </c>
    </row>
    <row r="310" ht="12.75" customHeight="1">
      <c r="A310" s="2"/>
      <c r="B310" s="2">
        <v>1.0</v>
      </c>
      <c r="C310" s="2" t="s">
        <v>677</v>
      </c>
      <c r="D310" s="2">
        <v>3.20054439E8</v>
      </c>
      <c r="E310" s="2">
        <v>2.000004025E9</v>
      </c>
      <c r="F310" s="2">
        <v>9736.0</v>
      </c>
      <c r="G310" s="2">
        <v>1.0</v>
      </c>
      <c r="H310" s="2">
        <v>0.0</v>
      </c>
      <c r="I310" s="2">
        <v>371000.0</v>
      </c>
      <c r="J310" s="2">
        <v>1.0</v>
      </c>
      <c r="K310" s="2">
        <v>7.0</v>
      </c>
      <c r="O310" s="2" t="s">
        <v>516</v>
      </c>
      <c r="P310" s="2" t="s">
        <v>166</v>
      </c>
      <c r="Q310" s="2"/>
      <c r="R310" s="2" t="s">
        <v>434</v>
      </c>
      <c r="S310" s="11">
        <v>42191.499768518515</v>
      </c>
    </row>
    <row r="311" ht="12.75" customHeight="1">
      <c r="A311" s="2"/>
      <c r="B311" s="2">
        <v>1.0</v>
      </c>
      <c r="C311" s="2" t="s">
        <v>678</v>
      </c>
      <c r="D311" s="2">
        <v>3.20054444E8</v>
      </c>
      <c r="E311" s="2">
        <v>2.000004026E9</v>
      </c>
      <c r="F311" s="2">
        <v>996.0</v>
      </c>
      <c r="G311" s="2">
        <v>1.0</v>
      </c>
      <c r="H311" s="2">
        <v>0.0</v>
      </c>
      <c r="I311" s="2">
        <v>535000.0</v>
      </c>
      <c r="J311" s="2">
        <v>1.0</v>
      </c>
      <c r="K311" s="2">
        <v>7.0</v>
      </c>
      <c r="O311" s="2" t="s">
        <v>679</v>
      </c>
      <c r="P311" s="2" t="s">
        <v>166</v>
      </c>
      <c r="Q311" s="2"/>
      <c r="R311" s="2" t="s">
        <v>434</v>
      </c>
      <c r="S311" s="11">
        <v>42191.49978009259</v>
      </c>
    </row>
    <row r="312" ht="12.75" customHeight="1">
      <c r="A312" s="2"/>
      <c r="B312" s="2">
        <v>1.0</v>
      </c>
      <c r="C312" s="2" t="s">
        <v>680</v>
      </c>
      <c r="D312" s="2">
        <v>3.20054442E8</v>
      </c>
      <c r="E312" s="2">
        <v>2.000004026E9</v>
      </c>
      <c r="F312" s="2">
        <v>6600.0</v>
      </c>
      <c r="G312" s="2">
        <v>1.0</v>
      </c>
      <c r="H312" s="2">
        <v>0.0</v>
      </c>
      <c r="I312" s="2">
        <v>150000.0</v>
      </c>
      <c r="J312" s="2">
        <v>1.0</v>
      </c>
      <c r="K312" s="2">
        <v>7.0</v>
      </c>
      <c r="O312" s="2" t="s">
        <v>681</v>
      </c>
      <c r="P312" s="2" t="s">
        <v>166</v>
      </c>
      <c r="Q312" s="2"/>
      <c r="R312" s="2" t="s">
        <v>434</v>
      </c>
      <c r="S312" s="11">
        <v>42191.49978009259</v>
      </c>
    </row>
    <row r="313" ht="12.75" customHeight="1">
      <c r="A313" s="2"/>
      <c r="B313" s="2">
        <v>1.0</v>
      </c>
      <c r="C313" s="2" t="s">
        <v>682</v>
      </c>
      <c r="D313" s="2">
        <v>3.20054447E8</v>
      </c>
      <c r="E313" s="2">
        <v>2.000004027E9</v>
      </c>
      <c r="F313" s="2">
        <v>9728.0</v>
      </c>
      <c r="G313" s="2">
        <v>1.0</v>
      </c>
      <c r="H313" s="2">
        <v>0.0</v>
      </c>
      <c r="I313" s="2">
        <v>257000.0</v>
      </c>
      <c r="J313" s="2">
        <v>1.0</v>
      </c>
      <c r="K313" s="2">
        <v>7.0</v>
      </c>
      <c r="O313" s="2" t="s">
        <v>683</v>
      </c>
      <c r="P313" s="2" t="s">
        <v>166</v>
      </c>
      <c r="Q313" s="2"/>
      <c r="R313" s="2" t="s">
        <v>434</v>
      </c>
      <c r="S313" s="11">
        <v>42191.49979166667</v>
      </c>
    </row>
    <row r="314" ht="12.75" customHeight="1">
      <c r="A314" s="2"/>
      <c r="B314" s="2">
        <v>1.0</v>
      </c>
      <c r="C314" s="2" t="s">
        <v>684</v>
      </c>
      <c r="D314" s="2">
        <v>3.20054448E8</v>
      </c>
      <c r="E314" s="2">
        <v>2.000004028E9</v>
      </c>
      <c r="F314" s="2">
        <v>1.4000039E7</v>
      </c>
      <c r="G314" s="2">
        <v>1.0</v>
      </c>
      <c r="H314" s="2">
        <v>0.0</v>
      </c>
      <c r="I314" s="2">
        <v>288000.0</v>
      </c>
      <c r="J314" s="2">
        <v>1.0</v>
      </c>
      <c r="K314" s="2">
        <v>7.0</v>
      </c>
      <c r="O314" s="2" t="s">
        <v>451</v>
      </c>
      <c r="P314" s="2" t="s">
        <v>166</v>
      </c>
      <c r="Q314" s="2"/>
      <c r="R314" s="2" t="s">
        <v>434</v>
      </c>
      <c r="S314" s="11">
        <v>42191.49979166667</v>
      </c>
    </row>
    <row r="315" ht="12.75" customHeight="1">
      <c r="A315" s="2"/>
      <c r="B315" s="2">
        <v>1.0</v>
      </c>
      <c r="C315" s="2" t="s">
        <v>685</v>
      </c>
      <c r="D315" s="2">
        <v>3.2005445E8</v>
      </c>
      <c r="E315" s="2">
        <v>2.000004029E9</v>
      </c>
      <c r="F315" s="2">
        <v>8513.0</v>
      </c>
      <c r="G315" s="2">
        <v>1.0</v>
      </c>
      <c r="H315" s="2">
        <v>0.0</v>
      </c>
      <c r="I315" s="2">
        <v>535000.0</v>
      </c>
      <c r="J315" s="2">
        <v>1.0</v>
      </c>
      <c r="K315" s="2">
        <v>7.0</v>
      </c>
      <c r="O315" s="2" t="s">
        <v>596</v>
      </c>
      <c r="P315" s="2" t="s">
        <v>166</v>
      </c>
      <c r="Q315" s="2"/>
      <c r="R315" s="2" t="s">
        <v>434</v>
      </c>
      <c r="S315" s="11">
        <v>42191.49980324074</v>
      </c>
    </row>
    <row r="316" ht="12.75" customHeight="1">
      <c r="A316" s="2"/>
      <c r="B316" s="2">
        <v>1.0</v>
      </c>
      <c r="C316" s="2" t="s">
        <v>686</v>
      </c>
      <c r="D316" s="2">
        <v>3.20054453E8</v>
      </c>
      <c r="E316" s="2">
        <v>2.00000403E9</v>
      </c>
      <c r="F316" s="2">
        <v>14437.0</v>
      </c>
      <c r="G316" s="2">
        <v>1.0</v>
      </c>
      <c r="H316" s="2">
        <v>0.0</v>
      </c>
      <c r="I316" s="2">
        <v>470000.0</v>
      </c>
      <c r="J316" s="2">
        <v>1.0</v>
      </c>
      <c r="K316" s="2">
        <v>7.0</v>
      </c>
      <c r="O316" s="2" t="s">
        <v>687</v>
      </c>
      <c r="P316" s="2" t="s">
        <v>166</v>
      </c>
      <c r="Q316" s="2"/>
      <c r="R316" s="2" t="s">
        <v>434</v>
      </c>
      <c r="S316" s="11">
        <v>42191.49983796296</v>
      </c>
    </row>
    <row r="317" ht="12.75" customHeight="1">
      <c r="A317" s="2"/>
      <c r="B317" s="2">
        <v>1.0</v>
      </c>
      <c r="C317" s="2" t="s">
        <v>688</v>
      </c>
      <c r="D317" s="2">
        <v>3.20054454E8</v>
      </c>
      <c r="E317" s="2">
        <v>2.00000403E9</v>
      </c>
      <c r="F317" s="2">
        <v>15211.0</v>
      </c>
      <c r="G317" s="2">
        <v>1.0</v>
      </c>
      <c r="H317" s="2">
        <v>0.0</v>
      </c>
      <c r="I317" s="2">
        <v>560000.0</v>
      </c>
      <c r="J317" s="2">
        <v>1.0</v>
      </c>
      <c r="K317" s="2">
        <v>7.0</v>
      </c>
      <c r="O317" s="2" t="s">
        <v>689</v>
      </c>
      <c r="P317" s="2" t="s">
        <v>166</v>
      </c>
      <c r="Q317" s="2"/>
      <c r="R317" s="2" t="s">
        <v>434</v>
      </c>
      <c r="S317" s="11">
        <v>42191.49983796296</v>
      </c>
    </row>
    <row r="318" ht="12.75" customHeight="1">
      <c r="A318" s="2"/>
      <c r="B318" s="2">
        <v>1.0</v>
      </c>
      <c r="C318" s="2" t="s">
        <v>690</v>
      </c>
      <c r="D318" s="2">
        <v>3.20054468E8</v>
      </c>
      <c r="E318" s="2">
        <v>2.000004031E9</v>
      </c>
      <c r="F318" s="2">
        <v>3259.0</v>
      </c>
      <c r="G318" s="2">
        <v>1.0</v>
      </c>
      <c r="H318" s="2">
        <v>5800.0</v>
      </c>
      <c r="I318" s="2">
        <v>58000.0</v>
      </c>
      <c r="J318" s="2">
        <v>1.0</v>
      </c>
      <c r="K318" s="2">
        <v>7.0</v>
      </c>
      <c r="O318" s="2" t="s">
        <v>691</v>
      </c>
      <c r="P318" s="2" t="s">
        <v>166</v>
      </c>
      <c r="Q318" s="2"/>
      <c r="R318" s="2" t="s">
        <v>434</v>
      </c>
      <c r="S318" s="11">
        <v>42191.49986111111</v>
      </c>
    </row>
    <row r="319" ht="12.75" customHeight="1">
      <c r="A319" s="2"/>
      <c r="B319" s="2">
        <v>1.0</v>
      </c>
      <c r="C319" s="2" t="s">
        <v>692</v>
      </c>
      <c r="D319" s="2">
        <v>3.20054467E8</v>
      </c>
      <c r="E319" s="2">
        <v>2.000004031E9</v>
      </c>
      <c r="F319" s="2">
        <v>3260.0</v>
      </c>
      <c r="G319" s="2">
        <v>1.0</v>
      </c>
      <c r="H319" s="2">
        <v>7400.0</v>
      </c>
      <c r="I319" s="2">
        <v>74000.0</v>
      </c>
      <c r="J319" s="2">
        <v>1.0</v>
      </c>
      <c r="K319" s="2">
        <v>7.0</v>
      </c>
      <c r="O319" s="2" t="s">
        <v>693</v>
      </c>
      <c r="P319" s="2" t="s">
        <v>166</v>
      </c>
      <c r="Q319" s="2"/>
      <c r="R319" s="2" t="s">
        <v>434</v>
      </c>
      <c r="S319" s="11">
        <v>42191.49986111111</v>
      </c>
    </row>
    <row r="320" ht="12.75" customHeight="1">
      <c r="A320" s="2"/>
      <c r="B320" s="2">
        <v>1.0</v>
      </c>
      <c r="C320" s="2" t="s">
        <v>694</v>
      </c>
      <c r="D320" s="2">
        <v>3.20054456E8</v>
      </c>
      <c r="E320" s="2">
        <v>2.000004031E9</v>
      </c>
      <c r="F320" s="2">
        <v>7004.0</v>
      </c>
      <c r="G320" s="2">
        <v>1.0</v>
      </c>
      <c r="H320" s="2">
        <v>33500.0</v>
      </c>
      <c r="I320" s="2">
        <v>335000.0</v>
      </c>
      <c r="J320" s="2">
        <v>1.0</v>
      </c>
      <c r="K320" s="2">
        <v>7.0</v>
      </c>
      <c r="O320" s="2" t="s">
        <v>436</v>
      </c>
      <c r="P320" s="2" t="s">
        <v>166</v>
      </c>
      <c r="Q320" s="2"/>
      <c r="R320" s="2" t="s">
        <v>434</v>
      </c>
      <c r="S320" s="11">
        <v>42191.49984953704</v>
      </c>
    </row>
    <row r="321" ht="12.75" customHeight="1">
      <c r="A321" s="2"/>
      <c r="B321" s="2">
        <v>1.0</v>
      </c>
      <c r="C321" s="2" t="s">
        <v>695</v>
      </c>
      <c r="D321" s="2">
        <v>3.2005447E8</v>
      </c>
      <c r="E321" s="2">
        <v>2.000004031E9</v>
      </c>
      <c r="F321" s="2">
        <v>8509.0</v>
      </c>
      <c r="G321" s="2">
        <v>1.0</v>
      </c>
      <c r="H321" s="2">
        <v>37500.0</v>
      </c>
      <c r="I321" s="2">
        <v>375000.0</v>
      </c>
      <c r="J321" s="2">
        <v>1.0</v>
      </c>
      <c r="K321" s="2">
        <v>7.0</v>
      </c>
      <c r="O321" s="2" t="s">
        <v>484</v>
      </c>
      <c r="P321" s="2" t="s">
        <v>166</v>
      </c>
      <c r="Q321" s="2"/>
      <c r="R321" s="2" t="s">
        <v>434</v>
      </c>
      <c r="S321" s="11">
        <v>42191.49986111111</v>
      </c>
    </row>
    <row r="322" ht="12.75" customHeight="1">
      <c r="A322" s="2"/>
      <c r="B322" s="2">
        <v>1.0</v>
      </c>
      <c r="C322" s="2" t="s">
        <v>696</v>
      </c>
      <c r="D322" s="2">
        <v>3.20054459E8</v>
      </c>
      <c r="E322" s="2">
        <v>2.000004031E9</v>
      </c>
      <c r="F322" s="2">
        <v>8516.0</v>
      </c>
      <c r="G322" s="2">
        <v>1.0</v>
      </c>
      <c r="H322" s="2">
        <v>67500.0</v>
      </c>
      <c r="I322" s="2">
        <v>675000.0</v>
      </c>
      <c r="J322" s="2">
        <v>1.0</v>
      </c>
      <c r="K322" s="2">
        <v>7.0</v>
      </c>
      <c r="O322" s="2" t="s">
        <v>599</v>
      </c>
      <c r="P322" s="2" t="s">
        <v>166</v>
      </c>
      <c r="Q322" s="2"/>
      <c r="R322" s="2" t="s">
        <v>434</v>
      </c>
      <c r="S322" s="11">
        <v>42191.49984953704</v>
      </c>
    </row>
    <row r="323" ht="12.75" customHeight="1">
      <c r="A323" s="2"/>
      <c r="B323" s="2">
        <v>1.0</v>
      </c>
      <c r="C323" s="2" t="s">
        <v>697</v>
      </c>
      <c r="D323" s="2">
        <v>3.20054464E8</v>
      </c>
      <c r="E323" s="2">
        <v>2.000004031E9</v>
      </c>
      <c r="F323" s="2">
        <v>14114.0</v>
      </c>
      <c r="G323" s="2">
        <v>1.0</v>
      </c>
      <c r="H323" s="2">
        <v>25500.0</v>
      </c>
      <c r="I323" s="2">
        <v>255000.0</v>
      </c>
      <c r="J323" s="2">
        <v>1.0</v>
      </c>
      <c r="K323" s="2">
        <v>7.0</v>
      </c>
      <c r="O323" s="2" t="s">
        <v>663</v>
      </c>
      <c r="P323" s="2" t="s">
        <v>166</v>
      </c>
      <c r="Q323" s="2"/>
      <c r="R323" s="2" t="s">
        <v>434</v>
      </c>
      <c r="S323" s="11">
        <v>42191.49984953704</v>
      </c>
    </row>
    <row r="324" ht="12.75" customHeight="1">
      <c r="A324" s="2"/>
      <c r="B324" s="2">
        <v>1.0</v>
      </c>
      <c r="C324" s="2" t="s">
        <v>698</v>
      </c>
      <c r="D324" s="2">
        <v>3.20054463E8</v>
      </c>
      <c r="E324" s="2">
        <v>2.000004031E9</v>
      </c>
      <c r="F324" s="2">
        <v>15211.0</v>
      </c>
      <c r="G324" s="2">
        <v>1.0</v>
      </c>
      <c r="H324" s="2">
        <v>56000.0</v>
      </c>
      <c r="I324" s="2">
        <v>560000.0</v>
      </c>
      <c r="J324" s="2">
        <v>1.0</v>
      </c>
      <c r="K324" s="2">
        <v>7.0</v>
      </c>
      <c r="O324" s="2" t="s">
        <v>689</v>
      </c>
      <c r="P324" s="2" t="s">
        <v>166</v>
      </c>
      <c r="Q324" s="2"/>
      <c r="R324" s="2" t="s">
        <v>434</v>
      </c>
      <c r="S324" s="11">
        <v>42191.49984953704</v>
      </c>
    </row>
    <row r="325" ht="12.75" customHeight="1">
      <c r="A325" s="2"/>
      <c r="B325" s="2">
        <v>1.0</v>
      </c>
      <c r="C325" s="2" t="s">
        <v>699</v>
      </c>
      <c r="D325" s="2">
        <v>3.20054461E8</v>
      </c>
      <c r="E325" s="2">
        <v>2.000004031E9</v>
      </c>
      <c r="F325" s="2">
        <v>15982.0</v>
      </c>
      <c r="G325" s="2">
        <v>1.0</v>
      </c>
      <c r="H325" s="2">
        <v>56000.0</v>
      </c>
      <c r="I325" s="2">
        <v>560000.0</v>
      </c>
      <c r="J325" s="2">
        <v>1.0</v>
      </c>
      <c r="K325" s="2">
        <v>7.0</v>
      </c>
      <c r="O325" s="2" t="s">
        <v>654</v>
      </c>
      <c r="P325" s="2" t="s">
        <v>166</v>
      </c>
      <c r="Q325" s="2"/>
      <c r="R325" s="2" t="s">
        <v>434</v>
      </c>
      <c r="S325" s="11">
        <v>42191.49984953704</v>
      </c>
    </row>
    <row r="326" ht="12.75" customHeight="1">
      <c r="A326" s="2"/>
      <c r="B326" s="2">
        <v>1.0</v>
      </c>
      <c r="C326" s="2" t="s">
        <v>700</v>
      </c>
      <c r="D326" s="2">
        <v>3.20054472E8</v>
      </c>
      <c r="E326" s="2">
        <v>2.000004032E9</v>
      </c>
      <c r="F326" s="2">
        <v>8592.0</v>
      </c>
      <c r="G326" s="2">
        <v>1.0</v>
      </c>
      <c r="H326" s="2">
        <v>0.0</v>
      </c>
      <c r="I326" s="2">
        <v>329000.0</v>
      </c>
      <c r="J326" s="2">
        <v>1.0</v>
      </c>
      <c r="K326" s="2">
        <v>7.0</v>
      </c>
      <c r="O326" s="2" t="s">
        <v>701</v>
      </c>
      <c r="P326" s="2" t="s">
        <v>166</v>
      </c>
      <c r="Q326" s="2"/>
      <c r="R326" s="2" t="s">
        <v>434</v>
      </c>
      <c r="S326" s="11">
        <v>42191.49988425926</v>
      </c>
    </row>
    <row r="327" ht="12.75" customHeight="1">
      <c r="A327" s="2"/>
      <c r="B327" s="2">
        <v>1.0</v>
      </c>
      <c r="C327" s="2" t="s">
        <v>702</v>
      </c>
      <c r="D327" s="2">
        <v>3.20054475E8</v>
      </c>
      <c r="E327" s="2">
        <v>2.000004033E9</v>
      </c>
      <c r="F327" s="2">
        <v>14436.0</v>
      </c>
      <c r="G327" s="2">
        <v>1.0</v>
      </c>
      <c r="H327" s="2">
        <v>0.0</v>
      </c>
      <c r="I327" s="2">
        <v>430000.0</v>
      </c>
      <c r="J327" s="2">
        <v>1.0</v>
      </c>
      <c r="K327" s="2">
        <v>7.0</v>
      </c>
      <c r="O327" s="2" t="s">
        <v>529</v>
      </c>
      <c r="P327" s="2" t="s">
        <v>166</v>
      </c>
      <c r="Q327" s="2"/>
      <c r="R327" s="2" t="s">
        <v>434</v>
      </c>
      <c r="S327" s="11">
        <v>42191.49989583333</v>
      </c>
    </row>
    <row r="328" ht="12.75" customHeight="1">
      <c r="A328" s="2"/>
      <c r="B328" s="2">
        <v>1.0</v>
      </c>
      <c r="C328" s="2" t="s">
        <v>703</v>
      </c>
      <c r="D328" s="2">
        <v>3.20054532E8</v>
      </c>
      <c r="E328" s="2">
        <v>2.000004036E9</v>
      </c>
      <c r="F328" s="2">
        <v>6406.0</v>
      </c>
      <c r="G328" s="2">
        <v>1.0</v>
      </c>
      <c r="H328" s="2">
        <v>0.0</v>
      </c>
      <c r="I328" s="2">
        <v>145000.0</v>
      </c>
      <c r="J328" s="2">
        <v>1.0</v>
      </c>
      <c r="K328" s="2">
        <v>7.0</v>
      </c>
      <c r="O328" s="2" t="s">
        <v>704</v>
      </c>
      <c r="P328" s="2" t="s">
        <v>166</v>
      </c>
      <c r="Q328" s="2"/>
      <c r="R328" s="2" t="s">
        <v>434</v>
      </c>
      <c r="S328" s="11">
        <v>42191.64913194445</v>
      </c>
    </row>
    <row r="329" ht="12.75" customHeight="1">
      <c r="A329" s="2"/>
      <c r="B329" s="2">
        <v>1.0</v>
      </c>
      <c r="C329" s="2" t="s">
        <v>705</v>
      </c>
      <c r="D329" s="2">
        <v>3.20054527E8</v>
      </c>
      <c r="E329" s="2">
        <v>2.000004036E9</v>
      </c>
      <c r="F329" s="2">
        <v>13041.0</v>
      </c>
      <c r="G329" s="2">
        <v>3.0</v>
      </c>
      <c r="H329" s="2">
        <v>0.0</v>
      </c>
      <c r="I329" s="2">
        <v>117000.0</v>
      </c>
      <c r="J329" s="2">
        <v>1.0</v>
      </c>
      <c r="K329" s="2">
        <v>7.0</v>
      </c>
      <c r="O329" s="2" t="s">
        <v>476</v>
      </c>
      <c r="P329" s="2" t="s">
        <v>166</v>
      </c>
      <c r="Q329" s="2"/>
      <c r="R329" s="2" t="s">
        <v>434</v>
      </c>
      <c r="S329" s="11">
        <v>42191.64912037037</v>
      </c>
    </row>
    <row r="330" ht="12.75" customHeight="1">
      <c r="A330" s="2"/>
      <c r="B330" s="2">
        <v>1.0</v>
      </c>
      <c r="C330" s="2" t="s">
        <v>706</v>
      </c>
      <c r="D330" s="2">
        <v>3.20054529E8</v>
      </c>
      <c r="E330" s="2">
        <v>2.000004036E9</v>
      </c>
      <c r="F330" s="2">
        <v>13990.0</v>
      </c>
      <c r="G330" s="2">
        <v>1.0</v>
      </c>
      <c r="H330" s="2">
        <v>0.0</v>
      </c>
      <c r="I330" s="2">
        <v>530000.0</v>
      </c>
      <c r="J330" s="2">
        <v>1.0</v>
      </c>
      <c r="K330" s="2">
        <v>7.0</v>
      </c>
      <c r="O330" s="2" t="s">
        <v>707</v>
      </c>
      <c r="P330" s="2" t="s">
        <v>166</v>
      </c>
      <c r="Q330" s="2"/>
      <c r="R330" s="2" t="s">
        <v>434</v>
      </c>
      <c r="S330" s="11">
        <v>42191.64912037037</v>
      </c>
    </row>
    <row r="331" ht="12.75" customHeight="1">
      <c r="A331" s="2"/>
      <c r="B331" s="2">
        <v>1.0</v>
      </c>
      <c r="C331" s="2" t="s">
        <v>708</v>
      </c>
      <c r="D331" s="2">
        <v>3.20054526E8</v>
      </c>
      <c r="E331" s="2">
        <v>2.000004036E9</v>
      </c>
      <c r="F331" s="2">
        <v>15212.0</v>
      </c>
      <c r="G331" s="2">
        <v>1.0</v>
      </c>
      <c r="H331" s="2">
        <v>0.0</v>
      </c>
      <c r="I331" s="2">
        <v>470000.0</v>
      </c>
      <c r="J331" s="2">
        <v>1.0</v>
      </c>
      <c r="K331" s="2">
        <v>7.0</v>
      </c>
      <c r="O331" s="2" t="s">
        <v>472</v>
      </c>
      <c r="P331" s="2" t="s">
        <v>166</v>
      </c>
      <c r="Q331" s="2"/>
      <c r="R331" s="2" t="s">
        <v>434</v>
      </c>
      <c r="S331" s="11">
        <v>42191.64912037037</v>
      </c>
    </row>
    <row r="332" ht="12.75" customHeight="1">
      <c r="A332" s="2"/>
      <c r="B332" s="2">
        <v>1.0</v>
      </c>
      <c r="C332" s="2" t="s">
        <v>709</v>
      </c>
      <c r="D332" s="2">
        <v>3.20054639E8</v>
      </c>
      <c r="E332" s="2">
        <v>2.000004041E9</v>
      </c>
      <c r="F332" s="2">
        <v>3148.0</v>
      </c>
      <c r="G332" s="2">
        <v>1.0</v>
      </c>
      <c r="H332" s="2">
        <v>0.0</v>
      </c>
      <c r="I332" s="2">
        <v>40000.0</v>
      </c>
      <c r="J332" s="2">
        <v>1.0</v>
      </c>
      <c r="K332" s="2">
        <v>7.0</v>
      </c>
      <c r="O332" s="2" t="s">
        <v>560</v>
      </c>
      <c r="P332" s="2" t="s">
        <v>166</v>
      </c>
      <c r="Q332" s="2"/>
      <c r="R332" s="2" t="s">
        <v>434</v>
      </c>
      <c r="S332" s="11">
        <v>42191.7184837963</v>
      </c>
    </row>
    <row r="333" ht="12.75" customHeight="1">
      <c r="A333" s="2"/>
      <c r="B333" s="2">
        <v>1.0</v>
      </c>
      <c r="C333" s="2" t="s">
        <v>710</v>
      </c>
      <c r="D333" s="2">
        <v>3.20054642E8</v>
      </c>
      <c r="E333" s="2">
        <v>2.000004041E9</v>
      </c>
      <c r="F333" s="2">
        <v>6384.0</v>
      </c>
      <c r="G333" s="2">
        <v>1.0</v>
      </c>
      <c r="H333" s="2">
        <v>0.0</v>
      </c>
      <c r="I333" s="2">
        <v>60000.0</v>
      </c>
      <c r="J333" s="2">
        <v>1.0</v>
      </c>
      <c r="K333" s="2">
        <v>7.0</v>
      </c>
      <c r="O333" s="2" t="s">
        <v>711</v>
      </c>
      <c r="P333" s="2" t="s">
        <v>166</v>
      </c>
      <c r="Q333" s="2"/>
      <c r="R333" s="2" t="s">
        <v>434</v>
      </c>
      <c r="S333" s="11">
        <v>42191.718518518515</v>
      </c>
    </row>
    <row r="334" ht="12.75" customHeight="1">
      <c r="A334" s="2"/>
      <c r="B334" s="2">
        <v>1.0</v>
      </c>
      <c r="C334" s="2" t="s">
        <v>712</v>
      </c>
      <c r="D334" s="2">
        <v>3.2005464E8</v>
      </c>
      <c r="E334" s="2">
        <v>2.000004041E9</v>
      </c>
      <c r="F334" s="2">
        <v>8528.0</v>
      </c>
      <c r="G334" s="2">
        <v>1.0</v>
      </c>
      <c r="H334" s="2">
        <v>0.0</v>
      </c>
      <c r="I334" s="2">
        <v>55000.0</v>
      </c>
      <c r="J334" s="2">
        <v>1.0</v>
      </c>
      <c r="K334" s="2">
        <v>7.0</v>
      </c>
      <c r="O334" s="2" t="s">
        <v>531</v>
      </c>
      <c r="P334" s="2" t="s">
        <v>166</v>
      </c>
      <c r="Q334" s="2"/>
      <c r="R334" s="2" t="s">
        <v>434</v>
      </c>
      <c r="S334" s="11">
        <v>42191.71849537037</v>
      </c>
    </row>
    <row r="335" ht="12.75" customHeight="1">
      <c r="A335" s="2"/>
      <c r="B335" s="2">
        <v>1.0</v>
      </c>
      <c r="C335" s="2" t="s">
        <v>713</v>
      </c>
      <c r="D335" s="2">
        <v>3.20054659E8</v>
      </c>
      <c r="E335" s="2">
        <v>2.000004042E9</v>
      </c>
      <c r="F335" s="2">
        <v>6381.0</v>
      </c>
      <c r="G335" s="2">
        <v>1.0</v>
      </c>
      <c r="H335" s="2">
        <v>0.0</v>
      </c>
      <c r="I335" s="2">
        <v>90000.0</v>
      </c>
      <c r="J335" s="2">
        <v>1.0</v>
      </c>
      <c r="K335" s="2">
        <v>7.0</v>
      </c>
      <c r="O335" s="2" t="s">
        <v>714</v>
      </c>
      <c r="P335" s="2" t="s">
        <v>166</v>
      </c>
      <c r="Q335" s="2"/>
      <c r="R335" s="2" t="s">
        <v>434</v>
      </c>
      <c r="S335" s="11">
        <v>42191.725497685184</v>
      </c>
    </row>
    <row r="336" ht="12.75" customHeight="1">
      <c r="A336" s="2"/>
      <c r="B336" s="2">
        <v>1.0</v>
      </c>
      <c r="C336" s="2" t="s">
        <v>715</v>
      </c>
      <c r="D336" s="2">
        <v>3.2005466E8</v>
      </c>
      <c r="E336" s="2">
        <v>2.000004042E9</v>
      </c>
      <c r="F336" s="2">
        <v>6390.0</v>
      </c>
      <c r="G336" s="2">
        <v>1.0</v>
      </c>
      <c r="H336" s="2">
        <v>0.0</v>
      </c>
      <c r="I336" s="2">
        <v>79000.0</v>
      </c>
      <c r="J336" s="2">
        <v>1.0</v>
      </c>
      <c r="K336" s="2">
        <v>7.0</v>
      </c>
      <c r="O336" s="2" t="s">
        <v>716</v>
      </c>
      <c r="P336" s="2" t="s">
        <v>166</v>
      </c>
      <c r="Q336" s="2"/>
      <c r="R336" s="2" t="s">
        <v>434</v>
      </c>
      <c r="S336" s="11">
        <v>42191.72550925926</v>
      </c>
    </row>
    <row r="337" ht="12.75" customHeight="1">
      <c r="A337" s="2"/>
      <c r="B337" s="2">
        <v>1.0</v>
      </c>
      <c r="C337" s="2" t="s">
        <v>717</v>
      </c>
      <c r="D337" s="2">
        <v>3.20054661E8</v>
      </c>
      <c r="E337" s="2">
        <v>2.000004042E9</v>
      </c>
      <c r="F337" s="2">
        <v>6600.0</v>
      </c>
      <c r="G337" s="2">
        <v>1.0</v>
      </c>
      <c r="H337" s="2">
        <v>0.0</v>
      </c>
      <c r="I337" s="2">
        <v>150000.0</v>
      </c>
      <c r="J337" s="2">
        <v>1.0</v>
      </c>
      <c r="K337" s="2">
        <v>7.0</v>
      </c>
      <c r="O337" s="2" t="s">
        <v>681</v>
      </c>
      <c r="P337" s="2" t="s">
        <v>166</v>
      </c>
      <c r="Q337" s="2"/>
      <c r="R337" s="2" t="s">
        <v>434</v>
      </c>
      <c r="S337" s="11">
        <v>42191.72550925926</v>
      </c>
    </row>
    <row r="338" ht="12.75" customHeight="1">
      <c r="A338" s="2"/>
      <c r="B338" s="2">
        <v>1.0</v>
      </c>
      <c r="C338" s="2" t="s">
        <v>718</v>
      </c>
      <c r="D338" s="2">
        <v>3.20054658E8</v>
      </c>
      <c r="E338" s="2">
        <v>2.000004042E9</v>
      </c>
      <c r="F338" s="2">
        <v>8528.0</v>
      </c>
      <c r="G338" s="2">
        <v>1.0</v>
      </c>
      <c r="H338" s="2">
        <v>0.0</v>
      </c>
      <c r="I338" s="2">
        <v>55000.0</v>
      </c>
      <c r="J338" s="2">
        <v>1.0</v>
      </c>
      <c r="K338" s="2">
        <v>7.0</v>
      </c>
      <c r="O338" s="2" t="s">
        <v>531</v>
      </c>
      <c r="P338" s="2" t="s">
        <v>166</v>
      </c>
      <c r="Q338" s="2"/>
      <c r="R338" s="2" t="s">
        <v>434</v>
      </c>
      <c r="S338" s="11">
        <v>42191.725497685184</v>
      </c>
    </row>
    <row r="339" ht="12.75" customHeight="1">
      <c r="A339" s="2"/>
      <c r="B339" s="2">
        <v>1.0</v>
      </c>
      <c r="C339" s="2" t="s">
        <v>719</v>
      </c>
      <c r="D339" s="2">
        <v>3.20054657E8</v>
      </c>
      <c r="E339" s="2">
        <v>2.000004042E9</v>
      </c>
      <c r="F339" s="2">
        <v>8631.0</v>
      </c>
      <c r="G339" s="2">
        <v>1.0</v>
      </c>
      <c r="H339" s="2">
        <v>0.0</v>
      </c>
      <c r="I339" s="2">
        <v>45000.0</v>
      </c>
      <c r="J339" s="2">
        <v>1.0</v>
      </c>
      <c r="K339" s="2">
        <v>7.0</v>
      </c>
      <c r="O339" s="2" t="s">
        <v>720</v>
      </c>
      <c r="P339" s="2" t="s">
        <v>166</v>
      </c>
      <c r="Q339" s="2"/>
      <c r="R339" s="2" t="s">
        <v>434</v>
      </c>
      <c r="S339" s="11">
        <v>42191.725497685184</v>
      </c>
    </row>
    <row r="340" ht="12.75" customHeight="1">
      <c r="A340" s="2"/>
      <c r="B340" s="2">
        <v>1.0</v>
      </c>
      <c r="C340" s="2" t="s">
        <v>721</v>
      </c>
      <c r="D340" s="2">
        <v>3.20054721E8</v>
      </c>
      <c r="E340" s="2">
        <v>2.000004046E9</v>
      </c>
      <c r="F340" s="2">
        <v>996.0</v>
      </c>
      <c r="G340" s="2">
        <v>1.0</v>
      </c>
      <c r="H340" s="2">
        <v>0.0</v>
      </c>
      <c r="I340" s="2">
        <v>535000.0</v>
      </c>
      <c r="J340" s="2">
        <v>1.0</v>
      </c>
      <c r="K340" s="2">
        <v>7.0</v>
      </c>
      <c r="O340" s="2" t="s">
        <v>679</v>
      </c>
      <c r="P340" s="2" t="s">
        <v>166</v>
      </c>
      <c r="Q340" s="2"/>
      <c r="R340" s="2" t="s">
        <v>434</v>
      </c>
      <c r="S340" s="11">
        <v>42191.74994212963</v>
      </c>
    </row>
    <row r="341" ht="12.75" customHeight="1">
      <c r="A341" s="2"/>
      <c r="B341" s="2">
        <v>1.0</v>
      </c>
      <c r="C341" s="2" t="s">
        <v>722</v>
      </c>
      <c r="D341" s="2">
        <v>3.20054719E8</v>
      </c>
      <c r="E341" s="2">
        <v>2.000004046E9</v>
      </c>
      <c r="F341" s="2">
        <v>8821.0</v>
      </c>
      <c r="G341" s="2">
        <v>1.0</v>
      </c>
      <c r="H341" s="2">
        <v>0.0</v>
      </c>
      <c r="I341" s="2">
        <v>275000.0</v>
      </c>
      <c r="J341" s="2">
        <v>1.0</v>
      </c>
      <c r="K341" s="2">
        <v>7.0</v>
      </c>
      <c r="O341" s="2" t="s">
        <v>723</v>
      </c>
      <c r="P341" s="2" t="s">
        <v>166</v>
      </c>
      <c r="Q341" s="2"/>
      <c r="R341" s="2" t="s">
        <v>434</v>
      </c>
      <c r="S341" s="11">
        <v>42191.74994212963</v>
      </c>
    </row>
    <row r="342" ht="12.75" customHeight="1">
      <c r="A342" s="2"/>
      <c r="B342" s="2">
        <v>1.0</v>
      </c>
      <c r="C342" s="2" t="s">
        <v>724</v>
      </c>
      <c r="D342" s="2">
        <v>3.20054735E8</v>
      </c>
      <c r="E342" s="2">
        <v>2.000004047E9</v>
      </c>
      <c r="F342" s="2">
        <v>8521.0</v>
      </c>
      <c r="G342" s="2">
        <v>3.0</v>
      </c>
      <c r="H342" s="2">
        <v>142500.0</v>
      </c>
      <c r="I342" s="2">
        <v>1425000.0</v>
      </c>
      <c r="J342" s="2">
        <v>1.0</v>
      </c>
      <c r="K342" s="2">
        <v>7.0</v>
      </c>
      <c r="O342" s="2" t="s">
        <v>554</v>
      </c>
      <c r="P342" s="2" t="s">
        <v>166</v>
      </c>
      <c r="Q342" s="2"/>
      <c r="R342" s="2" t="s">
        <v>434</v>
      </c>
      <c r="S342" s="11">
        <v>42191.758888888886</v>
      </c>
    </row>
    <row r="343" ht="12.75" customHeight="1">
      <c r="A343" s="2"/>
      <c r="B343" s="2">
        <v>1.0</v>
      </c>
      <c r="C343" s="2" t="s">
        <v>725</v>
      </c>
      <c r="D343" s="2">
        <v>3.20054733E8</v>
      </c>
      <c r="E343" s="2">
        <v>2.000004047E9</v>
      </c>
      <c r="F343" s="2">
        <v>12524.0</v>
      </c>
      <c r="G343" s="2">
        <v>1.0</v>
      </c>
      <c r="H343" s="2">
        <v>9100.0</v>
      </c>
      <c r="I343" s="2">
        <v>91000.0</v>
      </c>
      <c r="J343" s="2">
        <v>1.0</v>
      </c>
      <c r="K343" s="2">
        <v>7.0</v>
      </c>
      <c r="O343" s="2" t="s">
        <v>345</v>
      </c>
      <c r="P343" s="2" t="s">
        <v>166</v>
      </c>
      <c r="Q343" s="2"/>
      <c r="R343" s="2" t="s">
        <v>434</v>
      </c>
      <c r="S343" s="11">
        <v>42191.758888888886</v>
      </c>
    </row>
    <row r="344" ht="12.75" customHeight="1">
      <c r="A344" s="2"/>
      <c r="B344" s="2">
        <v>1.0</v>
      </c>
      <c r="C344" s="2" t="s">
        <v>726</v>
      </c>
      <c r="D344" s="2">
        <v>3.20054753E8</v>
      </c>
      <c r="E344" s="2">
        <v>2.000004049E9</v>
      </c>
      <c r="F344" s="2">
        <v>6289.0</v>
      </c>
      <c r="G344" s="2">
        <v>1.0</v>
      </c>
      <c r="H344" s="2">
        <v>0.0</v>
      </c>
      <c r="I344" s="2">
        <v>470000.0</v>
      </c>
      <c r="J344" s="2">
        <v>1.0</v>
      </c>
      <c r="K344" s="2">
        <v>7.0</v>
      </c>
      <c r="O344" s="2" t="s">
        <v>727</v>
      </c>
      <c r="P344" s="2" t="s">
        <v>166</v>
      </c>
      <c r="Q344" s="2"/>
      <c r="R344" s="2" t="s">
        <v>434</v>
      </c>
      <c r="S344" s="11">
        <v>42191.76797453704</v>
      </c>
    </row>
    <row r="345" ht="12.75" customHeight="1">
      <c r="A345" s="2"/>
      <c r="B345" s="2">
        <v>1.0</v>
      </c>
      <c r="C345" s="2" t="s">
        <v>728</v>
      </c>
      <c r="D345" s="2">
        <v>3.2005475E8</v>
      </c>
      <c r="E345" s="2">
        <v>2.000004049E9</v>
      </c>
      <c r="F345" s="2">
        <v>8592.0</v>
      </c>
      <c r="G345" s="2">
        <v>1.0</v>
      </c>
      <c r="H345" s="2">
        <v>0.0</v>
      </c>
      <c r="I345" s="2">
        <v>329000.0</v>
      </c>
      <c r="J345" s="2">
        <v>1.0</v>
      </c>
      <c r="K345" s="2">
        <v>7.0</v>
      </c>
      <c r="O345" s="2" t="s">
        <v>701</v>
      </c>
      <c r="P345" s="2" t="s">
        <v>166</v>
      </c>
      <c r="Q345" s="2"/>
      <c r="R345" s="2" t="s">
        <v>434</v>
      </c>
      <c r="S345" s="11">
        <v>42191.767962962964</v>
      </c>
    </row>
    <row r="346" ht="12.75" customHeight="1">
      <c r="A346" s="2"/>
      <c r="B346" s="2">
        <v>1.0</v>
      </c>
      <c r="C346" s="2" t="s">
        <v>729</v>
      </c>
      <c r="D346" s="2">
        <v>3.20054756E8</v>
      </c>
      <c r="E346" s="2">
        <v>2.000004049E9</v>
      </c>
      <c r="F346" s="2">
        <v>8606.0</v>
      </c>
      <c r="G346" s="2">
        <v>1.0</v>
      </c>
      <c r="H346" s="2">
        <v>0.0</v>
      </c>
      <c r="I346" s="2">
        <v>850000.0</v>
      </c>
      <c r="J346" s="2">
        <v>1.0</v>
      </c>
      <c r="K346" s="2">
        <v>7.0</v>
      </c>
      <c r="O346" s="2" t="s">
        <v>730</v>
      </c>
      <c r="P346" s="2" t="s">
        <v>166</v>
      </c>
      <c r="Q346" s="2"/>
      <c r="R346" s="2" t="s">
        <v>434</v>
      </c>
      <c r="S346" s="11">
        <v>42191.76797453704</v>
      </c>
    </row>
    <row r="347" ht="12.75" customHeight="1">
      <c r="A347" s="2"/>
      <c r="B347" s="2">
        <v>1.0</v>
      </c>
      <c r="C347" s="2" t="s">
        <v>731</v>
      </c>
      <c r="D347" s="2">
        <v>3.20054752E8</v>
      </c>
      <c r="E347" s="2">
        <v>2.000004049E9</v>
      </c>
      <c r="F347" s="2">
        <v>8986.0</v>
      </c>
      <c r="G347" s="2">
        <v>1.0</v>
      </c>
      <c r="H347" s="2">
        <v>0.0</v>
      </c>
      <c r="I347" s="2">
        <v>305000.0</v>
      </c>
      <c r="J347" s="2">
        <v>1.0</v>
      </c>
      <c r="K347" s="2">
        <v>7.0</v>
      </c>
      <c r="O347" s="2" t="s">
        <v>732</v>
      </c>
      <c r="P347" s="2" t="s">
        <v>166</v>
      </c>
      <c r="Q347" s="2"/>
      <c r="R347" s="2" t="s">
        <v>434</v>
      </c>
      <c r="S347" s="11">
        <v>42191.76797453704</v>
      </c>
    </row>
    <row r="348" ht="12.75" customHeight="1">
      <c r="A348" s="2"/>
      <c r="B348" s="2">
        <v>1.0</v>
      </c>
      <c r="C348" s="2" t="s">
        <v>733</v>
      </c>
      <c r="D348" s="2">
        <v>3.20054761E8</v>
      </c>
      <c r="E348" s="2">
        <v>2.00000405E9</v>
      </c>
      <c r="F348" s="2">
        <v>15211.0</v>
      </c>
      <c r="G348" s="2">
        <v>1.0</v>
      </c>
      <c r="H348" s="2">
        <v>0.0</v>
      </c>
      <c r="I348" s="2">
        <v>560000.0</v>
      </c>
      <c r="J348" s="2">
        <v>1.0</v>
      </c>
      <c r="K348" s="2">
        <v>7.0</v>
      </c>
      <c r="O348" s="2" t="s">
        <v>689</v>
      </c>
      <c r="P348" s="2" t="s">
        <v>166</v>
      </c>
      <c r="Q348" s="2"/>
      <c r="R348" s="2" t="s">
        <v>434</v>
      </c>
      <c r="S348" s="11">
        <v>42191.771145833336</v>
      </c>
    </row>
    <row r="349" ht="12.75" customHeight="1">
      <c r="A349" s="2"/>
      <c r="B349" s="2">
        <v>1.0</v>
      </c>
      <c r="C349" s="2" t="s">
        <v>734</v>
      </c>
      <c r="D349" s="2">
        <v>3.2005476E8</v>
      </c>
      <c r="E349" s="2">
        <v>2.00000405E9</v>
      </c>
      <c r="F349" s="2">
        <v>15212.0</v>
      </c>
      <c r="G349" s="2">
        <v>-1.0</v>
      </c>
      <c r="H349" s="2">
        <v>0.0</v>
      </c>
      <c r="I349" s="2">
        <v>-470000.0</v>
      </c>
      <c r="J349" s="2">
        <v>1.0</v>
      </c>
      <c r="K349" s="2">
        <v>7.0</v>
      </c>
      <c r="O349" s="2" t="s">
        <v>472</v>
      </c>
      <c r="P349" s="2" t="s">
        <v>166</v>
      </c>
      <c r="Q349" s="2"/>
      <c r="R349" s="2" t="s">
        <v>434</v>
      </c>
      <c r="S349" s="11">
        <v>42191.77113425926</v>
      </c>
    </row>
    <row r="350" ht="12.75" customHeight="1">
      <c r="A350" s="2"/>
      <c r="B350" s="2">
        <v>1.0</v>
      </c>
      <c r="C350" s="2" t="s">
        <v>735</v>
      </c>
      <c r="D350" s="2">
        <v>3.20054804E8</v>
      </c>
      <c r="E350" s="2">
        <v>2.000004053E9</v>
      </c>
      <c r="F350" s="2">
        <v>8569.0</v>
      </c>
      <c r="G350" s="2">
        <v>1.0</v>
      </c>
      <c r="H350" s="2">
        <v>0.0</v>
      </c>
      <c r="I350" s="2">
        <v>255000.0</v>
      </c>
      <c r="J350" s="2">
        <v>1.0</v>
      </c>
      <c r="K350" s="2">
        <v>7.0</v>
      </c>
      <c r="O350" s="2" t="s">
        <v>736</v>
      </c>
      <c r="P350" s="2" t="s">
        <v>166</v>
      </c>
      <c r="Q350" s="2"/>
      <c r="R350" s="2" t="s">
        <v>434</v>
      </c>
      <c r="S350" s="11">
        <v>42191.80200231481</v>
      </c>
    </row>
    <row r="351" ht="12.75" customHeight="1">
      <c r="A351" s="2"/>
      <c r="B351" s="2">
        <v>1.0</v>
      </c>
      <c r="C351" s="2" t="s">
        <v>737</v>
      </c>
      <c r="D351" s="2">
        <v>3.20054823E8</v>
      </c>
      <c r="E351" s="2">
        <v>2.000004054E9</v>
      </c>
      <c r="F351" s="2">
        <v>991.0</v>
      </c>
      <c r="G351" s="2">
        <v>1.0</v>
      </c>
      <c r="H351" s="2">
        <v>0.0</v>
      </c>
      <c r="I351" s="2">
        <v>590000.0</v>
      </c>
      <c r="J351" s="2">
        <v>1.0</v>
      </c>
      <c r="K351" s="2">
        <v>7.0</v>
      </c>
      <c r="O351" s="2" t="s">
        <v>591</v>
      </c>
      <c r="P351" s="2" t="s">
        <v>166</v>
      </c>
      <c r="Q351" s="2"/>
      <c r="R351" s="2" t="s">
        <v>434</v>
      </c>
      <c r="S351" s="11">
        <v>42191.82863425926</v>
      </c>
    </row>
    <row r="352" ht="12.75" customHeight="1">
      <c r="A352" s="2"/>
      <c r="B352" s="2">
        <v>1.0</v>
      </c>
      <c r="C352" s="2" t="s">
        <v>738</v>
      </c>
      <c r="D352" s="2">
        <v>3.20054826E8</v>
      </c>
      <c r="E352" s="2">
        <v>2.000004055E9</v>
      </c>
      <c r="F352" s="2">
        <v>6329.0</v>
      </c>
      <c r="G352" s="2">
        <v>1.0</v>
      </c>
      <c r="H352" s="2">
        <v>0.0</v>
      </c>
      <c r="I352" s="2">
        <v>300000.0</v>
      </c>
      <c r="J352" s="2">
        <v>1.0</v>
      </c>
      <c r="K352" s="2">
        <v>7.0</v>
      </c>
      <c r="O352" s="2" t="s">
        <v>521</v>
      </c>
      <c r="P352" s="2" t="s">
        <v>166</v>
      </c>
      <c r="Q352" s="2"/>
      <c r="R352" s="2" t="s">
        <v>434</v>
      </c>
      <c r="S352" s="11">
        <v>42191.84028935185</v>
      </c>
    </row>
    <row r="353" ht="12.75" customHeight="1">
      <c r="A353" s="2"/>
      <c r="B353" s="2">
        <v>1.0</v>
      </c>
      <c r="C353" s="2" t="s">
        <v>739</v>
      </c>
      <c r="D353" s="2">
        <v>3.20054827E8</v>
      </c>
      <c r="E353" s="2">
        <v>2.000004055E9</v>
      </c>
      <c r="F353" s="2">
        <v>6402.0</v>
      </c>
      <c r="G353" s="2">
        <v>2.0</v>
      </c>
      <c r="H353" s="2">
        <v>0.0</v>
      </c>
      <c r="I353" s="2">
        <v>158000.0</v>
      </c>
      <c r="J353" s="2">
        <v>1.0</v>
      </c>
      <c r="K353" s="2">
        <v>7.0</v>
      </c>
      <c r="O353" s="2" t="s">
        <v>453</v>
      </c>
      <c r="P353" s="2" t="s">
        <v>166</v>
      </c>
      <c r="Q353" s="2"/>
      <c r="R353" s="2" t="s">
        <v>434</v>
      </c>
      <c r="S353" s="11">
        <v>42191.84028935185</v>
      </c>
    </row>
    <row r="354" ht="12.75" customHeight="1">
      <c r="A354" s="2"/>
      <c r="B354" s="2">
        <v>1.0</v>
      </c>
      <c r="C354" s="2" t="s">
        <v>740</v>
      </c>
      <c r="D354" s="2">
        <v>3.20055179E8</v>
      </c>
      <c r="E354" s="2">
        <v>2.000004063E9</v>
      </c>
      <c r="F354" s="2">
        <v>8528.0</v>
      </c>
      <c r="G354" s="2">
        <v>4.0</v>
      </c>
      <c r="H354" s="2">
        <v>0.0</v>
      </c>
      <c r="I354" s="2">
        <v>220000.0</v>
      </c>
      <c r="J354" s="2">
        <v>1.0</v>
      </c>
      <c r="K354" s="2">
        <v>7.0</v>
      </c>
      <c r="O354" s="2" t="s">
        <v>531</v>
      </c>
      <c r="P354" s="2" t="s">
        <v>166</v>
      </c>
      <c r="Q354" s="2"/>
      <c r="R354" s="2" t="s">
        <v>434</v>
      </c>
      <c r="S354" s="11">
        <v>42192.38039351852</v>
      </c>
    </row>
    <row r="355" ht="12.75" customHeight="1">
      <c r="A355" s="2"/>
      <c r="B355" s="2">
        <v>1.0</v>
      </c>
      <c r="C355" s="2" t="s">
        <v>741</v>
      </c>
      <c r="D355" s="2">
        <v>3.20055219E8</v>
      </c>
      <c r="E355" s="2">
        <v>2.000004064E9</v>
      </c>
      <c r="F355" s="2">
        <v>8521.0</v>
      </c>
      <c r="G355" s="2">
        <v>-1.0</v>
      </c>
      <c r="H355" s="2">
        <v>0.0</v>
      </c>
      <c r="I355" s="2">
        <v>-475000.0</v>
      </c>
      <c r="J355" s="2">
        <v>1.0</v>
      </c>
      <c r="K355" s="2">
        <v>7.0</v>
      </c>
      <c r="O355" s="2" t="s">
        <v>554</v>
      </c>
      <c r="P355" s="2" t="s">
        <v>166</v>
      </c>
      <c r="Q355" s="2"/>
      <c r="R355" s="2" t="s">
        <v>434</v>
      </c>
      <c r="S355" s="11">
        <v>42192.39423611111</v>
      </c>
    </row>
    <row r="356" ht="12.75" customHeight="1">
      <c r="A356" s="2"/>
      <c r="B356" s="2">
        <v>1.0</v>
      </c>
      <c r="C356" s="2" t="s">
        <v>742</v>
      </c>
      <c r="D356" s="2">
        <v>3.20055217E8</v>
      </c>
      <c r="E356" s="2">
        <v>2.000004064E9</v>
      </c>
      <c r="F356" s="2">
        <v>8603.0</v>
      </c>
      <c r="G356" s="2">
        <v>1.0</v>
      </c>
      <c r="H356" s="2">
        <v>0.0</v>
      </c>
      <c r="I356" s="2">
        <v>555000.0</v>
      </c>
      <c r="J356" s="2">
        <v>1.0</v>
      </c>
      <c r="K356" s="2">
        <v>7.0</v>
      </c>
      <c r="O356" s="2" t="s">
        <v>602</v>
      </c>
      <c r="P356" s="2" t="s">
        <v>166</v>
      </c>
      <c r="Q356" s="2"/>
      <c r="R356" s="2" t="s">
        <v>434</v>
      </c>
      <c r="S356" s="11">
        <v>42192.39423611111</v>
      </c>
    </row>
    <row r="357" ht="12.75" customHeight="1">
      <c r="A357" s="2"/>
      <c r="B357" s="2">
        <v>1.0</v>
      </c>
      <c r="C357" s="2" t="s">
        <v>743</v>
      </c>
      <c r="D357" s="2">
        <v>3.20055252E8</v>
      </c>
      <c r="E357" s="2">
        <v>2.000004067E9</v>
      </c>
      <c r="F357" s="2">
        <v>92.0</v>
      </c>
      <c r="G357" s="2">
        <v>1.0</v>
      </c>
      <c r="H357" s="2">
        <v>0.0</v>
      </c>
      <c r="I357" s="2">
        <v>195000.0</v>
      </c>
      <c r="J357" s="2">
        <v>1.0</v>
      </c>
      <c r="K357" s="2">
        <v>7.0</v>
      </c>
      <c r="O357" s="2" t="s">
        <v>744</v>
      </c>
      <c r="P357" s="2" t="s">
        <v>166</v>
      </c>
      <c r="Q357" s="2"/>
      <c r="R357" s="2" t="s">
        <v>434</v>
      </c>
      <c r="S357" s="11">
        <v>42192.41105324074</v>
      </c>
    </row>
    <row r="358" ht="12.75" customHeight="1">
      <c r="A358" s="2"/>
      <c r="B358" s="2">
        <v>1.0</v>
      </c>
      <c r="C358" s="2" t="s">
        <v>745</v>
      </c>
      <c r="D358" s="2">
        <v>3.20055247E8</v>
      </c>
      <c r="E358" s="2">
        <v>2.000004067E9</v>
      </c>
      <c r="F358" s="2">
        <v>3364.0</v>
      </c>
      <c r="G358" s="2">
        <v>1.0</v>
      </c>
      <c r="H358" s="2">
        <v>0.0</v>
      </c>
      <c r="I358" s="2">
        <v>350000.0</v>
      </c>
      <c r="J358" s="2">
        <v>1.0</v>
      </c>
      <c r="K358" s="2">
        <v>7.0</v>
      </c>
      <c r="O358" s="2" t="s">
        <v>746</v>
      </c>
      <c r="P358" s="2" t="s">
        <v>166</v>
      </c>
      <c r="Q358" s="2"/>
      <c r="R358" s="2" t="s">
        <v>434</v>
      </c>
      <c r="S358" s="11">
        <v>42192.41105324074</v>
      </c>
    </row>
    <row r="359" ht="12.75" customHeight="1">
      <c r="A359" s="2"/>
      <c r="B359" s="2">
        <v>1.0</v>
      </c>
      <c r="C359" s="2" t="s">
        <v>747</v>
      </c>
      <c r="D359" s="2">
        <v>3.20055248E8</v>
      </c>
      <c r="E359" s="2">
        <v>2.000004067E9</v>
      </c>
      <c r="F359" s="2">
        <v>8520.0</v>
      </c>
      <c r="G359" s="2">
        <v>1.0</v>
      </c>
      <c r="H359" s="2">
        <v>0.0</v>
      </c>
      <c r="I359" s="2">
        <v>435000.0</v>
      </c>
      <c r="J359" s="2">
        <v>1.0</v>
      </c>
      <c r="K359" s="2">
        <v>7.0</v>
      </c>
      <c r="O359" s="2" t="s">
        <v>552</v>
      </c>
      <c r="P359" s="2" t="s">
        <v>166</v>
      </c>
      <c r="Q359" s="2"/>
      <c r="R359" s="2" t="s">
        <v>434</v>
      </c>
      <c r="S359" s="11">
        <v>42192.41105324074</v>
      </c>
    </row>
    <row r="360" ht="12.75" customHeight="1">
      <c r="A360" s="2"/>
      <c r="B360" s="2">
        <v>1.0</v>
      </c>
      <c r="C360" s="2" t="s">
        <v>748</v>
      </c>
      <c r="D360" s="2">
        <v>3.20055249E8</v>
      </c>
      <c r="E360" s="2">
        <v>2.000004067E9</v>
      </c>
      <c r="F360" s="2">
        <v>12546.0</v>
      </c>
      <c r="G360" s="2">
        <v>1.0</v>
      </c>
      <c r="H360" s="2">
        <v>0.0</v>
      </c>
      <c r="I360" s="2">
        <v>497000.0</v>
      </c>
      <c r="J360" s="2">
        <v>1.0</v>
      </c>
      <c r="K360" s="2">
        <v>7.0</v>
      </c>
      <c r="O360" s="2" t="s">
        <v>749</v>
      </c>
      <c r="P360" s="2" t="s">
        <v>166</v>
      </c>
      <c r="Q360" s="2"/>
      <c r="R360" s="2" t="s">
        <v>434</v>
      </c>
      <c r="S360" s="11">
        <v>42192.41105324074</v>
      </c>
    </row>
    <row r="361" ht="12.75" customHeight="1">
      <c r="A361" s="2"/>
      <c r="B361" s="2">
        <v>1.0</v>
      </c>
      <c r="C361" s="2" t="s">
        <v>750</v>
      </c>
      <c r="D361" s="2">
        <v>3.2005525E8</v>
      </c>
      <c r="E361" s="2">
        <v>2.000004067E9</v>
      </c>
      <c r="F361" s="2">
        <v>15119.0</v>
      </c>
      <c r="G361" s="2">
        <v>1.0</v>
      </c>
      <c r="H361" s="2">
        <v>0.0</v>
      </c>
      <c r="I361" s="2">
        <v>530000.0</v>
      </c>
      <c r="J361" s="2">
        <v>1.0</v>
      </c>
      <c r="K361" s="2">
        <v>7.0</v>
      </c>
      <c r="O361" s="2" t="s">
        <v>470</v>
      </c>
      <c r="P361" s="2" t="s">
        <v>166</v>
      </c>
      <c r="Q361" s="2"/>
      <c r="R361" s="2" t="s">
        <v>434</v>
      </c>
      <c r="S361" s="11">
        <v>42192.41105324074</v>
      </c>
    </row>
    <row r="362" ht="12.75" customHeight="1">
      <c r="A362" s="2"/>
      <c r="B362" s="2">
        <v>1.0</v>
      </c>
      <c r="C362" s="2" t="s">
        <v>751</v>
      </c>
      <c r="D362" s="2">
        <v>3.20055308E8</v>
      </c>
      <c r="E362" s="2">
        <v>2.00000407E9</v>
      </c>
      <c r="F362" s="2">
        <v>8518.0</v>
      </c>
      <c r="G362" s="2">
        <v>1.0</v>
      </c>
      <c r="H362" s="2">
        <v>0.0</v>
      </c>
      <c r="I362" s="2">
        <v>335000.0</v>
      </c>
      <c r="J362" s="2">
        <v>1.0</v>
      </c>
      <c r="K362" s="2">
        <v>7.0</v>
      </c>
      <c r="O362" s="2" t="s">
        <v>506</v>
      </c>
      <c r="P362" s="2" t="s">
        <v>166</v>
      </c>
      <c r="Q362" s="2"/>
      <c r="R362" s="2" t="s">
        <v>434</v>
      </c>
      <c r="S362" s="11">
        <v>42192.437523148146</v>
      </c>
    </row>
    <row r="363" ht="12.75" customHeight="1">
      <c r="A363" s="2"/>
      <c r="B363" s="2">
        <v>1.0</v>
      </c>
      <c r="C363" s="2" t="s">
        <v>752</v>
      </c>
      <c r="D363" s="2">
        <v>3.20055315E8</v>
      </c>
      <c r="E363" s="2">
        <v>2.00000407E9</v>
      </c>
      <c r="F363" s="2">
        <v>14122.0</v>
      </c>
      <c r="G363" s="2">
        <v>1.0</v>
      </c>
      <c r="H363" s="2">
        <v>0.0</v>
      </c>
      <c r="I363" s="2">
        <v>538000.0</v>
      </c>
      <c r="J363" s="2">
        <v>1.0</v>
      </c>
      <c r="K363" s="2">
        <v>7.0</v>
      </c>
      <c r="O363" s="2" t="s">
        <v>753</v>
      </c>
      <c r="P363" s="2" t="s">
        <v>166</v>
      </c>
      <c r="Q363" s="2"/>
      <c r="R363" s="2" t="s">
        <v>434</v>
      </c>
      <c r="S363" s="11">
        <v>42192.43753472222</v>
      </c>
    </row>
    <row r="364" ht="12.75" customHeight="1">
      <c r="A364" s="2"/>
      <c r="B364" s="2">
        <v>1.0</v>
      </c>
      <c r="C364" s="2" t="s">
        <v>754</v>
      </c>
      <c r="D364" s="2">
        <v>3.20055312E8</v>
      </c>
      <c r="E364" s="2">
        <v>2.00000407E9</v>
      </c>
      <c r="F364" s="2">
        <v>15119.0</v>
      </c>
      <c r="G364" s="2">
        <v>1.0</v>
      </c>
      <c r="H364" s="2">
        <v>0.0</v>
      </c>
      <c r="I364" s="2">
        <v>530000.0</v>
      </c>
      <c r="J364" s="2">
        <v>1.0</v>
      </c>
      <c r="K364" s="2">
        <v>7.0</v>
      </c>
      <c r="O364" s="2" t="s">
        <v>470</v>
      </c>
      <c r="P364" s="2" t="s">
        <v>166</v>
      </c>
      <c r="Q364" s="2"/>
      <c r="R364" s="2" t="s">
        <v>434</v>
      </c>
      <c r="S364" s="11">
        <v>42192.43753472222</v>
      </c>
    </row>
    <row r="365" ht="12.75" customHeight="1">
      <c r="A365" s="2"/>
      <c r="B365" s="2">
        <v>1.0</v>
      </c>
      <c r="C365" s="2" t="s">
        <v>755</v>
      </c>
      <c r="D365" s="2">
        <v>3.20055311E8</v>
      </c>
      <c r="E365" s="2">
        <v>2.00000407E9</v>
      </c>
      <c r="F365" s="2">
        <v>1.4000035E7</v>
      </c>
      <c r="G365" s="2">
        <v>1.0</v>
      </c>
      <c r="H365" s="2">
        <v>0.0</v>
      </c>
      <c r="I365" s="2">
        <v>538000.0</v>
      </c>
      <c r="J365" s="2">
        <v>1.0</v>
      </c>
      <c r="K365" s="2">
        <v>7.0</v>
      </c>
      <c r="O365" s="2" t="s">
        <v>634</v>
      </c>
      <c r="P365" s="2" t="s">
        <v>166</v>
      </c>
      <c r="Q365" s="2"/>
      <c r="R365" s="2" t="s">
        <v>434</v>
      </c>
      <c r="S365" s="11">
        <v>42192.43753472222</v>
      </c>
    </row>
    <row r="366" ht="12.75" customHeight="1">
      <c r="A366" s="2"/>
      <c r="B366" s="2">
        <v>1.0</v>
      </c>
      <c r="C366" s="2" t="s">
        <v>756</v>
      </c>
      <c r="D366" s="2">
        <v>3.20055576E8</v>
      </c>
      <c r="E366" s="2">
        <v>2.000004079E9</v>
      </c>
      <c r="F366" s="2">
        <v>991.0</v>
      </c>
      <c r="G366" s="2">
        <v>1.0</v>
      </c>
      <c r="H366" s="2">
        <v>0.0</v>
      </c>
      <c r="I366" s="2">
        <v>590000.0</v>
      </c>
      <c r="J366" s="2">
        <v>1.0</v>
      </c>
      <c r="K366" s="2">
        <v>7.0</v>
      </c>
      <c r="O366" s="2" t="s">
        <v>591</v>
      </c>
      <c r="P366" s="2" t="s">
        <v>166</v>
      </c>
      <c r="Q366" s="2"/>
      <c r="R366" s="2" t="s">
        <v>434</v>
      </c>
      <c r="S366" s="11">
        <v>42192.69361111111</v>
      </c>
    </row>
    <row r="367" ht="12.75" customHeight="1">
      <c r="A367" s="2"/>
      <c r="B367" s="2">
        <v>1.0</v>
      </c>
      <c r="C367" s="2" t="s">
        <v>757</v>
      </c>
      <c r="D367" s="2">
        <v>3.20055581E8</v>
      </c>
      <c r="E367" s="2">
        <v>2.000004079E9</v>
      </c>
      <c r="F367" s="2">
        <v>996.0</v>
      </c>
      <c r="G367" s="2">
        <v>1.0</v>
      </c>
      <c r="H367" s="2">
        <v>0.0</v>
      </c>
      <c r="I367" s="2">
        <v>535000.0</v>
      </c>
      <c r="J367" s="2">
        <v>1.0</v>
      </c>
      <c r="K367" s="2">
        <v>7.0</v>
      </c>
      <c r="O367" s="2" t="s">
        <v>679</v>
      </c>
      <c r="P367" s="2" t="s">
        <v>166</v>
      </c>
      <c r="Q367" s="2"/>
      <c r="R367" s="2" t="s">
        <v>434</v>
      </c>
      <c r="S367" s="11">
        <v>42192.69361111111</v>
      </c>
    </row>
    <row r="368" ht="12.75" customHeight="1">
      <c r="A368" s="2"/>
      <c r="B368" s="2">
        <v>1.0</v>
      </c>
      <c r="C368" s="2" t="s">
        <v>758</v>
      </c>
      <c r="D368" s="2">
        <v>3.20055575E8</v>
      </c>
      <c r="E368" s="2">
        <v>2.000004079E9</v>
      </c>
      <c r="F368" s="2">
        <v>6996.0</v>
      </c>
      <c r="G368" s="2">
        <v>1.0</v>
      </c>
      <c r="H368" s="2">
        <v>0.0</v>
      </c>
      <c r="I368" s="2">
        <v>360000.0</v>
      </c>
      <c r="J368" s="2">
        <v>1.0</v>
      </c>
      <c r="K368" s="2">
        <v>7.0</v>
      </c>
      <c r="O368" s="2" t="s">
        <v>759</v>
      </c>
      <c r="P368" s="2" t="s">
        <v>166</v>
      </c>
      <c r="Q368" s="2"/>
      <c r="R368" s="2" t="s">
        <v>434</v>
      </c>
      <c r="S368" s="11">
        <v>42192.69361111111</v>
      </c>
    </row>
    <row r="369" ht="12.75" customHeight="1">
      <c r="A369" s="2"/>
      <c r="B369" s="2">
        <v>1.0</v>
      </c>
      <c r="C369" s="2" t="s">
        <v>760</v>
      </c>
      <c r="D369" s="2">
        <v>3.20055723E8</v>
      </c>
      <c r="E369" s="2">
        <v>2.000004091E9</v>
      </c>
      <c r="F369" s="2">
        <v>8528.0</v>
      </c>
      <c r="G369" s="2">
        <v>2.0</v>
      </c>
      <c r="H369" s="2">
        <v>0.0</v>
      </c>
      <c r="I369" s="2">
        <v>110000.0</v>
      </c>
      <c r="J369" s="2">
        <v>1.0</v>
      </c>
      <c r="K369" s="2">
        <v>7.0</v>
      </c>
      <c r="O369" s="2" t="s">
        <v>531</v>
      </c>
      <c r="P369" s="2" t="s">
        <v>166</v>
      </c>
      <c r="Q369" s="2"/>
      <c r="R369" s="2" t="s">
        <v>434</v>
      </c>
      <c r="S369" s="11">
        <v>42192.831041666665</v>
      </c>
    </row>
    <row r="370" ht="12.75" customHeight="1">
      <c r="A370" s="2"/>
      <c r="B370" s="2">
        <v>1.0</v>
      </c>
      <c r="C370" s="2" t="s">
        <v>761</v>
      </c>
      <c r="D370" s="2">
        <v>3.20055736E8</v>
      </c>
      <c r="E370" s="2">
        <v>2.000004092E9</v>
      </c>
      <c r="F370" s="2">
        <v>8520.0</v>
      </c>
      <c r="G370" s="2">
        <v>1.0</v>
      </c>
      <c r="H370" s="2">
        <v>0.0</v>
      </c>
      <c r="I370" s="2">
        <v>435000.0</v>
      </c>
      <c r="J370" s="2">
        <v>1.0</v>
      </c>
      <c r="K370" s="2">
        <v>7.0</v>
      </c>
      <c r="O370" s="2" t="s">
        <v>552</v>
      </c>
      <c r="P370" s="2" t="s">
        <v>166</v>
      </c>
      <c r="Q370" s="2"/>
      <c r="R370" s="2" t="s">
        <v>434</v>
      </c>
      <c r="S370" s="11">
        <v>42192.85141203704</v>
      </c>
    </row>
    <row r="371" ht="12.75" customHeight="1">
      <c r="A371" s="2"/>
      <c r="B371" s="2">
        <v>1.0</v>
      </c>
      <c r="C371" s="2" t="s">
        <v>762</v>
      </c>
      <c r="D371" s="2">
        <v>3.20055734E8</v>
      </c>
      <c r="E371" s="2">
        <v>2.000004092E9</v>
      </c>
      <c r="F371" s="2">
        <v>15175.0</v>
      </c>
      <c r="G371" s="2">
        <v>1.0</v>
      </c>
      <c r="H371" s="2">
        <v>0.0</v>
      </c>
      <c r="I371" s="2">
        <v>618000.0</v>
      </c>
      <c r="J371" s="2">
        <v>1.0</v>
      </c>
      <c r="K371" s="2">
        <v>7.0</v>
      </c>
      <c r="O371" s="2" t="s">
        <v>656</v>
      </c>
      <c r="P371" s="2" t="s">
        <v>166</v>
      </c>
      <c r="Q371" s="2"/>
      <c r="R371" s="2" t="s">
        <v>434</v>
      </c>
      <c r="S371" s="11">
        <v>42192.85141203704</v>
      </c>
    </row>
    <row r="372" ht="12.75" customHeight="1">
      <c r="A372" s="2"/>
      <c r="B372" s="2">
        <v>1.0</v>
      </c>
      <c r="C372" s="2" t="s">
        <v>763</v>
      </c>
      <c r="D372" s="2">
        <v>3.20055761E8</v>
      </c>
      <c r="E372" s="2">
        <v>2.000004101E9</v>
      </c>
      <c r="F372" s="2">
        <v>6606.0</v>
      </c>
      <c r="G372" s="2">
        <v>1.0</v>
      </c>
      <c r="H372" s="2">
        <v>0.0</v>
      </c>
      <c r="I372" s="2">
        <v>229000.0</v>
      </c>
      <c r="J372" s="2">
        <v>1.0</v>
      </c>
      <c r="K372" s="2">
        <v>7.0</v>
      </c>
      <c r="O372" s="2" t="s">
        <v>764</v>
      </c>
      <c r="P372" s="2" t="s">
        <v>166</v>
      </c>
      <c r="Q372" s="2"/>
      <c r="R372" s="2" t="s">
        <v>434</v>
      </c>
      <c r="S372" s="11">
        <v>42192.8840162037</v>
      </c>
    </row>
    <row r="373" ht="12.75" customHeight="1">
      <c r="A373" s="2"/>
      <c r="B373" s="2">
        <v>1.0</v>
      </c>
      <c r="C373" s="2" t="s">
        <v>765</v>
      </c>
      <c r="D373" s="2">
        <v>3.20055762E8</v>
      </c>
      <c r="E373" s="2">
        <v>2.000004101E9</v>
      </c>
      <c r="F373" s="2">
        <v>9731.0</v>
      </c>
      <c r="G373" s="2">
        <v>-1.0</v>
      </c>
      <c r="H373" s="2">
        <v>0.0</v>
      </c>
      <c r="I373" s="2">
        <v>-314000.0</v>
      </c>
      <c r="J373" s="2">
        <v>1.0</v>
      </c>
      <c r="K373" s="2">
        <v>7.0</v>
      </c>
      <c r="O373" s="2" t="s">
        <v>766</v>
      </c>
      <c r="P373" s="2" t="s">
        <v>166</v>
      </c>
      <c r="Q373" s="2"/>
      <c r="R373" s="2" t="s">
        <v>434</v>
      </c>
      <c r="S373" s="11">
        <v>42192.88402777778</v>
      </c>
    </row>
    <row r="374" ht="12.75" customHeight="1">
      <c r="A374" s="2"/>
      <c r="B374" s="2">
        <v>1.0</v>
      </c>
      <c r="C374" s="2" t="s">
        <v>767</v>
      </c>
      <c r="D374" s="2">
        <v>3.20056049E8</v>
      </c>
      <c r="E374" s="2">
        <v>2.000004115E9</v>
      </c>
      <c r="F374" s="2">
        <v>8544.0</v>
      </c>
      <c r="G374" s="2">
        <v>1.0</v>
      </c>
      <c r="H374" s="2">
        <v>0.0</v>
      </c>
      <c r="I374" s="2">
        <v>365000.0</v>
      </c>
      <c r="J374" s="2">
        <v>1.0</v>
      </c>
      <c r="K374" s="2">
        <v>7.0</v>
      </c>
      <c r="O374" s="2" t="s">
        <v>512</v>
      </c>
      <c r="P374" s="2" t="s">
        <v>166</v>
      </c>
      <c r="Q374" s="2"/>
      <c r="R374" s="2" t="s">
        <v>434</v>
      </c>
      <c r="S374" s="11">
        <v>42193.675787037035</v>
      </c>
    </row>
    <row r="375" ht="12.75" customHeight="1">
      <c r="A375" s="2"/>
      <c r="B375" s="2">
        <v>1.0</v>
      </c>
      <c r="C375" s="2" t="s">
        <v>768</v>
      </c>
      <c r="D375" s="2">
        <v>3.20056047E8</v>
      </c>
      <c r="E375" s="2">
        <v>2.000004115E9</v>
      </c>
      <c r="F375" s="2">
        <v>8986.0</v>
      </c>
      <c r="G375" s="2">
        <v>1.0</v>
      </c>
      <c r="H375" s="2">
        <v>0.0</v>
      </c>
      <c r="I375" s="2">
        <v>305000.0</v>
      </c>
      <c r="J375" s="2">
        <v>1.0</v>
      </c>
      <c r="K375" s="2">
        <v>7.0</v>
      </c>
      <c r="O375" s="2" t="s">
        <v>732</v>
      </c>
      <c r="P375" s="2" t="s">
        <v>166</v>
      </c>
      <c r="Q375" s="2"/>
      <c r="R375" s="2" t="s">
        <v>434</v>
      </c>
      <c r="S375" s="11">
        <v>42193.675775462965</v>
      </c>
    </row>
    <row r="376" ht="12.75" customHeight="1">
      <c r="A376" s="2"/>
      <c r="B376" s="2">
        <v>1.0</v>
      </c>
      <c r="C376" s="2" t="s">
        <v>769</v>
      </c>
      <c r="D376" s="2">
        <v>3.20056706E8</v>
      </c>
      <c r="E376" s="2">
        <v>2.000004119E9</v>
      </c>
      <c r="F376" s="2">
        <v>6391.0</v>
      </c>
      <c r="G376" s="2">
        <v>2.0</v>
      </c>
      <c r="H376" s="2">
        <v>0.0</v>
      </c>
      <c r="I376" s="2">
        <v>120000.0</v>
      </c>
      <c r="J376" s="2">
        <v>1.0</v>
      </c>
      <c r="K376" s="2">
        <v>7.0</v>
      </c>
      <c r="O376" s="2" t="s">
        <v>770</v>
      </c>
      <c r="P376" s="2" t="s">
        <v>166</v>
      </c>
      <c r="Q376" s="2"/>
      <c r="R376" s="2" t="s">
        <v>434</v>
      </c>
      <c r="S376" s="11">
        <v>42193.71364583333</v>
      </c>
    </row>
    <row r="377" ht="12.75" customHeight="1">
      <c r="A377" s="2"/>
      <c r="B377" s="2">
        <v>1.0</v>
      </c>
      <c r="C377" s="2" t="s">
        <v>771</v>
      </c>
      <c r="D377" s="2">
        <v>3.20056805E8</v>
      </c>
      <c r="E377" s="2">
        <v>2.000004124E9</v>
      </c>
      <c r="F377" s="2">
        <v>8518.0</v>
      </c>
      <c r="G377" s="2">
        <v>1.0</v>
      </c>
      <c r="H377" s="2">
        <v>0.0</v>
      </c>
      <c r="I377" s="2">
        <v>335000.0</v>
      </c>
      <c r="J377" s="2">
        <v>1.0</v>
      </c>
      <c r="K377" s="2">
        <v>7.0</v>
      </c>
      <c r="O377" s="2" t="s">
        <v>506</v>
      </c>
      <c r="P377" s="2" t="s">
        <v>166</v>
      </c>
      <c r="Q377" s="2"/>
      <c r="R377" s="2" t="s">
        <v>434</v>
      </c>
      <c r="S377" s="11">
        <v>42193.77446759259</v>
      </c>
    </row>
    <row r="378" ht="12.75" customHeight="1">
      <c r="A378" s="2"/>
      <c r="B378" s="2">
        <v>1.0</v>
      </c>
      <c r="C378" s="2" t="s">
        <v>772</v>
      </c>
      <c r="D378" s="2">
        <v>3.20056804E8</v>
      </c>
      <c r="E378" s="2">
        <v>2.000004124E9</v>
      </c>
      <c r="F378" s="2">
        <v>8519.0</v>
      </c>
      <c r="G378" s="2">
        <v>-1.0</v>
      </c>
      <c r="H378" s="2">
        <v>0.0</v>
      </c>
      <c r="I378" s="2">
        <v>-395000.0</v>
      </c>
      <c r="J378" s="2">
        <v>1.0</v>
      </c>
      <c r="K378" s="2">
        <v>7.0</v>
      </c>
      <c r="O378" s="2" t="s">
        <v>508</v>
      </c>
      <c r="P378" s="2" t="s">
        <v>166</v>
      </c>
      <c r="Q378" s="2"/>
      <c r="R378" s="2" t="s">
        <v>434</v>
      </c>
      <c r="S378" s="11">
        <v>42193.77446759259</v>
      </c>
    </row>
    <row r="379" ht="12.75" customHeight="1">
      <c r="A379" s="2"/>
      <c r="B379" s="2">
        <v>1.0</v>
      </c>
      <c r="C379" s="2" t="s">
        <v>773</v>
      </c>
      <c r="D379" s="2">
        <v>3.2005687E8</v>
      </c>
      <c r="E379" s="2">
        <v>2.000004129E9</v>
      </c>
      <c r="F379" s="2">
        <v>65.0</v>
      </c>
      <c r="G379" s="2">
        <v>1.0</v>
      </c>
      <c r="H379" s="2">
        <v>0.0</v>
      </c>
      <c r="I379" s="2">
        <v>220000.0</v>
      </c>
      <c r="J379" s="2">
        <v>1.0</v>
      </c>
      <c r="K379" s="2">
        <v>7.0</v>
      </c>
      <c r="O379" s="2" t="s">
        <v>474</v>
      </c>
      <c r="P379" s="2" t="s">
        <v>166</v>
      </c>
      <c r="Q379" s="2"/>
      <c r="R379" s="2" t="s">
        <v>434</v>
      </c>
      <c r="S379" s="11">
        <v>42193.849953703706</v>
      </c>
    </row>
    <row r="380" ht="12.75" customHeight="1">
      <c r="A380" s="2"/>
      <c r="B380" s="2">
        <v>1.0</v>
      </c>
      <c r="C380" s="2" t="s">
        <v>774</v>
      </c>
      <c r="D380" s="2">
        <v>3.20056876E8</v>
      </c>
      <c r="E380" s="2">
        <v>2.00000413E9</v>
      </c>
      <c r="F380" s="2">
        <v>4985.0</v>
      </c>
      <c r="G380" s="2">
        <v>2.0</v>
      </c>
      <c r="H380" s="2">
        <v>0.0</v>
      </c>
      <c r="I380" s="2">
        <v>250000.0</v>
      </c>
      <c r="J380" s="2">
        <v>1.0</v>
      </c>
      <c r="K380" s="2">
        <v>7.0</v>
      </c>
      <c r="O380" s="2" t="s">
        <v>775</v>
      </c>
      <c r="P380" s="2" t="s">
        <v>166</v>
      </c>
      <c r="Q380" s="2"/>
      <c r="R380" s="2" t="s">
        <v>434</v>
      </c>
      <c r="S380" s="11">
        <v>42193.85108796296</v>
      </c>
    </row>
    <row r="381" ht="12.75" customHeight="1">
      <c r="A381" s="2"/>
      <c r="B381" s="2">
        <v>1.0</v>
      </c>
      <c r="C381" s="2" t="s">
        <v>776</v>
      </c>
      <c r="D381" s="2">
        <v>3.20056892E8</v>
      </c>
      <c r="E381" s="2">
        <v>2.000004132E9</v>
      </c>
      <c r="F381" s="2">
        <v>5399.0</v>
      </c>
      <c r="G381" s="2">
        <v>1.0</v>
      </c>
      <c r="H381" s="2">
        <v>0.0</v>
      </c>
      <c r="I381" s="2">
        <v>335000.0</v>
      </c>
      <c r="J381" s="2">
        <v>1.0</v>
      </c>
      <c r="K381" s="2">
        <v>7.0</v>
      </c>
      <c r="O381" s="2" t="s">
        <v>169</v>
      </c>
      <c r="P381" s="2" t="s">
        <v>166</v>
      </c>
      <c r="Q381" s="2"/>
      <c r="R381" s="2" t="s">
        <v>434</v>
      </c>
      <c r="S381" s="11">
        <v>42193.86241898148</v>
      </c>
    </row>
    <row r="382" ht="12.75" customHeight="1">
      <c r="A382" s="2"/>
      <c r="B382" s="2">
        <v>1.0</v>
      </c>
      <c r="C382" s="2" t="s">
        <v>777</v>
      </c>
      <c r="D382" s="2">
        <v>3.2005689E8</v>
      </c>
      <c r="E382" s="2">
        <v>2.000004132E9</v>
      </c>
      <c r="F382" s="2">
        <v>9733.0</v>
      </c>
      <c r="G382" s="2">
        <v>1.0</v>
      </c>
      <c r="H382" s="2">
        <v>0.0</v>
      </c>
      <c r="I382" s="2">
        <v>343000.0</v>
      </c>
      <c r="J382" s="2">
        <v>1.0</v>
      </c>
      <c r="K382" s="2">
        <v>7.0</v>
      </c>
      <c r="O382" s="2" t="s">
        <v>456</v>
      </c>
      <c r="P382" s="2" t="s">
        <v>166</v>
      </c>
      <c r="Q382" s="2"/>
      <c r="R382" s="2" t="s">
        <v>434</v>
      </c>
      <c r="S382" s="11">
        <v>42193.86241898148</v>
      </c>
    </row>
    <row r="383" ht="12.75" customHeight="1">
      <c r="A383" s="2"/>
      <c r="B383" s="2">
        <v>1.0</v>
      </c>
      <c r="C383" s="2" t="s">
        <v>778</v>
      </c>
      <c r="D383" s="2">
        <v>3.20056889E8</v>
      </c>
      <c r="E383" s="2">
        <v>2.000004132E9</v>
      </c>
      <c r="F383" s="2">
        <v>15120.0</v>
      </c>
      <c r="G383" s="2">
        <v>1.0</v>
      </c>
      <c r="H383" s="2">
        <v>0.0</v>
      </c>
      <c r="I383" s="2">
        <v>530000.0</v>
      </c>
      <c r="J383" s="2">
        <v>1.0</v>
      </c>
      <c r="K383" s="2">
        <v>7.0</v>
      </c>
      <c r="O383" s="2" t="s">
        <v>470</v>
      </c>
      <c r="P383" s="2" t="s">
        <v>166</v>
      </c>
      <c r="Q383" s="2"/>
      <c r="R383" s="2" t="s">
        <v>434</v>
      </c>
      <c r="S383" s="11">
        <v>42193.86241898148</v>
      </c>
    </row>
    <row r="384" ht="12.75" customHeight="1">
      <c r="A384" s="2"/>
      <c r="B384" s="2">
        <v>1.0</v>
      </c>
      <c r="C384" s="2" t="s">
        <v>779</v>
      </c>
      <c r="D384" s="2">
        <v>3.20056905E8</v>
      </c>
      <c r="E384" s="2">
        <v>2.000004133E9</v>
      </c>
      <c r="F384" s="2">
        <v>8518.0</v>
      </c>
      <c r="G384" s="2">
        <v>1.0</v>
      </c>
      <c r="H384" s="2">
        <v>0.0</v>
      </c>
      <c r="I384" s="2">
        <v>335000.0</v>
      </c>
      <c r="J384" s="2">
        <v>1.0</v>
      </c>
      <c r="K384" s="2">
        <v>7.0</v>
      </c>
      <c r="O384" s="2" t="s">
        <v>506</v>
      </c>
      <c r="P384" s="2" t="s">
        <v>166</v>
      </c>
      <c r="Q384" s="2"/>
      <c r="R384" s="2" t="s">
        <v>434</v>
      </c>
      <c r="S384" s="11">
        <v>42193.870104166665</v>
      </c>
    </row>
    <row r="385" ht="12.75" customHeight="1">
      <c r="A385" s="2"/>
      <c r="B385" s="2">
        <v>1.0</v>
      </c>
      <c r="C385" s="2" t="s">
        <v>780</v>
      </c>
      <c r="D385" s="2">
        <v>3.20056903E8</v>
      </c>
      <c r="E385" s="2">
        <v>2.000004133E9</v>
      </c>
      <c r="F385" s="2">
        <v>8599.0</v>
      </c>
      <c r="G385" s="2">
        <v>1.0</v>
      </c>
      <c r="H385" s="2">
        <v>0.0</v>
      </c>
      <c r="I385" s="2">
        <v>450000.0</v>
      </c>
      <c r="J385" s="2">
        <v>1.0</v>
      </c>
      <c r="K385" s="2">
        <v>7.0</v>
      </c>
      <c r="O385" s="2" t="s">
        <v>527</v>
      </c>
      <c r="P385" s="2" t="s">
        <v>166</v>
      </c>
      <c r="Q385" s="2"/>
      <c r="R385" s="2" t="s">
        <v>434</v>
      </c>
      <c r="S385" s="11">
        <v>42193.870104166665</v>
      </c>
    </row>
    <row r="386" ht="12.75" customHeight="1">
      <c r="A386" s="2"/>
      <c r="B386" s="2">
        <v>1.0</v>
      </c>
      <c r="C386" s="2" t="s">
        <v>781</v>
      </c>
      <c r="D386" s="2">
        <v>3.20056913E8</v>
      </c>
      <c r="E386" s="2">
        <v>2.000004136E9</v>
      </c>
      <c r="F386" s="2">
        <v>6409.0</v>
      </c>
      <c r="G386" s="2">
        <v>1.0</v>
      </c>
      <c r="H386" s="2">
        <v>0.0</v>
      </c>
      <c r="I386" s="2">
        <v>198000.0</v>
      </c>
      <c r="J386" s="2">
        <v>1.0</v>
      </c>
      <c r="K386" s="2">
        <v>7.0</v>
      </c>
      <c r="O386" s="2" t="s">
        <v>782</v>
      </c>
      <c r="P386" s="2" t="s">
        <v>166</v>
      </c>
      <c r="Q386" s="2"/>
      <c r="R386" s="2" t="s">
        <v>434</v>
      </c>
      <c r="S386" s="11">
        <v>42193.87756944444</v>
      </c>
    </row>
    <row r="387" ht="12.75" customHeight="1">
      <c r="A387" s="2"/>
      <c r="B387" s="2">
        <v>1.0</v>
      </c>
      <c r="C387" s="2" t="s">
        <v>783</v>
      </c>
      <c r="D387" s="2">
        <v>3.20056929E8</v>
      </c>
      <c r="E387" s="2">
        <v>2.000004137E9</v>
      </c>
      <c r="F387" s="2">
        <v>8519.0</v>
      </c>
      <c r="G387" s="2">
        <v>1.0</v>
      </c>
      <c r="H387" s="2">
        <v>0.0</v>
      </c>
      <c r="I387" s="2">
        <v>395000.0</v>
      </c>
      <c r="J387" s="2">
        <v>1.0</v>
      </c>
      <c r="K387" s="2">
        <v>7.0</v>
      </c>
      <c r="O387" s="2" t="s">
        <v>508</v>
      </c>
      <c r="P387" s="2" t="s">
        <v>166</v>
      </c>
      <c r="Q387" s="2"/>
      <c r="R387" s="2" t="s">
        <v>434</v>
      </c>
      <c r="S387" s="11">
        <v>42193.880277777775</v>
      </c>
    </row>
    <row r="388" ht="12.75" customHeight="1">
      <c r="A388" s="2"/>
      <c r="B388" s="2">
        <v>1.0</v>
      </c>
      <c r="C388" s="2" t="s">
        <v>784</v>
      </c>
      <c r="D388" s="2">
        <v>3.20056927E8</v>
      </c>
      <c r="E388" s="2">
        <v>2.000004137E9</v>
      </c>
      <c r="F388" s="2">
        <v>8520.0</v>
      </c>
      <c r="G388" s="2">
        <v>0.0</v>
      </c>
      <c r="H388" s="2">
        <v>0.0</v>
      </c>
      <c r="I388" s="2">
        <v>0.0</v>
      </c>
      <c r="J388" s="2">
        <v>1.0</v>
      </c>
      <c r="K388" s="2">
        <v>7.0</v>
      </c>
      <c r="O388" s="2" t="s">
        <v>552</v>
      </c>
      <c r="P388" s="2" t="s">
        <v>166</v>
      </c>
      <c r="Q388" s="2"/>
      <c r="R388" s="2" t="s">
        <v>434</v>
      </c>
      <c r="S388" s="11">
        <v>42193.880277777775</v>
      </c>
    </row>
    <row r="389" ht="12.75" customHeight="1">
      <c r="A389" s="2"/>
      <c r="B389" s="2">
        <v>1.0</v>
      </c>
      <c r="C389" s="2" t="s">
        <v>785</v>
      </c>
      <c r="D389" s="2">
        <v>3.20057667E8</v>
      </c>
      <c r="E389" s="2">
        <v>2.00000416E9</v>
      </c>
      <c r="F389" s="2">
        <v>8519.0</v>
      </c>
      <c r="G389" s="2">
        <v>1.0</v>
      </c>
      <c r="H389" s="2">
        <v>0.0</v>
      </c>
      <c r="I389" s="2">
        <v>395000.0</v>
      </c>
      <c r="J389" s="2">
        <v>1.0</v>
      </c>
      <c r="K389" s="2">
        <v>7.0</v>
      </c>
      <c r="O389" s="2" t="s">
        <v>508</v>
      </c>
      <c r="P389" s="2" t="s">
        <v>166</v>
      </c>
      <c r="Q389" s="2"/>
      <c r="R389" s="2" t="s">
        <v>434</v>
      </c>
      <c r="S389" s="11">
        <v>42194.639872685184</v>
      </c>
    </row>
    <row r="390" ht="12.75" customHeight="1">
      <c r="A390" s="2"/>
      <c r="B390" s="2">
        <v>1.0</v>
      </c>
      <c r="C390" s="2" t="s">
        <v>786</v>
      </c>
      <c r="D390" s="2">
        <v>3.20057738E8</v>
      </c>
      <c r="E390" s="2">
        <v>2.000004164E9</v>
      </c>
      <c r="F390" s="2">
        <v>8544.0</v>
      </c>
      <c r="G390" s="2">
        <v>1.0</v>
      </c>
      <c r="H390" s="2">
        <v>0.0</v>
      </c>
      <c r="I390" s="2">
        <v>365000.0</v>
      </c>
      <c r="J390" s="2">
        <v>1.0</v>
      </c>
      <c r="K390" s="2">
        <v>7.0</v>
      </c>
      <c r="O390" s="2" t="s">
        <v>512</v>
      </c>
      <c r="P390" s="2" t="s">
        <v>166</v>
      </c>
      <c r="Q390" s="2"/>
      <c r="R390" s="2" t="s">
        <v>434</v>
      </c>
      <c r="S390" s="11">
        <v>42194.724583333336</v>
      </c>
    </row>
    <row r="391" ht="12.75" customHeight="1">
      <c r="A391" s="2"/>
      <c r="B391" s="2">
        <v>1.0</v>
      </c>
      <c r="C391" s="2" t="s">
        <v>787</v>
      </c>
      <c r="D391" s="2">
        <v>3.20057742E8</v>
      </c>
      <c r="E391" s="2">
        <v>2.000004164E9</v>
      </c>
      <c r="F391" s="2">
        <v>8569.0</v>
      </c>
      <c r="G391" s="2">
        <v>1.0</v>
      </c>
      <c r="H391" s="2">
        <v>0.0</v>
      </c>
      <c r="I391" s="2">
        <v>255000.0</v>
      </c>
      <c r="J391" s="2">
        <v>1.0</v>
      </c>
      <c r="K391" s="2">
        <v>7.0</v>
      </c>
      <c r="O391" s="2" t="s">
        <v>736</v>
      </c>
      <c r="P391" s="2" t="s">
        <v>166</v>
      </c>
      <c r="Q391" s="2"/>
      <c r="R391" s="2" t="s">
        <v>434</v>
      </c>
      <c r="S391" s="11">
        <v>42194.724583333336</v>
      </c>
    </row>
    <row r="392" ht="12.75" customHeight="1">
      <c r="A392" s="2"/>
      <c r="B392" s="2">
        <v>1.0</v>
      </c>
      <c r="C392" s="2" t="s">
        <v>788</v>
      </c>
      <c r="D392" s="2">
        <v>3.20057768E8</v>
      </c>
      <c r="E392" s="2">
        <v>2.000004166E9</v>
      </c>
      <c r="F392" s="2">
        <v>65.0</v>
      </c>
      <c r="G392" s="2">
        <v>1.0</v>
      </c>
      <c r="H392" s="2">
        <v>0.0</v>
      </c>
      <c r="I392" s="2">
        <v>220000.0</v>
      </c>
      <c r="J392" s="2">
        <v>1.0</v>
      </c>
      <c r="K392" s="2">
        <v>7.0</v>
      </c>
      <c r="O392" s="2" t="s">
        <v>474</v>
      </c>
      <c r="P392" s="2" t="s">
        <v>166</v>
      </c>
      <c r="Q392" s="2"/>
      <c r="R392" s="2" t="s">
        <v>434</v>
      </c>
      <c r="S392" s="11">
        <v>42194.749444444446</v>
      </c>
    </row>
    <row r="393" ht="12.75" customHeight="1">
      <c r="A393" s="2"/>
      <c r="B393" s="2">
        <v>1.0</v>
      </c>
      <c r="C393" s="2" t="s">
        <v>789</v>
      </c>
      <c r="D393" s="2">
        <v>3.20057823E8</v>
      </c>
      <c r="E393" s="2">
        <v>2.000004172E9</v>
      </c>
      <c r="F393" s="2">
        <v>8629.0</v>
      </c>
      <c r="G393" s="2">
        <v>1.0</v>
      </c>
      <c r="H393" s="2">
        <v>0.0</v>
      </c>
      <c r="I393" s="2">
        <v>655000.0</v>
      </c>
      <c r="J393" s="2">
        <v>1.0</v>
      </c>
      <c r="K393" s="2">
        <v>7.0</v>
      </c>
      <c r="O393" s="2" t="s">
        <v>631</v>
      </c>
      <c r="P393" s="2" t="s">
        <v>166</v>
      </c>
      <c r="Q393" s="2"/>
      <c r="R393" s="2" t="s">
        <v>434</v>
      </c>
      <c r="S393" s="11">
        <v>42194.79537037037</v>
      </c>
    </row>
    <row r="394" ht="12.75" customHeight="1">
      <c r="A394" s="2"/>
      <c r="B394" s="2">
        <v>1.0</v>
      </c>
      <c r="C394" s="2" t="s">
        <v>790</v>
      </c>
      <c r="D394" s="2">
        <v>3.20057821E8</v>
      </c>
      <c r="E394" s="2">
        <v>2.000004172E9</v>
      </c>
      <c r="F394" s="2">
        <v>15119.0</v>
      </c>
      <c r="G394" s="2">
        <v>1.0</v>
      </c>
      <c r="H394" s="2">
        <v>0.0</v>
      </c>
      <c r="I394" s="2">
        <v>530000.0</v>
      </c>
      <c r="J394" s="2">
        <v>1.0</v>
      </c>
      <c r="K394" s="2">
        <v>7.0</v>
      </c>
      <c r="O394" s="2" t="s">
        <v>470</v>
      </c>
      <c r="P394" s="2" t="s">
        <v>166</v>
      </c>
      <c r="Q394" s="2"/>
      <c r="R394" s="2" t="s">
        <v>434</v>
      </c>
      <c r="S394" s="11">
        <v>42194.79537037037</v>
      </c>
    </row>
    <row r="395" ht="12.75" customHeight="1">
      <c r="A395" s="2"/>
      <c r="B395" s="2">
        <v>1.0</v>
      </c>
      <c r="C395" s="2" t="s">
        <v>791</v>
      </c>
      <c r="D395" s="2">
        <v>3.20057848E8</v>
      </c>
      <c r="E395" s="2">
        <v>2.000004175E9</v>
      </c>
      <c r="F395" s="2">
        <v>3363.0</v>
      </c>
      <c r="G395" s="2">
        <v>1.0</v>
      </c>
      <c r="H395" s="2">
        <v>0.0</v>
      </c>
      <c r="I395" s="2">
        <v>300000.0</v>
      </c>
      <c r="J395" s="2">
        <v>1.0</v>
      </c>
      <c r="K395" s="2">
        <v>7.0</v>
      </c>
      <c r="O395" s="2" t="s">
        <v>792</v>
      </c>
      <c r="P395" s="2" t="s">
        <v>166</v>
      </c>
      <c r="Q395" s="2"/>
      <c r="R395" s="2" t="s">
        <v>434</v>
      </c>
      <c r="S395" s="11">
        <v>42194.84899305556</v>
      </c>
    </row>
    <row r="396" ht="12.75" customHeight="1">
      <c r="A396" s="2"/>
      <c r="B396" s="2">
        <v>1.0</v>
      </c>
      <c r="C396" s="2" t="s">
        <v>793</v>
      </c>
      <c r="D396" s="2">
        <v>3.20057854E8</v>
      </c>
      <c r="E396" s="2">
        <v>2.000004175E9</v>
      </c>
      <c r="F396" s="2">
        <v>5421.0</v>
      </c>
      <c r="G396" s="2">
        <v>1.0</v>
      </c>
      <c r="H396" s="2">
        <v>0.0</v>
      </c>
      <c r="I396" s="2">
        <v>395000.0</v>
      </c>
      <c r="J396" s="2">
        <v>1.0</v>
      </c>
      <c r="K396" s="2">
        <v>7.0</v>
      </c>
      <c r="O396" s="2" t="s">
        <v>794</v>
      </c>
      <c r="P396" s="2" t="s">
        <v>166</v>
      </c>
      <c r="Q396" s="2"/>
      <c r="R396" s="2" t="s">
        <v>434</v>
      </c>
      <c r="S396" s="11">
        <v>42194.84899305556</v>
      </c>
    </row>
    <row r="397" ht="12.75" customHeight="1">
      <c r="A397" s="2"/>
      <c r="B397" s="2">
        <v>1.0</v>
      </c>
      <c r="C397" s="2" t="s">
        <v>795</v>
      </c>
      <c r="D397" s="2">
        <v>3.20057847E8</v>
      </c>
      <c r="E397" s="2">
        <v>2.000004175E9</v>
      </c>
      <c r="F397" s="2">
        <v>6312.0</v>
      </c>
      <c r="G397" s="2">
        <v>1.0</v>
      </c>
      <c r="H397" s="2">
        <v>0.0</v>
      </c>
      <c r="I397" s="2">
        <v>120000.0</v>
      </c>
      <c r="J397" s="2">
        <v>1.0</v>
      </c>
      <c r="K397" s="2">
        <v>7.0</v>
      </c>
      <c r="O397" s="2" t="s">
        <v>264</v>
      </c>
      <c r="P397" s="2" t="s">
        <v>166</v>
      </c>
      <c r="Q397" s="2"/>
      <c r="R397" s="2" t="s">
        <v>434</v>
      </c>
      <c r="S397" s="11">
        <v>42194.84899305556</v>
      </c>
    </row>
    <row r="398" ht="12.75" customHeight="1">
      <c r="A398" s="2"/>
      <c r="B398" s="2">
        <v>1.0</v>
      </c>
      <c r="C398" s="2" t="s">
        <v>796</v>
      </c>
      <c r="D398" s="2">
        <v>3.20057851E8</v>
      </c>
      <c r="E398" s="2">
        <v>2.000004175E9</v>
      </c>
      <c r="F398" s="2">
        <v>8569.0</v>
      </c>
      <c r="G398" s="2">
        <v>1.0</v>
      </c>
      <c r="H398" s="2">
        <v>0.0</v>
      </c>
      <c r="I398" s="2">
        <v>255000.0</v>
      </c>
      <c r="J398" s="2">
        <v>1.0</v>
      </c>
      <c r="K398" s="2">
        <v>7.0</v>
      </c>
      <c r="O398" s="2" t="s">
        <v>736</v>
      </c>
      <c r="P398" s="2" t="s">
        <v>166</v>
      </c>
      <c r="Q398" s="2"/>
      <c r="R398" s="2" t="s">
        <v>434</v>
      </c>
      <c r="S398" s="11">
        <v>42194.84899305556</v>
      </c>
    </row>
    <row r="399" ht="12.75" customHeight="1">
      <c r="A399" s="2"/>
      <c r="B399" s="2">
        <v>1.0</v>
      </c>
      <c r="C399" s="2" t="s">
        <v>797</v>
      </c>
      <c r="D399" s="2">
        <v>3.20058698E8</v>
      </c>
      <c r="E399" s="2">
        <v>2.000004205E9</v>
      </c>
      <c r="F399" s="2">
        <v>9735.0</v>
      </c>
      <c r="G399" s="2">
        <v>1.0</v>
      </c>
      <c r="H399" s="2">
        <v>0.0</v>
      </c>
      <c r="I399" s="2">
        <v>370000.0</v>
      </c>
      <c r="J399" s="2">
        <v>1.0</v>
      </c>
      <c r="K399" s="2">
        <v>7.0</v>
      </c>
      <c r="O399" s="2" t="s">
        <v>798</v>
      </c>
      <c r="P399" s="2" t="s">
        <v>166</v>
      </c>
      <c r="Q399" s="2"/>
      <c r="R399" s="2" t="s">
        <v>434</v>
      </c>
      <c r="S399" s="11">
        <v>42195.61311342593</v>
      </c>
    </row>
    <row r="400" ht="12.75" customHeight="1">
      <c r="A400" s="2"/>
      <c r="B400" s="2">
        <v>1.0</v>
      </c>
      <c r="C400" s="2" t="s">
        <v>799</v>
      </c>
      <c r="D400" s="2">
        <v>3.20058708E8</v>
      </c>
      <c r="E400" s="2">
        <v>2.000004208E9</v>
      </c>
      <c r="F400" s="2">
        <v>8512.0</v>
      </c>
      <c r="G400" s="2">
        <v>1.0</v>
      </c>
      <c r="H400" s="2">
        <v>0.0</v>
      </c>
      <c r="I400" s="2">
        <v>495000.0</v>
      </c>
      <c r="J400" s="2">
        <v>1.0</v>
      </c>
      <c r="K400" s="2">
        <v>7.0</v>
      </c>
      <c r="O400" s="2" t="s">
        <v>594</v>
      </c>
      <c r="P400" s="2" t="s">
        <v>166</v>
      </c>
      <c r="Q400" s="2"/>
      <c r="R400" s="2" t="s">
        <v>434</v>
      </c>
      <c r="S400" s="11">
        <v>42195.628275462965</v>
      </c>
    </row>
    <row r="401" ht="12.75" customHeight="1">
      <c r="A401" s="2"/>
      <c r="B401" s="2">
        <v>1.0</v>
      </c>
      <c r="C401" s="2" t="s">
        <v>800</v>
      </c>
      <c r="D401" s="2">
        <v>3.2005871E8</v>
      </c>
      <c r="E401" s="2">
        <v>2.000004208E9</v>
      </c>
      <c r="F401" s="2">
        <v>8516.0</v>
      </c>
      <c r="G401" s="2">
        <v>1.0</v>
      </c>
      <c r="H401" s="2">
        <v>0.0</v>
      </c>
      <c r="I401" s="2">
        <v>675000.0</v>
      </c>
      <c r="J401" s="2">
        <v>1.0</v>
      </c>
      <c r="K401" s="2">
        <v>7.0</v>
      </c>
      <c r="O401" s="2" t="s">
        <v>599</v>
      </c>
      <c r="P401" s="2" t="s">
        <v>166</v>
      </c>
      <c r="Q401" s="2"/>
      <c r="R401" s="2" t="s">
        <v>434</v>
      </c>
      <c r="S401" s="11">
        <v>42195.628275462965</v>
      </c>
    </row>
    <row r="402" ht="12.75" customHeight="1">
      <c r="A402" s="2"/>
      <c r="B402" s="2">
        <v>1.0</v>
      </c>
      <c r="C402" s="2" t="s">
        <v>801</v>
      </c>
      <c r="D402" s="2">
        <v>3.20058733E8</v>
      </c>
      <c r="E402" s="2">
        <v>2.000004209E9</v>
      </c>
      <c r="F402" s="2">
        <v>980.0</v>
      </c>
      <c r="G402" s="2">
        <v>2.0</v>
      </c>
      <c r="H402" s="2">
        <v>0.0</v>
      </c>
      <c r="I402" s="2">
        <v>1100000.0</v>
      </c>
      <c r="J402" s="2">
        <v>1.0</v>
      </c>
      <c r="K402" s="2">
        <v>7.0</v>
      </c>
      <c r="O402" s="2" t="s">
        <v>802</v>
      </c>
      <c r="P402" s="2" t="s">
        <v>166</v>
      </c>
      <c r="Q402" s="2"/>
      <c r="R402" s="2" t="s">
        <v>434</v>
      </c>
      <c r="S402" s="11">
        <v>42195.649675925924</v>
      </c>
    </row>
    <row r="403" ht="12.75" customHeight="1">
      <c r="A403" s="2"/>
      <c r="B403" s="2">
        <v>1.0</v>
      </c>
      <c r="C403" s="2" t="s">
        <v>803</v>
      </c>
      <c r="D403" s="2">
        <v>3.20058732E8</v>
      </c>
      <c r="E403" s="2">
        <v>2.000004209E9</v>
      </c>
      <c r="F403" s="2">
        <v>13934.0</v>
      </c>
      <c r="G403" s="2">
        <v>2.0</v>
      </c>
      <c r="H403" s="2">
        <v>117000.0</v>
      </c>
      <c r="I403" s="2">
        <v>1170000.0</v>
      </c>
      <c r="J403" s="2">
        <v>1.0</v>
      </c>
      <c r="K403" s="2">
        <v>7.0</v>
      </c>
      <c r="O403" s="2" t="s">
        <v>804</v>
      </c>
      <c r="P403" s="2" t="s">
        <v>166</v>
      </c>
      <c r="Q403" s="2"/>
      <c r="R403" s="2" t="s">
        <v>434</v>
      </c>
      <c r="S403" s="11">
        <v>42195.649675925924</v>
      </c>
    </row>
    <row r="404" ht="12.75" customHeight="1">
      <c r="A404" s="2"/>
      <c r="B404" s="2">
        <v>1.0</v>
      </c>
      <c r="C404" s="2" t="s">
        <v>805</v>
      </c>
      <c r="D404" s="2">
        <v>3.2005874E8</v>
      </c>
      <c r="E404" s="2">
        <v>2.00000421E9</v>
      </c>
      <c r="F404" s="2">
        <v>8512.0</v>
      </c>
      <c r="G404" s="2">
        <v>-1.0</v>
      </c>
      <c r="H404" s="2">
        <v>0.0</v>
      </c>
      <c r="I404" s="2">
        <v>-495000.0</v>
      </c>
      <c r="J404" s="2">
        <v>1.0</v>
      </c>
      <c r="K404" s="2">
        <v>7.0</v>
      </c>
      <c r="O404" s="2" t="s">
        <v>594</v>
      </c>
      <c r="P404" s="2" t="s">
        <v>166</v>
      </c>
      <c r="Q404" s="2"/>
      <c r="R404" s="2" t="s">
        <v>434</v>
      </c>
      <c r="S404" s="11">
        <v>42195.654074074075</v>
      </c>
    </row>
    <row r="405" ht="12.75" customHeight="1">
      <c r="A405" s="2"/>
      <c r="B405" s="2">
        <v>1.0</v>
      </c>
      <c r="C405" s="2" t="s">
        <v>806</v>
      </c>
      <c r="D405" s="2">
        <v>3.20058762E8</v>
      </c>
      <c r="E405" s="2">
        <v>2.000004211E9</v>
      </c>
      <c r="F405" s="2">
        <v>3854.0</v>
      </c>
      <c r="G405" s="2">
        <v>1.0</v>
      </c>
      <c r="H405" s="2">
        <v>0.0</v>
      </c>
      <c r="I405" s="2">
        <v>1560000.0</v>
      </c>
      <c r="J405" s="2">
        <v>1.0</v>
      </c>
      <c r="K405" s="2">
        <v>7.0</v>
      </c>
      <c r="O405" s="2" t="s">
        <v>807</v>
      </c>
      <c r="P405" s="2" t="s">
        <v>166</v>
      </c>
      <c r="Q405" s="2"/>
      <c r="R405" s="2" t="s">
        <v>434</v>
      </c>
      <c r="S405" s="11">
        <v>42195.65589120371</v>
      </c>
    </row>
    <row r="406" ht="12.75" customHeight="1">
      <c r="A406" s="2"/>
      <c r="B406" s="2">
        <v>1.0</v>
      </c>
      <c r="C406" s="2" t="s">
        <v>808</v>
      </c>
      <c r="D406" s="2">
        <v>3.20058763E8</v>
      </c>
      <c r="E406" s="2">
        <v>2.000004211E9</v>
      </c>
      <c r="F406" s="2">
        <v>3874.0</v>
      </c>
      <c r="G406" s="2">
        <v>1.0</v>
      </c>
      <c r="H406" s="2">
        <v>0.0</v>
      </c>
      <c r="I406" s="2">
        <v>390000.0</v>
      </c>
      <c r="J406" s="2">
        <v>1.0</v>
      </c>
      <c r="K406" s="2">
        <v>7.0</v>
      </c>
      <c r="O406" s="2" t="s">
        <v>809</v>
      </c>
      <c r="P406" s="2" t="s">
        <v>166</v>
      </c>
      <c r="Q406" s="2"/>
      <c r="R406" s="2" t="s">
        <v>434</v>
      </c>
      <c r="S406" s="11">
        <v>42195.65589120371</v>
      </c>
    </row>
    <row r="407" ht="12.75" customHeight="1">
      <c r="A407" s="2"/>
      <c r="B407" s="2">
        <v>1.0</v>
      </c>
      <c r="C407" s="2" t="s">
        <v>810</v>
      </c>
      <c r="D407" s="2">
        <v>3.20058765E8</v>
      </c>
      <c r="E407" s="2">
        <v>2.000004211E9</v>
      </c>
      <c r="F407" s="2">
        <v>6316.0</v>
      </c>
      <c r="G407" s="2">
        <v>1.0</v>
      </c>
      <c r="H407" s="2">
        <v>60000.0</v>
      </c>
      <c r="I407" s="2">
        <v>60000.0</v>
      </c>
      <c r="J407" s="2">
        <v>1.0</v>
      </c>
      <c r="K407" s="2">
        <v>7.0</v>
      </c>
      <c r="O407" s="2" t="s">
        <v>266</v>
      </c>
      <c r="P407" s="2" t="s">
        <v>166</v>
      </c>
      <c r="Q407" s="2"/>
      <c r="R407" s="2" t="s">
        <v>434</v>
      </c>
      <c r="S407" s="11">
        <v>42195.65589120371</v>
      </c>
    </row>
    <row r="408" ht="12.75" customHeight="1">
      <c r="A408" s="2"/>
      <c r="B408" s="2">
        <v>1.0</v>
      </c>
      <c r="C408" s="2" t="s">
        <v>811</v>
      </c>
      <c r="D408" s="2">
        <v>3.20058771E8</v>
      </c>
      <c r="E408" s="2">
        <v>2.000004213E9</v>
      </c>
      <c r="F408" s="2">
        <v>14895.0</v>
      </c>
      <c r="G408" s="2">
        <v>1.0</v>
      </c>
      <c r="H408" s="2">
        <v>0.0</v>
      </c>
      <c r="I408" s="2">
        <v>385000.0</v>
      </c>
      <c r="J408" s="2">
        <v>1.0</v>
      </c>
      <c r="K408" s="2">
        <v>7.0</v>
      </c>
      <c r="O408" s="2" t="s">
        <v>812</v>
      </c>
      <c r="P408" s="2" t="s">
        <v>166</v>
      </c>
      <c r="Q408" s="2"/>
      <c r="R408" s="2" t="s">
        <v>434</v>
      </c>
      <c r="S408" s="11">
        <v>42195.65725694445</v>
      </c>
    </row>
    <row r="409" ht="12.75" customHeight="1">
      <c r="A409" s="2"/>
      <c r="B409" s="2">
        <v>1.0</v>
      </c>
      <c r="C409" s="2" t="s">
        <v>813</v>
      </c>
      <c r="D409" s="2">
        <v>3.20058772E8</v>
      </c>
      <c r="E409" s="2">
        <v>2.000004214E9</v>
      </c>
      <c r="F409" s="2">
        <v>16127.0</v>
      </c>
      <c r="G409" s="2">
        <v>1.0</v>
      </c>
      <c r="H409" s="2">
        <v>0.0</v>
      </c>
      <c r="I409" s="2">
        <v>235000.0</v>
      </c>
      <c r="J409" s="2">
        <v>1.0</v>
      </c>
      <c r="K409" s="2">
        <v>7.0</v>
      </c>
      <c r="O409" s="2" t="s">
        <v>814</v>
      </c>
      <c r="P409" s="2" t="s">
        <v>166</v>
      </c>
      <c r="Q409" s="2"/>
      <c r="R409" s="2" t="s">
        <v>434</v>
      </c>
      <c r="S409" s="11">
        <v>42195.65773148148</v>
      </c>
    </row>
    <row r="410" ht="12.75" customHeight="1">
      <c r="A410" s="2"/>
      <c r="B410" s="2">
        <v>1.0</v>
      </c>
      <c r="C410" s="2" t="s">
        <v>815</v>
      </c>
      <c r="D410" s="2">
        <v>3.20058841E8</v>
      </c>
      <c r="E410" s="2">
        <v>2.000004218E9</v>
      </c>
      <c r="F410" s="2">
        <v>8603.0</v>
      </c>
      <c r="G410" s="2">
        <v>1.0</v>
      </c>
      <c r="H410" s="2">
        <v>0.0</v>
      </c>
      <c r="I410" s="2">
        <v>555000.0</v>
      </c>
      <c r="J410" s="2">
        <v>1.0</v>
      </c>
      <c r="K410" s="2">
        <v>7.0</v>
      </c>
      <c r="O410" s="2" t="s">
        <v>602</v>
      </c>
      <c r="P410" s="2" t="s">
        <v>166</v>
      </c>
      <c r="Q410" s="2"/>
      <c r="R410" s="2" t="s">
        <v>434</v>
      </c>
      <c r="S410" s="11">
        <v>42195.68607638889</v>
      </c>
    </row>
    <row r="411" ht="12.75" customHeight="1">
      <c r="A411" s="2"/>
      <c r="B411" s="2">
        <v>1.0</v>
      </c>
      <c r="C411" s="2" t="s">
        <v>816</v>
      </c>
      <c r="D411" s="2">
        <v>3.20058845E8</v>
      </c>
      <c r="E411" s="2">
        <v>2.000004219E9</v>
      </c>
      <c r="F411" s="2">
        <v>4675.0</v>
      </c>
      <c r="G411" s="2">
        <v>-1.0</v>
      </c>
      <c r="H411" s="2">
        <v>0.0</v>
      </c>
      <c r="I411" s="2">
        <v>-210000.0</v>
      </c>
      <c r="J411" s="2">
        <v>1.0</v>
      </c>
      <c r="K411" s="2">
        <v>7.0</v>
      </c>
      <c r="O411" s="2" t="s">
        <v>817</v>
      </c>
      <c r="P411" s="2" t="s">
        <v>166</v>
      </c>
      <c r="Q411" s="2"/>
      <c r="R411" s="2" t="s">
        <v>434</v>
      </c>
      <c r="S411" s="11">
        <v>42195.686261574076</v>
      </c>
    </row>
    <row r="412" ht="12.75" customHeight="1">
      <c r="A412" s="2"/>
      <c r="B412" s="2">
        <v>1.0</v>
      </c>
      <c r="C412" s="2" t="s">
        <v>818</v>
      </c>
      <c r="D412" s="2">
        <v>3.20058868E8</v>
      </c>
      <c r="E412" s="2">
        <v>2.00000422E9</v>
      </c>
      <c r="F412" s="2">
        <v>1003.0</v>
      </c>
      <c r="G412" s="2">
        <v>1.0</v>
      </c>
      <c r="H412" s="2">
        <v>0.0</v>
      </c>
      <c r="I412" s="2">
        <v>195000.0</v>
      </c>
      <c r="J412" s="2">
        <v>1.0</v>
      </c>
      <c r="K412" s="2">
        <v>7.0</v>
      </c>
      <c r="O412" s="2" t="s">
        <v>569</v>
      </c>
      <c r="P412" s="2" t="s">
        <v>166</v>
      </c>
      <c r="Q412" s="2"/>
      <c r="R412" s="2" t="s">
        <v>434</v>
      </c>
      <c r="S412" s="11">
        <v>42195.70275462963</v>
      </c>
    </row>
    <row r="413" ht="12.75" customHeight="1">
      <c r="A413" s="2"/>
      <c r="B413" s="2">
        <v>1.0</v>
      </c>
      <c r="C413" s="2" t="s">
        <v>819</v>
      </c>
      <c r="D413" s="2">
        <v>3.20058876E8</v>
      </c>
      <c r="E413" s="2">
        <v>2.00000422E9</v>
      </c>
      <c r="F413" s="2">
        <v>8510.0</v>
      </c>
      <c r="G413" s="2">
        <v>1.0</v>
      </c>
      <c r="H413" s="2">
        <v>0.0</v>
      </c>
      <c r="I413" s="2">
        <v>415000.0</v>
      </c>
      <c r="J413" s="2">
        <v>1.0</v>
      </c>
      <c r="K413" s="2">
        <v>7.0</v>
      </c>
      <c r="O413" s="2" t="s">
        <v>820</v>
      </c>
      <c r="P413" s="2" t="s">
        <v>166</v>
      </c>
      <c r="Q413" s="2"/>
      <c r="R413" s="2" t="s">
        <v>434</v>
      </c>
      <c r="S413" s="11">
        <v>42195.70275462963</v>
      </c>
    </row>
    <row r="414" ht="12.75" customHeight="1">
      <c r="A414" s="2"/>
      <c r="B414" s="2">
        <v>1.0</v>
      </c>
      <c r="C414" s="2" t="s">
        <v>821</v>
      </c>
      <c r="D414" s="2">
        <v>3.20058871E8</v>
      </c>
      <c r="E414" s="2">
        <v>2.00000422E9</v>
      </c>
      <c r="F414" s="2">
        <v>14114.0</v>
      </c>
      <c r="G414" s="2">
        <v>1.0</v>
      </c>
      <c r="H414" s="2">
        <v>0.0</v>
      </c>
      <c r="I414" s="2">
        <v>255000.0</v>
      </c>
      <c r="J414" s="2">
        <v>1.0</v>
      </c>
      <c r="K414" s="2">
        <v>7.0</v>
      </c>
      <c r="O414" s="2" t="s">
        <v>663</v>
      </c>
      <c r="P414" s="2" t="s">
        <v>166</v>
      </c>
      <c r="Q414" s="2"/>
      <c r="R414" s="2" t="s">
        <v>434</v>
      </c>
      <c r="S414" s="11">
        <v>42195.70275462963</v>
      </c>
    </row>
    <row r="415" ht="12.75" customHeight="1">
      <c r="A415" s="2"/>
      <c r="B415" s="2">
        <v>1.0</v>
      </c>
      <c r="C415" s="2" t="s">
        <v>822</v>
      </c>
      <c r="D415" s="2">
        <v>3.20058874E8</v>
      </c>
      <c r="E415" s="2">
        <v>2.00000422E9</v>
      </c>
      <c r="F415" s="2">
        <v>14572.0</v>
      </c>
      <c r="G415" s="2">
        <v>1.0</v>
      </c>
      <c r="H415" s="2">
        <v>0.0</v>
      </c>
      <c r="I415" s="2">
        <v>390000.0</v>
      </c>
      <c r="J415" s="2">
        <v>1.0</v>
      </c>
      <c r="K415" s="2">
        <v>7.0</v>
      </c>
      <c r="O415" s="2" t="s">
        <v>823</v>
      </c>
      <c r="P415" s="2" t="s">
        <v>166</v>
      </c>
      <c r="Q415" s="2"/>
      <c r="R415" s="2" t="s">
        <v>434</v>
      </c>
      <c r="S415" s="11">
        <v>42195.70275462963</v>
      </c>
    </row>
    <row r="416" ht="12.75" customHeight="1">
      <c r="A416" s="2"/>
      <c r="B416" s="2">
        <v>1.0</v>
      </c>
      <c r="C416" s="2" t="s">
        <v>824</v>
      </c>
      <c r="D416" s="2">
        <v>3.20058885E8</v>
      </c>
      <c r="E416" s="2">
        <v>2.000004223E9</v>
      </c>
      <c r="F416" s="2">
        <v>16006.0</v>
      </c>
      <c r="G416" s="2">
        <v>1.0</v>
      </c>
      <c r="H416" s="2">
        <v>0.0</v>
      </c>
      <c r="I416" s="2">
        <v>265000.0</v>
      </c>
      <c r="J416" s="2">
        <v>1.0</v>
      </c>
      <c r="K416" s="2">
        <v>7.0</v>
      </c>
      <c r="O416" s="2" t="s">
        <v>462</v>
      </c>
      <c r="P416" s="2" t="s">
        <v>166</v>
      </c>
      <c r="Q416" s="2"/>
      <c r="R416" s="2" t="s">
        <v>434</v>
      </c>
      <c r="S416" s="11">
        <v>42195.710810185185</v>
      </c>
    </row>
    <row r="417" ht="12.75" customHeight="1">
      <c r="A417" s="2"/>
      <c r="B417" s="2">
        <v>1.0</v>
      </c>
      <c r="C417" s="2" t="s">
        <v>825</v>
      </c>
      <c r="D417" s="2">
        <v>3.20058996E8</v>
      </c>
      <c r="E417" s="2">
        <v>2.000004229E9</v>
      </c>
      <c r="F417" s="2">
        <v>13041.0</v>
      </c>
      <c r="G417" s="2">
        <v>1.0</v>
      </c>
      <c r="H417" s="2">
        <v>0.0</v>
      </c>
      <c r="I417" s="2">
        <v>39000.0</v>
      </c>
      <c r="J417" s="2">
        <v>1.0</v>
      </c>
      <c r="K417" s="2">
        <v>7.0</v>
      </c>
      <c r="O417" s="2" t="s">
        <v>476</v>
      </c>
      <c r="P417" s="2" t="s">
        <v>166</v>
      </c>
      <c r="Q417" s="2"/>
      <c r="R417" s="2" t="s">
        <v>434</v>
      </c>
      <c r="S417" s="11">
        <v>42195.75412037037</v>
      </c>
    </row>
    <row r="418" ht="12.75" customHeight="1">
      <c r="A418" s="2"/>
      <c r="B418" s="2">
        <v>1.0</v>
      </c>
      <c r="C418" s="2" t="s">
        <v>826</v>
      </c>
      <c r="D418" s="2">
        <v>3.20059021E8</v>
      </c>
      <c r="E418" s="2">
        <v>2.000004231E9</v>
      </c>
      <c r="F418" s="2">
        <v>5417.0</v>
      </c>
      <c r="G418" s="2">
        <v>1.0</v>
      </c>
      <c r="H418" s="2">
        <v>0.0</v>
      </c>
      <c r="I418" s="2">
        <v>395000.0</v>
      </c>
      <c r="J418" s="2">
        <v>1.0</v>
      </c>
      <c r="K418" s="2">
        <v>7.0</v>
      </c>
      <c r="O418" s="2" t="s">
        <v>827</v>
      </c>
      <c r="P418" s="2" t="s">
        <v>166</v>
      </c>
      <c r="Q418" s="2"/>
      <c r="R418" s="2" t="s">
        <v>434</v>
      </c>
      <c r="S418" s="11">
        <v>42195.77153935185</v>
      </c>
    </row>
    <row r="419" ht="12.75" customHeight="1">
      <c r="A419" s="2"/>
      <c r="B419" s="2">
        <v>1.0</v>
      </c>
      <c r="C419" s="2" t="s">
        <v>828</v>
      </c>
      <c r="D419" s="2">
        <v>3.20059026E8</v>
      </c>
      <c r="E419" s="2">
        <v>2.000004231E9</v>
      </c>
      <c r="F419" s="2">
        <v>6402.0</v>
      </c>
      <c r="G419" s="2">
        <v>1.0</v>
      </c>
      <c r="H419" s="2">
        <v>0.0</v>
      </c>
      <c r="I419" s="2">
        <v>79000.0</v>
      </c>
      <c r="J419" s="2">
        <v>1.0</v>
      </c>
      <c r="K419" s="2">
        <v>7.0</v>
      </c>
      <c r="O419" s="2" t="s">
        <v>453</v>
      </c>
      <c r="P419" s="2" t="s">
        <v>166</v>
      </c>
      <c r="Q419" s="2"/>
      <c r="R419" s="2" t="s">
        <v>434</v>
      </c>
      <c r="S419" s="11">
        <v>42195.77155092593</v>
      </c>
    </row>
    <row r="420" ht="12.75" customHeight="1">
      <c r="A420" s="2"/>
      <c r="B420" s="2">
        <v>1.0</v>
      </c>
      <c r="C420" s="2" t="s">
        <v>829</v>
      </c>
      <c r="D420" s="2">
        <v>3.2005903E8</v>
      </c>
      <c r="E420" s="2">
        <v>2.000004231E9</v>
      </c>
      <c r="F420" s="2">
        <v>8629.0</v>
      </c>
      <c r="G420" s="2">
        <v>-1.0</v>
      </c>
      <c r="H420" s="2">
        <v>0.0</v>
      </c>
      <c r="I420" s="2">
        <v>-655000.0</v>
      </c>
      <c r="J420" s="2">
        <v>1.0</v>
      </c>
      <c r="K420" s="2">
        <v>7.0</v>
      </c>
      <c r="O420" s="2" t="s">
        <v>631</v>
      </c>
      <c r="P420" s="2" t="s">
        <v>166</v>
      </c>
      <c r="Q420" s="2"/>
      <c r="R420" s="2" t="s">
        <v>434</v>
      </c>
      <c r="S420" s="11">
        <v>42195.77155092593</v>
      </c>
    </row>
    <row r="421" ht="12.75" customHeight="1">
      <c r="A421" s="2"/>
      <c r="B421" s="2">
        <v>1.0</v>
      </c>
      <c r="C421" s="2" t="s">
        <v>830</v>
      </c>
      <c r="D421" s="2">
        <v>3.20059024E8</v>
      </c>
      <c r="E421" s="2">
        <v>2.000004231E9</v>
      </c>
      <c r="F421" s="2">
        <v>1.4000039E7</v>
      </c>
      <c r="G421" s="2">
        <v>1.0</v>
      </c>
      <c r="H421" s="2">
        <v>0.0</v>
      </c>
      <c r="I421" s="2">
        <v>288000.0</v>
      </c>
      <c r="J421" s="2">
        <v>1.0</v>
      </c>
      <c r="K421" s="2">
        <v>7.0</v>
      </c>
      <c r="O421" s="2" t="s">
        <v>451</v>
      </c>
      <c r="P421" s="2" t="s">
        <v>166</v>
      </c>
      <c r="Q421" s="2"/>
      <c r="R421" s="2" t="s">
        <v>434</v>
      </c>
      <c r="S421" s="11">
        <v>42195.77153935185</v>
      </c>
    </row>
    <row r="422" ht="12.75" customHeight="1">
      <c r="A422" s="2"/>
      <c r="B422" s="2">
        <v>1.0</v>
      </c>
      <c r="C422" s="2" t="s">
        <v>831</v>
      </c>
      <c r="D422" s="2">
        <v>3.20059048E8</v>
      </c>
      <c r="E422" s="2">
        <v>2.000004232E9</v>
      </c>
      <c r="F422" s="2">
        <v>7131.0</v>
      </c>
      <c r="G422" s="2">
        <v>1.0</v>
      </c>
      <c r="H422" s="2">
        <v>0.0</v>
      </c>
      <c r="I422" s="2">
        <v>245000.0</v>
      </c>
      <c r="J422" s="2">
        <v>1.0</v>
      </c>
      <c r="K422" s="2">
        <v>7.0</v>
      </c>
      <c r="O422" s="2" t="s">
        <v>832</v>
      </c>
      <c r="P422" s="2" t="s">
        <v>166</v>
      </c>
      <c r="Q422" s="2"/>
      <c r="R422" s="2" t="s">
        <v>434</v>
      </c>
      <c r="S422" s="11">
        <v>42195.78916666667</v>
      </c>
    </row>
    <row r="423" ht="12.75" customHeight="1">
      <c r="A423" s="2"/>
      <c r="B423" s="2">
        <v>1.0</v>
      </c>
      <c r="C423" s="2" t="s">
        <v>833</v>
      </c>
      <c r="D423" s="2">
        <v>3.20059046E8</v>
      </c>
      <c r="E423" s="2">
        <v>2.000004232E9</v>
      </c>
      <c r="F423" s="2">
        <v>14433.0</v>
      </c>
      <c r="G423" s="2">
        <v>-1.0</v>
      </c>
      <c r="H423" s="2">
        <v>0.0</v>
      </c>
      <c r="I423" s="2">
        <v>-375000.0</v>
      </c>
      <c r="J423" s="2">
        <v>1.0</v>
      </c>
      <c r="K423" s="2">
        <v>7.0</v>
      </c>
      <c r="O423" s="2" t="s">
        <v>834</v>
      </c>
      <c r="P423" s="2" t="s">
        <v>166</v>
      </c>
      <c r="Q423" s="2"/>
      <c r="R423" s="2" t="s">
        <v>434</v>
      </c>
      <c r="S423" s="11">
        <v>42195.78915509259</v>
      </c>
    </row>
    <row r="424" ht="12.75" customHeight="1">
      <c r="A424" s="2"/>
      <c r="B424" s="2">
        <v>1.0</v>
      </c>
      <c r="C424" s="2" t="s">
        <v>835</v>
      </c>
      <c r="D424" s="2">
        <v>3.2005905E8</v>
      </c>
      <c r="E424" s="2">
        <v>2.000004232E9</v>
      </c>
      <c r="F424" s="2">
        <v>15747.0</v>
      </c>
      <c r="G424" s="2">
        <v>1.0</v>
      </c>
      <c r="H424" s="2">
        <v>0.0</v>
      </c>
      <c r="I424" s="2">
        <v>400000.0</v>
      </c>
      <c r="J424" s="2">
        <v>1.0</v>
      </c>
      <c r="K424" s="2">
        <v>7.0</v>
      </c>
      <c r="O424" s="2" t="s">
        <v>836</v>
      </c>
      <c r="P424" s="2" t="s">
        <v>166</v>
      </c>
      <c r="Q424" s="2"/>
      <c r="R424" s="2" t="s">
        <v>434</v>
      </c>
      <c r="S424" s="11">
        <v>42195.78916666667</v>
      </c>
    </row>
    <row r="425" ht="12.75" customHeight="1">
      <c r="A425" s="2"/>
      <c r="B425" s="2">
        <v>1.0</v>
      </c>
      <c r="C425" s="2" t="s">
        <v>837</v>
      </c>
      <c r="D425" s="2">
        <v>3.20059105E8</v>
      </c>
      <c r="E425" s="2">
        <v>2.000004236E9</v>
      </c>
      <c r="F425" s="2">
        <v>15175.0</v>
      </c>
      <c r="G425" s="2">
        <v>1.0</v>
      </c>
      <c r="H425" s="2">
        <v>0.0</v>
      </c>
      <c r="I425" s="2">
        <v>618000.0</v>
      </c>
      <c r="J425" s="2">
        <v>1.0</v>
      </c>
      <c r="K425" s="2">
        <v>7.0</v>
      </c>
      <c r="O425" s="2" t="s">
        <v>656</v>
      </c>
      <c r="P425" s="2" t="s">
        <v>166</v>
      </c>
      <c r="Q425" s="2"/>
      <c r="R425" s="2" t="s">
        <v>434</v>
      </c>
      <c r="S425" s="11">
        <v>42195.859872685185</v>
      </c>
    </row>
    <row r="426" ht="12.75" customHeight="1">
      <c r="A426" s="2"/>
      <c r="B426" s="2">
        <v>1.0</v>
      </c>
      <c r="C426" s="2" t="s">
        <v>838</v>
      </c>
      <c r="D426" s="2">
        <v>3.20059107E8</v>
      </c>
      <c r="E426" s="2">
        <v>2.000004237E9</v>
      </c>
      <c r="F426" s="2">
        <v>8528.0</v>
      </c>
      <c r="G426" s="2">
        <v>3.0</v>
      </c>
      <c r="H426" s="2">
        <v>0.0</v>
      </c>
      <c r="I426" s="2">
        <v>165000.0</v>
      </c>
      <c r="J426" s="2">
        <v>1.0</v>
      </c>
      <c r="K426" s="2">
        <v>7.0</v>
      </c>
      <c r="O426" s="2" t="s">
        <v>531</v>
      </c>
      <c r="P426" s="2" t="s">
        <v>166</v>
      </c>
      <c r="Q426" s="2"/>
      <c r="R426" s="2" t="s">
        <v>434</v>
      </c>
      <c r="S426" s="11">
        <v>42195.86037037037</v>
      </c>
    </row>
    <row r="427" ht="12.75" customHeight="1">
      <c r="A427" s="2"/>
      <c r="B427" s="2">
        <v>1.0</v>
      </c>
      <c r="C427" s="2" t="s">
        <v>839</v>
      </c>
      <c r="D427" s="2">
        <v>3.20059124E8</v>
      </c>
      <c r="E427" s="2">
        <v>2.000004239E9</v>
      </c>
      <c r="F427" s="2">
        <v>8518.0</v>
      </c>
      <c r="G427" s="2">
        <v>1.0</v>
      </c>
      <c r="H427" s="2">
        <v>0.0</v>
      </c>
      <c r="I427" s="2">
        <v>335000.0</v>
      </c>
      <c r="J427" s="2">
        <v>1.0</v>
      </c>
      <c r="K427" s="2">
        <v>7.0</v>
      </c>
      <c r="O427" s="2" t="s">
        <v>506</v>
      </c>
      <c r="P427" s="2" t="s">
        <v>166</v>
      </c>
      <c r="Q427" s="2"/>
      <c r="R427" s="2" t="s">
        <v>434</v>
      </c>
      <c r="S427" s="11">
        <v>42195.88946759259</v>
      </c>
    </row>
    <row r="428" ht="12.75" customHeight="1">
      <c r="A428" s="2"/>
      <c r="B428" s="2">
        <v>1.0</v>
      </c>
      <c r="C428" s="2" t="s">
        <v>840</v>
      </c>
      <c r="D428" s="2">
        <v>3.20060014E8</v>
      </c>
      <c r="E428" s="2">
        <v>2.000004283E9</v>
      </c>
      <c r="F428" s="2">
        <v>8603.0</v>
      </c>
      <c r="G428" s="2">
        <v>-1.0</v>
      </c>
      <c r="H428" s="2">
        <v>0.0</v>
      </c>
      <c r="I428" s="2">
        <v>-555000.0</v>
      </c>
      <c r="J428" s="2">
        <v>1.0</v>
      </c>
      <c r="K428" s="2">
        <v>7.0</v>
      </c>
      <c r="O428" s="2" t="s">
        <v>602</v>
      </c>
      <c r="P428" s="2" t="s">
        <v>166</v>
      </c>
      <c r="Q428" s="2"/>
      <c r="R428" s="2" t="s">
        <v>434</v>
      </c>
      <c r="S428" s="11">
        <v>42196.83584490741</v>
      </c>
    </row>
    <row r="429" ht="12.75" customHeight="1">
      <c r="A429" s="2"/>
      <c r="B429" s="2">
        <v>1.0</v>
      </c>
      <c r="C429" s="2" t="s">
        <v>841</v>
      </c>
      <c r="D429" s="2">
        <v>3.20060012E8</v>
      </c>
      <c r="E429" s="2">
        <v>2.000004283E9</v>
      </c>
      <c r="F429" s="2">
        <v>8606.0</v>
      </c>
      <c r="G429" s="2">
        <v>1.0</v>
      </c>
      <c r="H429" s="2">
        <v>0.0</v>
      </c>
      <c r="I429" s="2">
        <v>850000.0</v>
      </c>
      <c r="J429" s="2">
        <v>1.0</v>
      </c>
      <c r="K429" s="2">
        <v>7.0</v>
      </c>
      <c r="O429" s="2" t="s">
        <v>730</v>
      </c>
      <c r="P429" s="2" t="s">
        <v>166</v>
      </c>
      <c r="Q429" s="2"/>
      <c r="R429" s="2" t="s">
        <v>434</v>
      </c>
      <c r="S429" s="11">
        <v>42196.83583333333</v>
      </c>
    </row>
    <row r="430" ht="12.75" customHeight="1">
      <c r="A430" s="2"/>
      <c r="B430" s="2">
        <v>1.0</v>
      </c>
      <c r="C430" s="2" t="s">
        <v>842</v>
      </c>
      <c r="D430" s="2">
        <v>3.20060029E8</v>
      </c>
      <c r="E430" s="2">
        <v>2.000004286E9</v>
      </c>
      <c r="F430" s="2">
        <v>7048.0</v>
      </c>
      <c r="G430" s="2">
        <v>1.0</v>
      </c>
      <c r="H430" s="2">
        <v>0.0</v>
      </c>
      <c r="I430" s="2">
        <v>330000.0</v>
      </c>
      <c r="J430" s="2">
        <v>1.0</v>
      </c>
      <c r="K430" s="2">
        <v>7.0</v>
      </c>
      <c r="O430" s="2" t="s">
        <v>843</v>
      </c>
      <c r="P430" s="2" t="s">
        <v>166</v>
      </c>
      <c r="Q430" s="2"/>
      <c r="R430" s="2" t="s">
        <v>434</v>
      </c>
      <c r="S430" s="11">
        <v>42196.86261574074</v>
      </c>
    </row>
    <row r="431" ht="12.75" customHeight="1">
      <c r="A431" s="2"/>
      <c r="B431" s="2">
        <v>1.0</v>
      </c>
      <c r="C431" s="2" t="s">
        <v>844</v>
      </c>
      <c r="D431" s="2">
        <v>3.20063404E8</v>
      </c>
      <c r="E431" s="2">
        <v>2.000004462E9</v>
      </c>
      <c r="F431" s="2">
        <v>8519.0</v>
      </c>
      <c r="G431" s="2">
        <v>1.0</v>
      </c>
      <c r="H431" s="2">
        <v>0.0</v>
      </c>
      <c r="I431" s="2">
        <v>395000.0</v>
      </c>
      <c r="J431" s="2">
        <v>1.0</v>
      </c>
      <c r="K431" s="2">
        <v>7.0</v>
      </c>
      <c r="O431" s="2" t="s">
        <v>508</v>
      </c>
      <c r="P431" s="2" t="s">
        <v>166</v>
      </c>
      <c r="Q431" s="2"/>
      <c r="R431" s="2" t="s">
        <v>434</v>
      </c>
      <c r="S431" s="11">
        <v>42200.85119212963</v>
      </c>
    </row>
    <row r="432" ht="12.75" customHeight="1">
      <c r="A432" s="2"/>
      <c r="B432" s="2">
        <v>1.0</v>
      </c>
      <c r="C432" s="2" t="s">
        <v>845</v>
      </c>
      <c r="D432" s="2">
        <v>3.20063402E8</v>
      </c>
      <c r="E432" s="2">
        <v>2.000004462E9</v>
      </c>
      <c r="F432" s="2">
        <v>8544.0</v>
      </c>
      <c r="G432" s="2">
        <v>1.0</v>
      </c>
      <c r="H432" s="2">
        <v>0.0</v>
      </c>
      <c r="I432" s="2">
        <v>365000.0</v>
      </c>
      <c r="J432" s="2">
        <v>1.0</v>
      </c>
      <c r="K432" s="2">
        <v>7.0</v>
      </c>
      <c r="O432" s="2" t="s">
        <v>512</v>
      </c>
      <c r="P432" s="2" t="s">
        <v>166</v>
      </c>
      <c r="Q432" s="2"/>
      <c r="R432" s="2" t="s">
        <v>434</v>
      </c>
      <c r="S432" s="11">
        <v>42200.85119212963</v>
      </c>
    </row>
    <row r="433" ht="12.75" customHeight="1">
      <c r="A433" s="2"/>
      <c r="B433" s="2">
        <v>1.0</v>
      </c>
      <c r="C433" s="2" t="s">
        <v>846</v>
      </c>
      <c r="D433" s="2">
        <v>2.50001902E8</v>
      </c>
      <c r="E433" s="2">
        <v>2.500000568E9</v>
      </c>
      <c r="F433" s="2">
        <v>6165.0</v>
      </c>
      <c r="G433" s="2">
        <v>1.0</v>
      </c>
      <c r="H433" s="2">
        <v>0.0</v>
      </c>
      <c r="I433" s="2">
        <v>98000.0</v>
      </c>
      <c r="J433" s="2">
        <v>1.0</v>
      </c>
      <c r="K433" s="2">
        <v>7.0</v>
      </c>
      <c r="O433" s="2" t="s">
        <v>847</v>
      </c>
      <c r="P433" s="2" t="s">
        <v>166</v>
      </c>
      <c r="Q433" s="2"/>
      <c r="R433" s="2" t="s">
        <v>848</v>
      </c>
      <c r="S433" s="11">
        <v>42131.677152777775</v>
      </c>
    </row>
    <row r="434" ht="12.75" customHeight="1">
      <c r="A434" s="2"/>
      <c r="B434" s="2">
        <v>1.0</v>
      </c>
      <c r="C434" s="2" t="s">
        <v>849</v>
      </c>
      <c r="D434" s="2">
        <v>2.50001903E8</v>
      </c>
      <c r="E434" s="2">
        <v>2.500000568E9</v>
      </c>
      <c r="F434" s="2">
        <v>6604.0</v>
      </c>
      <c r="G434" s="2">
        <v>1.0</v>
      </c>
      <c r="H434" s="2">
        <v>0.0</v>
      </c>
      <c r="I434" s="2">
        <v>193000.0</v>
      </c>
      <c r="J434" s="2">
        <v>1.0</v>
      </c>
      <c r="K434" s="2">
        <v>7.0</v>
      </c>
      <c r="O434" s="2" t="s">
        <v>850</v>
      </c>
      <c r="P434" s="2" t="s">
        <v>166</v>
      </c>
      <c r="Q434" s="2"/>
      <c r="R434" s="2" t="s">
        <v>848</v>
      </c>
      <c r="S434" s="11">
        <v>42131.677152777775</v>
      </c>
    </row>
    <row r="435" ht="12.75" customHeight="1">
      <c r="A435" s="2"/>
      <c r="B435" s="2">
        <v>1.0</v>
      </c>
      <c r="C435" s="2" t="s">
        <v>851</v>
      </c>
      <c r="D435" s="2">
        <v>2.50001905E8</v>
      </c>
      <c r="E435" s="2">
        <v>2.500000568E9</v>
      </c>
      <c r="F435" s="2">
        <v>8626.0</v>
      </c>
      <c r="G435" s="2">
        <v>1.0</v>
      </c>
      <c r="H435" s="2">
        <v>0.0</v>
      </c>
      <c r="I435" s="2">
        <v>395000.0</v>
      </c>
      <c r="J435" s="2">
        <v>1.0</v>
      </c>
      <c r="K435" s="2">
        <v>7.0</v>
      </c>
      <c r="O435" s="2" t="s">
        <v>277</v>
      </c>
      <c r="P435" s="2" t="s">
        <v>166</v>
      </c>
      <c r="Q435" s="2"/>
      <c r="R435" s="2" t="s">
        <v>848</v>
      </c>
      <c r="S435" s="11">
        <v>42131.67716435185</v>
      </c>
    </row>
    <row r="436" ht="12.75" customHeight="1">
      <c r="A436" s="2"/>
      <c r="B436" s="2">
        <v>1.0</v>
      </c>
      <c r="C436" s="2" t="s">
        <v>852</v>
      </c>
      <c r="D436" s="2">
        <v>2.50001904E8</v>
      </c>
      <c r="E436" s="2">
        <v>2.500000568E9</v>
      </c>
      <c r="F436" s="2">
        <v>8855.0</v>
      </c>
      <c r="G436" s="2">
        <v>1.0</v>
      </c>
      <c r="H436" s="2">
        <v>0.0</v>
      </c>
      <c r="I436" s="2">
        <v>520000.0</v>
      </c>
      <c r="J436" s="2">
        <v>1.0</v>
      </c>
      <c r="K436" s="2">
        <v>7.0</v>
      </c>
      <c r="O436" s="2" t="s">
        <v>853</v>
      </c>
      <c r="P436" s="2" t="s">
        <v>166</v>
      </c>
      <c r="Q436" s="2"/>
      <c r="R436" s="2" t="s">
        <v>848</v>
      </c>
      <c r="S436" s="11">
        <v>42131.67716435185</v>
      </c>
    </row>
    <row r="437" ht="12.75" customHeight="1">
      <c r="A437" s="2"/>
      <c r="B437" s="2">
        <v>1.0</v>
      </c>
      <c r="C437" s="2" t="s">
        <v>854</v>
      </c>
      <c r="D437" s="2">
        <v>2.50001932E8</v>
      </c>
      <c r="E437" s="2">
        <v>2.500000581E9</v>
      </c>
      <c r="F437" s="2">
        <v>9738.0</v>
      </c>
      <c r="G437" s="2">
        <v>1.0</v>
      </c>
      <c r="H437" s="2">
        <v>0.0</v>
      </c>
      <c r="I437" s="2">
        <v>800000.0</v>
      </c>
      <c r="J437" s="2">
        <v>1.0</v>
      </c>
      <c r="K437" s="2">
        <v>7.0</v>
      </c>
      <c r="O437" s="2" t="s">
        <v>855</v>
      </c>
      <c r="P437" s="2" t="s">
        <v>166</v>
      </c>
      <c r="Q437" s="2"/>
      <c r="R437" s="2" t="s">
        <v>848</v>
      </c>
      <c r="S437" s="11">
        <v>42131.80763888889</v>
      </c>
    </row>
    <row r="438" ht="12.75" customHeight="1">
      <c r="A438" s="2"/>
      <c r="B438" s="2">
        <v>1.0</v>
      </c>
      <c r="C438" s="2" t="s">
        <v>856</v>
      </c>
      <c r="D438" s="2">
        <v>2.5000213E8</v>
      </c>
      <c r="E438" s="2">
        <v>2.500000657E9</v>
      </c>
      <c r="F438" s="2">
        <v>4974.0</v>
      </c>
      <c r="G438" s="2">
        <v>-1.0</v>
      </c>
      <c r="H438" s="2">
        <v>-4100.0</v>
      </c>
      <c r="I438" s="2">
        <v>-205000.0</v>
      </c>
      <c r="J438" s="2">
        <v>1.0</v>
      </c>
      <c r="K438" s="2">
        <v>7.0</v>
      </c>
      <c r="O438" s="2" t="s">
        <v>857</v>
      </c>
      <c r="P438" s="2" t="s">
        <v>166</v>
      </c>
      <c r="Q438" s="2"/>
      <c r="R438" s="2" t="s">
        <v>848</v>
      </c>
      <c r="S438" s="11">
        <v>42133.67306712963</v>
      </c>
    </row>
    <row r="439" ht="12.75" customHeight="1">
      <c r="A439" s="2"/>
      <c r="B439" s="2">
        <v>1.0</v>
      </c>
      <c r="C439" s="2" t="s">
        <v>858</v>
      </c>
      <c r="D439" s="2">
        <v>2.50002144E8</v>
      </c>
      <c r="E439" s="2">
        <v>2.500000662E9</v>
      </c>
      <c r="F439" s="2">
        <v>4974.0</v>
      </c>
      <c r="G439" s="2">
        <v>1.0</v>
      </c>
      <c r="H439" s="2">
        <v>0.0</v>
      </c>
      <c r="I439" s="2">
        <v>205000.0</v>
      </c>
      <c r="J439" s="2">
        <v>1.0</v>
      </c>
      <c r="K439" s="2">
        <v>7.0</v>
      </c>
      <c r="O439" s="2" t="s">
        <v>857</v>
      </c>
      <c r="P439" s="2" t="s">
        <v>166</v>
      </c>
      <c r="Q439" s="2"/>
      <c r="R439" s="2" t="s">
        <v>848</v>
      </c>
      <c r="S439" s="11">
        <v>42133.68991898148</v>
      </c>
    </row>
    <row r="440" ht="12.75" customHeight="1">
      <c r="A440" s="2"/>
      <c r="B440" s="2">
        <v>1.0</v>
      </c>
      <c r="C440" s="2" t="s">
        <v>859</v>
      </c>
      <c r="D440" s="2">
        <v>2.50002145E8</v>
      </c>
      <c r="E440" s="2">
        <v>2.500000662E9</v>
      </c>
      <c r="F440" s="2">
        <v>8528.0</v>
      </c>
      <c r="G440" s="2">
        <v>3.0</v>
      </c>
      <c r="H440" s="2">
        <v>0.0</v>
      </c>
      <c r="I440" s="2">
        <v>165000.0</v>
      </c>
      <c r="J440" s="2">
        <v>1.0</v>
      </c>
      <c r="K440" s="2">
        <v>7.0</v>
      </c>
      <c r="O440" s="2" t="s">
        <v>531</v>
      </c>
      <c r="P440" s="2" t="s">
        <v>166</v>
      </c>
      <c r="Q440" s="2"/>
      <c r="R440" s="2" t="s">
        <v>848</v>
      </c>
      <c r="S440" s="11">
        <v>42133.68991898148</v>
      </c>
    </row>
    <row r="441" ht="12.75" customHeight="1">
      <c r="A441" s="2"/>
      <c r="B441" s="2">
        <v>1.0</v>
      </c>
      <c r="C441" s="2" t="s">
        <v>860</v>
      </c>
      <c r="D441" s="2">
        <v>2.50002155E8</v>
      </c>
      <c r="E441" s="2">
        <v>2.500000668E9</v>
      </c>
      <c r="F441" s="2">
        <v>6409.0</v>
      </c>
      <c r="G441" s="2">
        <v>1.0</v>
      </c>
      <c r="H441" s="2">
        <v>0.0</v>
      </c>
      <c r="I441" s="2">
        <v>198000.0</v>
      </c>
      <c r="J441" s="2">
        <v>1.0</v>
      </c>
      <c r="K441" s="2">
        <v>7.0</v>
      </c>
      <c r="O441" s="2" t="s">
        <v>782</v>
      </c>
      <c r="P441" s="2" t="s">
        <v>166</v>
      </c>
      <c r="Q441" s="2"/>
      <c r="R441" s="2" t="s">
        <v>848</v>
      </c>
      <c r="S441" s="11">
        <v>42133.70621527778</v>
      </c>
    </row>
    <row r="442" ht="12.75" customHeight="1">
      <c r="A442" s="2"/>
      <c r="B442" s="2">
        <v>1.0</v>
      </c>
      <c r="C442" s="2" t="s">
        <v>861</v>
      </c>
      <c r="D442" s="2">
        <v>2.50002176E8</v>
      </c>
      <c r="E442" s="2">
        <v>2.500000671E9</v>
      </c>
      <c r="F442" s="2">
        <v>6999.0</v>
      </c>
      <c r="G442" s="2">
        <v>1.0</v>
      </c>
      <c r="H442" s="2">
        <v>0.0</v>
      </c>
      <c r="I442" s="2">
        <v>270000.0</v>
      </c>
      <c r="J442" s="2">
        <v>1.0</v>
      </c>
      <c r="K442" s="2">
        <v>7.0</v>
      </c>
      <c r="O442" s="2" t="s">
        <v>862</v>
      </c>
      <c r="P442" s="2" t="s">
        <v>166</v>
      </c>
      <c r="Q442" s="2"/>
      <c r="R442" s="2" t="s">
        <v>848</v>
      </c>
      <c r="S442" s="11">
        <v>42133.71800925926</v>
      </c>
    </row>
    <row r="443" ht="12.75" customHeight="1">
      <c r="A443" s="2"/>
      <c r="B443" s="2">
        <v>1.0</v>
      </c>
      <c r="C443" s="2" t="s">
        <v>863</v>
      </c>
      <c r="D443" s="2">
        <v>2.50002254E8</v>
      </c>
      <c r="E443" s="2">
        <v>2.500000701E9</v>
      </c>
      <c r="F443" s="2">
        <v>4808.0</v>
      </c>
      <c r="G443" s="2">
        <v>1.0</v>
      </c>
      <c r="H443" s="2">
        <v>0.0</v>
      </c>
      <c r="I443" s="2">
        <v>86000.0</v>
      </c>
      <c r="J443" s="2">
        <v>1.0</v>
      </c>
      <c r="K443" s="2">
        <v>7.0</v>
      </c>
      <c r="O443" s="2" t="s">
        <v>864</v>
      </c>
      <c r="P443" s="2" t="s">
        <v>166</v>
      </c>
      <c r="Q443" s="2"/>
      <c r="R443" s="2" t="s">
        <v>848</v>
      </c>
      <c r="S443" s="11">
        <v>42134.445289351854</v>
      </c>
    </row>
    <row r="444" ht="12.75" customHeight="1">
      <c r="A444" s="2"/>
      <c r="B444" s="2">
        <v>1.0</v>
      </c>
      <c r="C444" s="2" t="s">
        <v>865</v>
      </c>
      <c r="D444" s="2">
        <v>2.50002253E8</v>
      </c>
      <c r="E444" s="2">
        <v>2.500000701E9</v>
      </c>
      <c r="F444" s="2">
        <v>6600.0</v>
      </c>
      <c r="G444" s="2">
        <v>1.0</v>
      </c>
      <c r="H444" s="2">
        <v>0.0</v>
      </c>
      <c r="I444" s="2">
        <v>150000.0</v>
      </c>
      <c r="J444" s="2">
        <v>1.0</v>
      </c>
      <c r="K444" s="2">
        <v>7.0</v>
      </c>
      <c r="O444" s="2" t="s">
        <v>681</v>
      </c>
      <c r="P444" s="2" t="s">
        <v>166</v>
      </c>
      <c r="Q444" s="2"/>
      <c r="R444" s="2" t="s">
        <v>848</v>
      </c>
      <c r="S444" s="11">
        <v>42134.445289351854</v>
      </c>
    </row>
    <row r="445" ht="12.75" customHeight="1">
      <c r="A445" s="2"/>
      <c r="B445" s="2">
        <v>1.0</v>
      </c>
      <c r="C445" s="2" t="s">
        <v>866</v>
      </c>
      <c r="D445" s="2">
        <v>2.50002287E8</v>
      </c>
      <c r="E445" s="2">
        <v>2.50000071E9</v>
      </c>
      <c r="F445" s="2">
        <v>7419.0</v>
      </c>
      <c r="G445" s="2">
        <v>1.0</v>
      </c>
      <c r="H445" s="2">
        <v>0.0</v>
      </c>
      <c r="I445" s="2">
        <v>320000.0</v>
      </c>
      <c r="J445" s="2">
        <v>1.0</v>
      </c>
      <c r="K445" s="2">
        <v>7.0</v>
      </c>
      <c r="O445" s="2" t="s">
        <v>867</v>
      </c>
      <c r="P445" s="2" t="s">
        <v>166</v>
      </c>
      <c r="Q445" s="2"/>
      <c r="R445" s="2" t="s">
        <v>848</v>
      </c>
      <c r="S445" s="11">
        <v>42134.55008101852</v>
      </c>
    </row>
    <row r="446" ht="12.75" customHeight="1">
      <c r="A446" s="2"/>
      <c r="B446" s="2">
        <v>1.0</v>
      </c>
      <c r="C446" s="2" t="s">
        <v>868</v>
      </c>
      <c r="D446" s="2">
        <v>2.50002288E8</v>
      </c>
      <c r="E446" s="2">
        <v>2.50000071E9</v>
      </c>
      <c r="F446" s="2">
        <v>7652.0</v>
      </c>
      <c r="G446" s="2">
        <v>1.0</v>
      </c>
      <c r="H446" s="2">
        <v>0.0</v>
      </c>
      <c r="I446" s="2">
        <v>320000.0</v>
      </c>
      <c r="J446" s="2">
        <v>1.0</v>
      </c>
      <c r="K446" s="2">
        <v>7.0</v>
      </c>
      <c r="O446" s="2" t="s">
        <v>869</v>
      </c>
      <c r="P446" s="2" t="s">
        <v>166</v>
      </c>
      <c r="Q446" s="2"/>
      <c r="R446" s="2" t="s">
        <v>848</v>
      </c>
      <c r="S446" s="11">
        <v>42134.55008101852</v>
      </c>
    </row>
    <row r="447" ht="12.75" customHeight="1">
      <c r="A447" s="2"/>
      <c r="B447" s="2">
        <v>1.0</v>
      </c>
      <c r="C447" s="2" t="s">
        <v>870</v>
      </c>
      <c r="D447" s="2">
        <v>2.50002342E8</v>
      </c>
      <c r="E447" s="2">
        <v>2.500000732E9</v>
      </c>
      <c r="F447" s="2">
        <v>7645.0</v>
      </c>
      <c r="G447" s="2">
        <v>1.0</v>
      </c>
      <c r="H447" s="2">
        <v>0.0</v>
      </c>
      <c r="I447" s="2">
        <v>416000.0</v>
      </c>
      <c r="J447" s="2">
        <v>1.0</v>
      </c>
      <c r="K447" s="2">
        <v>7.0</v>
      </c>
      <c r="O447" s="2" t="s">
        <v>871</v>
      </c>
      <c r="P447" s="2" t="s">
        <v>166</v>
      </c>
      <c r="Q447" s="2"/>
      <c r="R447" s="2" t="s">
        <v>848</v>
      </c>
      <c r="S447" s="11">
        <v>42134.76571759259</v>
      </c>
    </row>
    <row r="448" ht="12.75" customHeight="1">
      <c r="A448" s="2"/>
      <c r="B448" s="2">
        <v>1.0</v>
      </c>
      <c r="C448" s="2" t="s">
        <v>872</v>
      </c>
      <c r="D448" s="2">
        <v>2.50002461E8</v>
      </c>
      <c r="E448" s="2">
        <v>2.500000785E9</v>
      </c>
      <c r="F448" s="2">
        <v>3258.0</v>
      </c>
      <c r="G448" s="2">
        <v>1.0</v>
      </c>
      <c r="H448" s="2">
        <v>0.0</v>
      </c>
      <c r="I448" s="2">
        <v>66000.0</v>
      </c>
      <c r="J448" s="2">
        <v>1.0</v>
      </c>
      <c r="K448" s="2">
        <v>7.0</v>
      </c>
      <c r="O448" s="2" t="s">
        <v>691</v>
      </c>
      <c r="P448" s="2" t="s">
        <v>166</v>
      </c>
      <c r="Q448" s="2"/>
      <c r="R448" s="2" t="s">
        <v>848</v>
      </c>
      <c r="S448" s="11">
        <v>42136.42905092592</v>
      </c>
    </row>
    <row r="449" ht="12.75" customHeight="1">
      <c r="A449" s="2"/>
      <c r="B449" s="2">
        <v>1.0</v>
      </c>
      <c r="C449" s="2" t="s">
        <v>873</v>
      </c>
      <c r="D449" s="2">
        <v>2.5000246E8</v>
      </c>
      <c r="E449" s="2">
        <v>2.500000785E9</v>
      </c>
      <c r="F449" s="2">
        <v>4676.0</v>
      </c>
      <c r="G449" s="2">
        <v>1.0</v>
      </c>
      <c r="H449" s="2">
        <v>0.0</v>
      </c>
      <c r="I449" s="2">
        <v>220000.0</v>
      </c>
      <c r="J449" s="2">
        <v>1.0</v>
      </c>
      <c r="K449" s="2">
        <v>7.0</v>
      </c>
      <c r="O449" s="2" t="s">
        <v>874</v>
      </c>
      <c r="P449" s="2" t="s">
        <v>166</v>
      </c>
      <c r="Q449" s="2"/>
      <c r="R449" s="2" t="s">
        <v>848</v>
      </c>
      <c r="S449" s="11">
        <v>42136.42905092592</v>
      </c>
    </row>
    <row r="450" ht="12.75" customHeight="1">
      <c r="A450" s="2"/>
      <c r="B450" s="2">
        <v>1.0</v>
      </c>
      <c r="C450" s="2" t="s">
        <v>875</v>
      </c>
      <c r="D450" s="2">
        <v>2.50002464E8</v>
      </c>
      <c r="E450" s="2">
        <v>2.500000785E9</v>
      </c>
      <c r="F450" s="2">
        <v>6275.0</v>
      </c>
      <c r="G450" s="2">
        <v>1.0</v>
      </c>
      <c r="H450" s="2">
        <v>0.0</v>
      </c>
      <c r="I450" s="2">
        <v>68000.0</v>
      </c>
      <c r="J450" s="2">
        <v>1.0</v>
      </c>
      <c r="K450" s="2">
        <v>7.0</v>
      </c>
      <c r="O450" s="2" t="s">
        <v>876</v>
      </c>
      <c r="P450" s="2" t="s">
        <v>166</v>
      </c>
      <c r="Q450" s="2"/>
      <c r="R450" s="2" t="s">
        <v>848</v>
      </c>
      <c r="S450" s="11">
        <v>42136.42905092592</v>
      </c>
    </row>
    <row r="451" ht="12.75" customHeight="1">
      <c r="A451" s="2"/>
      <c r="B451" s="2">
        <v>1.0</v>
      </c>
      <c r="C451" s="2" t="s">
        <v>877</v>
      </c>
      <c r="D451" s="2">
        <v>2.50002462E8</v>
      </c>
      <c r="E451" s="2">
        <v>2.500000785E9</v>
      </c>
      <c r="F451" s="2">
        <v>6391.0</v>
      </c>
      <c r="G451" s="2">
        <v>1.0</v>
      </c>
      <c r="H451" s="2">
        <v>0.0</v>
      </c>
      <c r="I451" s="2">
        <v>60000.0</v>
      </c>
      <c r="J451" s="2">
        <v>1.0</v>
      </c>
      <c r="K451" s="2">
        <v>7.0</v>
      </c>
      <c r="O451" s="2" t="s">
        <v>770</v>
      </c>
      <c r="P451" s="2" t="s">
        <v>166</v>
      </c>
      <c r="Q451" s="2"/>
      <c r="R451" s="2" t="s">
        <v>848</v>
      </c>
      <c r="S451" s="11">
        <v>42136.42905092592</v>
      </c>
    </row>
    <row r="452" ht="12.75" customHeight="1">
      <c r="A452" s="2"/>
      <c r="B452" s="2">
        <v>1.0</v>
      </c>
      <c r="C452" s="2" t="s">
        <v>878</v>
      </c>
      <c r="D452" s="2">
        <v>2.50002459E8</v>
      </c>
      <c r="E452" s="2">
        <v>2.500000785E9</v>
      </c>
      <c r="F452" s="2">
        <v>10231.0</v>
      </c>
      <c r="G452" s="2">
        <v>1.0</v>
      </c>
      <c r="H452" s="2">
        <v>0.0</v>
      </c>
      <c r="I452" s="2">
        <v>65000.0</v>
      </c>
      <c r="J452" s="2">
        <v>1.0</v>
      </c>
      <c r="K452" s="2">
        <v>7.0</v>
      </c>
      <c r="O452" s="2" t="s">
        <v>879</v>
      </c>
      <c r="P452" s="2" t="s">
        <v>166</v>
      </c>
      <c r="Q452" s="2"/>
      <c r="R452" s="2" t="s">
        <v>848</v>
      </c>
      <c r="S452" s="11">
        <v>42136.42905092592</v>
      </c>
    </row>
    <row r="453" ht="12.75" customHeight="1">
      <c r="A453" s="2"/>
      <c r="B453" s="2">
        <v>1.0</v>
      </c>
      <c r="C453" s="2" t="s">
        <v>880</v>
      </c>
      <c r="D453" s="2">
        <v>2.50002475E8</v>
      </c>
      <c r="E453" s="2">
        <v>2.500000789E9</v>
      </c>
      <c r="F453" s="2">
        <v>13041.0</v>
      </c>
      <c r="G453" s="2">
        <v>1.0</v>
      </c>
      <c r="H453" s="2">
        <v>0.0</v>
      </c>
      <c r="I453" s="2">
        <v>39000.0</v>
      </c>
      <c r="J453" s="2">
        <v>1.0</v>
      </c>
      <c r="K453" s="2">
        <v>7.0</v>
      </c>
      <c r="O453" s="2" t="s">
        <v>476</v>
      </c>
      <c r="P453" s="2" t="s">
        <v>166</v>
      </c>
      <c r="Q453" s="2"/>
      <c r="R453" s="2" t="s">
        <v>848</v>
      </c>
      <c r="S453" s="11">
        <v>42136.47534722222</v>
      </c>
    </row>
    <row r="454" ht="12.75" customHeight="1">
      <c r="A454" s="2"/>
      <c r="B454" s="2">
        <v>1.0</v>
      </c>
      <c r="C454" s="2" t="s">
        <v>881</v>
      </c>
      <c r="D454" s="2">
        <v>2.50002474E8</v>
      </c>
      <c r="E454" s="2">
        <v>2.500000789E9</v>
      </c>
      <c r="F454" s="2">
        <v>13043.0</v>
      </c>
      <c r="G454" s="2">
        <v>1.0</v>
      </c>
      <c r="H454" s="2">
        <v>0.0</v>
      </c>
      <c r="I454" s="2">
        <v>50000.0</v>
      </c>
      <c r="J454" s="2">
        <v>1.0</v>
      </c>
      <c r="K454" s="2">
        <v>7.0</v>
      </c>
      <c r="O454" s="2" t="s">
        <v>882</v>
      </c>
      <c r="P454" s="2" t="s">
        <v>166</v>
      </c>
      <c r="Q454" s="2"/>
      <c r="R454" s="2" t="s">
        <v>848</v>
      </c>
      <c r="S454" s="11">
        <v>42136.47534722222</v>
      </c>
    </row>
    <row r="455" ht="12.75" customHeight="1">
      <c r="A455" s="2"/>
      <c r="B455" s="2">
        <v>1.0</v>
      </c>
      <c r="C455" s="2" t="s">
        <v>883</v>
      </c>
      <c r="D455" s="2">
        <v>2.50002476E8</v>
      </c>
      <c r="E455" s="2">
        <v>2.500000789E9</v>
      </c>
      <c r="F455" s="2">
        <v>14039.0</v>
      </c>
      <c r="G455" s="2">
        <v>1.0</v>
      </c>
      <c r="H455" s="2">
        <v>0.0</v>
      </c>
      <c r="I455" s="2">
        <v>435000.0</v>
      </c>
      <c r="J455" s="2">
        <v>1.0</v>
      </c>
      <c r="K455" s="2">
        <v>7.0</v>
      </c>
      <c r="O455" s="2" t="s">
        <v>884</v>
      </c>
      <c r="P455" s="2" t="s">
        <v>166</v>
      </c>
      <c r="Q455" s="2"/>
      <c r="R455" s="2" t="s">
        <v>848</v>
      </c>
      <c r="S455" s="11">
        <v>42136.47534722222</v>
      </c>
    </row>
    <row r="456" ht="12.75" customHeight="1">
      <c r="A456" s="2"/>
      <c r="B456" s="2">
        <v>1.0</v>
      </c>
      <c r="C456" s="2" t="s">
        <v>885</v>
      </c>
      <c r="D456" s="2">
        <v>2.50002559E8</v>
      </c>
      <c r="E456" s="2">
        <v>2.500000823E9</v>
      </c>
      <c r="F456" s="2">
        <v>12500.0</v>
      </c>
      <c r="G456" s="2">
        <v>1.0</v>
      </c>
      <c r="H456" s="2">
        <v>0.0</v>
      </c>
      <c r="I456" s="2">
        <v>380000.0</v>
      </c>
      <c r="J456" s="2">
        <v>1.0</v>
      </c>
      <c r="K456" s="2">
        <v>7.0</v>
      </c>
      <c r="O456" s="2" t="s">
        <v>886</v>
      </c>
      <c r="P456" s="2" t="s">
        <v>166</v>
      </c>
      <c r="Q456" s="2"/>
      <c r="R456" s="2" t="s">
        <v>848</v>
      </c>
      <c r="S456" s="11">
        <v>42137.39983796296</v>
      </c>
    </row>
    <row r="457" ht="12.75" customHeight="1">
      <c r="A457" s="2"/>
      <c r="B457" s="2">
        <v>1.0</v>
      </c>
      <c r="C457" s="2" t="s">
        <v>887</v>
      </c>
      <c r="D457" s="2">
        <v>2.50002565E8</v>
      </c>
      <c r="E457" s="2">
        <v>2.500000825E9</v>
      </c>
      <c r="F457" s="2">
        <v>6630.0</v>
      </c>
      <c r="G457" s="2">
        <v>1.0</v>
      </c>
      <c r="H457" s="2">
        <v>0.0</v>
      </c>
      <c r="I457" s="2">
        <v>171000.0</v>
      </c>
      <c r="J457" s="2">
        <v>1.0</v>
      </c>
      <c r="K457" s="2">
        <v>7.0</v>
      </c>
      <c r="O457" s="2" t="s">
        <v>888</v>
      </c>
      <c r="P457" s="2" t="s">
        <v>166</v>
      </c>
      <c r="Q457" s="2"/>
      <c r="R457" s="2" t="s">
        <v>848</v>
      </c>
      <c r="S457" s="11">
        <v>42137.45261574074</v>
      </c>
    </row>
    <row r="458" ht="12.75" customHeight="1">
      <c r="A458" s="2"/>
      <c r="B458" s="2">
        <v>1.0</v>
      </c>
      <c r="C458" s="2" t="s">
        <v>889</v>
      </c>
      <c r="D458" s="2">
        <v>2.50002569E8</v>
      </c>
      <c r="E458" s="2">
        <v>2.500000826E9</v>
      </c>
      <c r="F458" s="2">
        <v>5339.0</v>
      </c>
      <c r="G458" s="2">
        <v>1.0</v>
      </c>
      <c r="H458" s="2">
        <v>0.0</v>
      </c>
      <c r="I458" s="2">
        <v>365000.0</v>
      </c>
      <c r="J458" s="2">
        <v>1.0</v>
      </c>
      <c r="K458" s="2">
        <v>7.0</v>
      </c>
      <c r="O458" s="2" t="s">
        <v>890</v>
      </c>
      <c r="P458" s="2" t="s">
        <v>166</v>
      </c>
      <c r="Q458" s="2"/>
      <c r="R458" s="2" t="s">
        <v>848</v>
      </c>
      <c r="S458" s="11">
        <v>42137.46177083333</v>
      </c>
    </row>
    <row r="459" ht="12.75" customHeight="1">
      <c r="A459" s="2"/>
      <c r="B459" s="2">
        <v>1.0</v>
      </c>
      <c r="C459" s="2" t="s">
        <v>891</v>
      </c>
      <c r="D459" s="2">
        <v>2.50002595E8</v>
      </c>
      <c r="E459" s="2">
        <v>2.500000839E9</v>
      </c>
      <c r="F459" s="2">
        <v>1002.0</v>
      </c>
      <c r="G459" s="2">
        <v>2.0</v>
      </c>
      <c r="H459" s="2">
        <v>0.0</v>
      </c>
      <c r="I459" s="2">
        <v>480000.0</v>
      </c>
      <c r="J459" s="2">
        <v>1.0</v>
      </c>
      <c r="K459" s="2">
        <v>7.0</v>
      </c>
      <c r="O459" s="2" t="s">
        <v>558</v>
      </c>
      <c r="P459" s="2" t="s">
        <v>166</v>
      </c>
      <c r="Q459" s="2"/>
      <c r="R459" s="2" t="s">
        <v>848</v>
      </c>
      <c r="S459" s="11">
        <v>42137.79530092593</v>
      </c>
    </row>
    <row r="460" ht="12.75" customHeight="1">
      <c r="A460" s="2"/>
      <c r="B460" s="2">
        <v>1.0</v>
      </c>
      <c r="C460" s="2" t="s">
        <v>892</v>
      </c>
      <c r="D460" s="2">
        <v>2.5000259E8</v>
      </c>
      <c r="E460" s="2">
        <v>2.500000839E9</v>
      </c>
      <c r="F460" s="2">
        <v>1015.0</v>
      </c>
      <c r="G460" s="2">
        <v>1.0</v>
      </c>
      <c r="H460" s="2">
        <v>0.0</v>
      </c>
      <c r="I460" s="2">
        <v>245000.0</v>
      </c>
      <c r="J460" s="2">
        <v>1.0</v>
      </c>
      <c r="K460" s="2">
        <v>7.0</v>
      </c>
      <c r="O460" s="2" t="s">
        <v>893</v>
      </c>
      <c r="P460" s="2" t="s">
        <v>166</v>
      </c>
      <c r="Q460" s="2"/>
      <c r="R460" s="2" t="s">
        <v>848</v>
      </c>
      <c r="S460" s="11">
        <v>42137.79530092593</v>
      </c>
    </row>
    <row r="461" ht="12.75" customHeight="1">
      <c r="A461" s="2"/>
      <c r="B461" s="2">
        <v>1.0</v>
      </c>
      <c r="C461" s="2" t="s">
        <v>894</v>
      </c>
      <c r="D461" s="2">
        <v>2.50002591E8</v>
      </c>
      <c r="E461" s="2">
        <v>2.500000839E9</v>
      </c>
      <c r="F461" s="2">
        <v>3536.0</v>
      </c>
      <c r="G461" s="2">
        <v>1.0</v>
      </c>
      <c r="H461" s="2">
        <v>0.0</v>
      </c>
      <c r="I461" s="2">
        <v>190000.0</v>
      </c>
      <c r="J461" s="2">
        <v>1.0</v>
      </c>
      <c r="K461" s="2">
        <v>7.0</v>
      </c>
      <c r="O461" s="2" t="s">
        <v>895</v>
      </c>
      <c r="P461" s="2" t="s">
        <v>166</v>
      </c>
      <c r="Q461" s="2"/>
      <c r="R461" s="2" t="s">
        <v>848</v>
      </c>
      <c r="S461" s="11">
        <v>42137.79530092593</v>
      </c>
    </row>
    <row r="462" ht="12.75" customHeight="1">
      <c r="A462" s="2"/>
      <c r="B462" s="2">
        <v>1.0</v>
      </c>
      <c r="C462" s="2" t="s">
        <v>896</v>
      </c>
      <c r="D462" s="2">
        <v>2.50002594E8</v>
      </c>
      <c r="E462" s="2">
        <v>2.500000839E9</v>
      </c>
      <c r="F462" s="2">
        <v>6270.0</v>
      </c>
      <c r="G462" s="2">
        <v>1.0</v>
      </c>
      <c r="H462" s="2">
        <v>0.0</v>
      </c>
      <c r="I462" s="2">
        <v>62000.0</v>
      </c>
      <c r="J462" s="2">
        <v>1.0</v>
      </c>
      <c r="K462" s="2">
        <v>7.0</v>
      </c>
      <c r="O462" s="2" t="s">
        <v>897</v>
      </c>
      <c r="P462" s="2" t="s">
        <v>166</v>
      </c>
      <c r="Q462" s="2"/>
      <c r="R462" s="2" t="s">
        <v>848</v>
      </c>
      <c r="S462" s="11">
        <v>42137.79530092593</v>
      </c>
    </row>
    <row r="463" ht="12.75" customHeight="1">
      <c r="A463" s="2"/>
      <c r="B463" s="2">
        <v>1.0</v>
      </c>
      <c r="C463" s="2" t="s">
        <v>898</v>
      </c>
      <c r="D463" s="2">
        <v>2.50002592E8</v>
      </c>
      <c r="E463" s="2">
        <v>2.500000839E9</v>
      </c>
      <c r="F463" s="2">
        <v>6272.0</v>
      </c>
      <c r="G463" s="2">
        <v>1.0</v>
      </c>
      <c r="H463" s="2">
        <v>0.0</v>
      </c>
      <c r="I463" s="2">
        <v>44000.0</v>
      </c>
      <c r="J463" s="2">
        <v>1.0</v>
      </c>
      <c r="K463" s="2">
        <v>7.0</v>
      </c>
      <c r="O463" s="2" t="s">
        <v>899</v>
      </c>
      <c r="P463" s="2" t="s">
        <v>166</v>
      </c>
      <c r="Q463" s="2"/>
      <c r="R463" s="2" t="s">
        <v>848</v>
      </c>
      <c r="S463" s="11">
        <v>42137.79530092593</v>
      </c>
    </row>
    <row r="464" ht="12.75" customHeight="1">
      <c r="A464" s="2"/>
      <c r="B464" s="2">
        <v>1.0</v>
      </c>
      <c r="C464" s="2" t="s">
        <v>900</v>
      </c>
      <c r="D464" s="2">
        <v>2.50002593E8</v>
      </c>
      <c r="E464" s="2">
        <v>2.500000839E9</v>
      </c>
      <c r="F464" s="2">
        <v>8165.0</v>
      </c>
      <c r="G464" s="2">
        <v>1.0</v>
      </c>
      <c r="H464" s="2">
        <v>0.0</v>
      </c>
      <c r="I464" s="2">
        <v>235000.0</v>
      </c>
      <c r="J464" s="2">
        <v>1.0</v>
      </c>
      <c r="K464" s="2">
        <v>7.0</v>
      </c>
      <c r="O464" s="2" t="s">
        <v>901</v>
      </c>
      <c r="P464" s="2" t="s">
        <v>166</v>
      </c>
      <c r="Q464" s="2"/>
      <c r="R464" s="2" t="s">
        <v>848</v>
      </c>
      <c r="S464" s="11">
        <v>42137.79530092593</v>
      </c>
    </row>
    <row r="465" ht="12.75" customHeight="1">
      <c r="A465" s="2"/>
      <c r="B465" s="2">
        <v>1.0</v>
      </c>
      <c r="C465" s="2" t="s">
        <v>902</v>
      </c>
      <c r="D465" s="2">
        <v>2.50002589E8</v>
      </c>
      <c r="E465" s="2">
        <v>2.500000839E9</v>
      </c>
      <c r="F465" s="2">
        <v>13041.0</v>
      </c>
      <c r="G465" s="2">
        <v>2.0</v>
      </c>
      <c r="H465" s="2">
        <v>0.0</v>
      </c>
      <c r="I465" s="2">
        <v>78000.0</v>
      </c>
      <c r="J465" s="2">
        <v>1.0</v>
      </c>
      <c r="K465" s="2">
        <v>7.0</v>
      </c>
      <c r="O465" s="2" t="s">
        <v>476</v>
      </c>
      <c r="P465" s="2" t="s">
        <v>166</v>
      </c>
      <c r="Q465" s="2"/>
      <c r="R465" s="2" t="s">
        <v>848</v>
      </c>
      <c r="S465" s="11">
        <v>42137.79530092593</v>
      </c>
    </row>
    <row r="466" ht="12.75" customHeight="1">
      <c r="A466" s="2"/>
      <c r="B466" s="2">
        <v>1.0</v>
      </c>
      <c r="C466" s="2" t="s">
        <v>903</v>
      </c>
      <c r="D466" s="2">
        <v>2.50002596E8</v>
      </c>
      <c r="E466" s="2">
        <v>2.500000839E9</v>
      </c>
      <c r="F466" s="2">
        <v>14095.0</v>
      </c>
      <c r="G466" s="2">
        <v>1.0</v>
      </c>
      <c r="H466" s="2">
        <v>0.0</v>
      </c>
      <c r="I466" s="2">
        <v>239000.0</v>
      </c>
      <c r="J466" s="2">
        <v>1.0</v>
      </c>
      <c r="K466" s="2">
        <v>7.0</v>
      </c>
      <c r="O466" s="2" t="s">
        <v>904</v>
      </c>
      <c r="P466" s="2" t="s">
        <v>166</v>
      </c>
      <c r="Q466" s="2"/>
      <c r="R466" s="2" t="s">
        <v>848</v>
      </c>
      <c r="S466" s="11">
        <v>42137.79530092593</v>
      </c>
    </row>
    <row r="467" ht="12.75" customHeight="1">
      <c r="A467" s="2"/>
      <c r="B467" s="2">
        <v>1.0</v>
      </c>
      <c r="C467" s="2" t="s">
        <v>905</v>
      </c>
      <c r="D467" s="2">
        <v>2.50002621E8</v>
      </c>
      <c r="E467" s="2">
        <v>2.500000849E9</v>
      </c>
      <c r="F467" s="2">
        <v>2383.0</v>
      </c>
      <c r="G467" s="2">
        <v>1.0</v>
      </c>
      <c r="H467" s="2">
        <v>0.0</v>
      </c>
      <c r="I467" s="2">
        <v>475000.0</v>
      </c>
      <c r="J467" s="2">
        <v>1.0</v>
      </c>
      <c r="K467" s="2">
        <v>7.0</v>
      </c>
      <c r="O467" s="2" t="s">
        <v>906</v>
      </c>
      <c r="P467" s="2" t="s">
        <v>166</v>
      </c>
      <c r="Q467" s="2"/>
      <c r="R467" s="2" t="s">
        <v>848</v>
      </c>
      <c r="S467" s="11">
        <v>42138.43350694444</v>
      </c>
    </row>
    <row r="468" ht="12.75" customHeight="1">
      <c r="A468" s="2"/>
      <c r="B468" s="2">
        <v>1.0</v>
      </c>
      <c r="C468" s="2" t="s">
        <v>907</v>
      </c>
      <c r="D468" s="2">
        <v>2.5000262E8</v>
      </c>
      <c r="E468" s="2">
        <v>2.500000849E9</v>
      </c>
      <c r="F468" s="2">
        <v>8032.0</v>
      </c>
      <c r="G468" s="2">
        <v>1.0</v>
      </c>
      <c r="H468" s="2">
        <v>0.0</v>
      </c>
      <c r="I468" s="2">
        <v>590000.0</v>
      </c>
      <c r="J468" s="2">
        <v>1.0</v>
      </c>
      <c r="K468" s="2">
        <v>7.0</v>
      </c>
      <c r="O468" s="2" t="s">
        <v>908</v>
      </c>
      <c r="P468" s="2" t="s">
        <v>166</v>
      </c>
      <c r="Q468" s="2"/>
      <c r="R468" s="2" t="s">
        <v>848</v>
      </c>
      <c r="S468" s="11">
        <v>42138.43350694444</v>
      </c>
    </row>
    <row r="469" ht="12.75" customHeight="1">
      <c r="A469" s="2"/>
      <c r="B469" s="2">
        <v>1.0</v>
      </c>
      <c r="C469" s="2" t="s">
        <v>909</v>
      </c>
      <c r="D469" s="2">
        <v>2.50002647E8</v>
      </c>
      <c r="E469" s="2">
        <v>2.500000858E9</v>
      </c>
      <c r="F469" s="2">
        <v>1007.0</v>
      </c>
      <c r="G469" s="2">
        <v>1.0</v>
      </c>
      <c r="H469" s="2">
        <v>24500.0</v>
      </c>
      <c r="I469" s="2">
        <v>245000.0</v>
      </c>
      <c r="J469" s="2">
        <v>1.0</v>
      </c>
      <c r="K469" s="2">
        <v>7.0</v>
      </c>
      <c r="O469" s="2" t="s">
        <v>667</v>
      </c>
      <c r="P469" s="2" t="s">
        <v>166</v>
      </c>
      <c r="Q469" s="2"/>
      <c r="R469" s="2" t="s">
        <v>848</v>
      </c>
      <c r="S469" s="11">
        <v>42138.65380787037</v>
      </c>
    </row>
    <row r="470" ht="12.75" customHeight="1">
      <c r="A470" s="2"/>
      <c r="B470" s="2">
        <v>1.0</v>
      </c>
      <c r="C470" s="2" t="s">
        <v>910</v>
      </c>
      <c r="D470" s="2">
        <v>2.50002646E8</v>
      </c>
      <c r="E470" s="2">
        <v>2.500000858E9</v>
      </c>
      <c r="F470" s="2">
        <v>1013.0</v>
      </c>
      <c r="G470" s="2">
        <v>2.0</v>
      </c>
      <c r="H470" s="2">
        <v>46000.0</v>
      </c>
      <c r="I470" s="2">
        <v>460000.0</v>
      </c>
      <c r="J470" s="2">
        <v>1.0</v>
      </c>
      <c r="K470" s="2">
        <v>7.0</v>
      </c>
      <c r="O470" s="2" t="s">
        <v>459</v>
      </c>
      <c r="P470" s="2" t="s">
        <v>166</v>
      </c>
      <c r="Q470" s="2"/>
      <c r="R470" s="2" t="s">
        <v>848</v>
      </c>
      <c r="S470" s="11">
        <v>42138.65380787037</v>
      </c>
    </row>
    <row r="471" ht="12.75" customHeight="1">
      <c r="A471" s="2"/>
      <c r="B471" s="2">
        <v>1.0</v>
      </c>
      <c r="C471" s="2" t="s">
        <v>911</v>
      </c>
      <c r="D471" s="2">
        <v>2.50002641E8</v>
      </c>
      <c r="E471" s="2">
        <v>2.500000858E9</v>
      </c>
      <c r="F471" s="2">
        <v>2334.0</v>
      </c>
      <c r="G471" s="2">
        <v>1.0</v>
      </c>
      <c r="H471" s="2">
        <v>14500.0</v>
      </c>
      <c r="I471" s="2">
        <v>145000.0</v>
      </c>
      <c r="J471" s="2">
        <v>1.0</v>
      </c>
      <c r="K471" s="2">
        <v>7.0</v>
      </c>
      <c r="O471" s="2" t="s">
        <v>912</v>
      </c>
      <c r="P471" s="2" t="s">
        <v>166</v>
      </c>
      <c r="Q471" s="2"/>
      <c r="R471" s="2" t="s">
        <v>848</v>
      </c>
      <c r="S471" s="11">
        <v>42138.6537962963</v>
      </c>
    </row>
    <row r="472" ht="12.75" customHeight="1">
      <c r="A472" s="2"/>
      <c r="B472" s="2">
        <v>1.0</v>
      </c>
      <c r="C472" s="2" t="s">
        <v>913</v>
      </c>
      <c r="D472" s="2">
        <v>2.5000264E8</v>
      </c>
      <c r="E472" s="2">
        <v>2.500000858E9</v>
      </c>
      <c r="F472" s="2">
        <v>7860.0</v>
      </c>
      <c r="G472" s="2">
        <v>1.0</v>
      </c>
      <c r="H472" s="2">
        <v>51500.0</v>
      </c>
      <c r="I472" s="2">
        <v>515000.0</v>
      </c>
      <c r="J472" s="2">
        <v>1.0</v>
      </c>
      <c r="K472" s="2">
        <v>7.0</v>
      </c>
      <c r="O472" s="2" t="s">
        <v>914</v>
      </c>
      <c r="P472" s="2" t="s">
        <v>166</v>
      </c>
      <c r="Q472" s="2"/>
      <c r="R472" s="2" t="s">
        <v>848</v>
      </c>
      <c r="S472" s="11">
        <v>42138.6537962963</v>
      </c>
    </row>
    <row r="473" ht="12.75" customHeight="1">
      <c r="A473" s="2"/>
      <c r="B473" s="2">
        <v>1.0</v>
      </c>
      <c r="C473" s="2" t="s">
        <v>915</v>
      </c>
      <c r="D473" s="2">
        <v>2.50002644E8</v>
      </c>
      <c r="E473" s="2">
        <v>2.500000858E9</v>
      </c>
      <c r="F473" s="2">
        <v>9392.0</v>
      </c>
      <c r="G473" s="2">
        <v>1.0</v>
      </c>
      <c r="H473" s="2">
        <v>13500.0</v>
      </c>
      <c r="I473" s="2">
        <v>135000.0</v>
      </c>
      <c r="J473" s="2">
        <v>1.0</v>
      </c>
      <c r="K473" s="2">
        <v>7.0</v>
      </c>
      <c r="O473" s="2" t="s">
        <v>916</v>
      </c>
      <c r="P473" s="2" t="s">
        <v>166</v>
      </c>
      <c r="Q473" s="2"/>
      <c r="R473" s="2" t="s">
        <v>848</v>
      </c>
      <c r="S473" s="11">
        <v>42138.65380787037</v>
      </c>
    </row>
    <row r="474" ht="12.75" customHeight="1">
      <c r="A474" s="2"/>
      <c r="B474" s="2">
        <v>1.0</v>
      </c>
      <c r="C474" s="2" t="s">
        <v>917</v>
      </c>
      <c r="D474" s="2">
        <v>2.50002645E8</v>
      </c>
      <c r="E474" s="2">
        <v>2.500000858E9</v>
      </c>
      <c r="F474" s="2">
        <v>9736.0</v>
      </c>
      <c r="G474" s="2">
        <v>1.0</v>
      </c>
      <c r="H474" s="2">
        <v>37100.0</v>
      </c>
      <c r="I474" s="2">
        <v>371000.0</v>
      </c>
      <c r="J474" s="2">
        <v>1.0</v>
      </c>
      <c r="K474" s="2">
        <v>7.0</v>
      </c>
      <c r="O474" s="2" t="s">
        <v>516</v>
      </c>
      <c r="P474" s="2" t="s">
        <v>166</v>
      </c>
      <c r="Q474" s="2"/>
      <c r="R474" s="2" t="s">
        <v>848</v>
      </c>
      <c r="S474" s="11">
        <v>42138.65380787037</v>
      </c>
    </row>
    <row r="475" ht="12.75" customHeight="1">
      <c r="A475" s="2"/>
      <c r="B475" s="2">
        <v>1.0</v>
      </c>
      <c r="C475" s="2" t="s">
        <v>918</v>
      </c>
      <c r="D475" s="2">
        <v>2.50002639E8</v>
      </c>
      <c r="E475" s="2">
        <v>2.500000858E9</v>
      </c>
      <c r="F475" s="2">
        <v>11715.0</v>
      </c>
      <c r="G475" s="2">
        <v>1.0</v>
      </c>
      <c r="H475" s="2">
        <v>54500.0</v>
      </c>
      <c r="I475" s="2">
        <v>545000.0</v>
      </c>
      <c r="J475" s="2">
        <v>1.0</v>
      </c>
      <c r="K475" s="2">
        <v>7.0</v>
      </c>
      <c r="O475" s="2" t="s">
        <v>919</v>
      </c>
      <c r="P475" s="2" t="s">
        <v>166</v>
      </c>
      <c r="Q475" s="2"/>
      <c r="R475" s="2" t="s">
        <v>848</v>
      </c>
      <c r="S475" s="11">
        <v>42138.6537962963</v>
      </c>
    </row>
    <row r="476" ht="12.75" customHeight="1">
      <c r="A476" s="2"/>
      <c r="B476" s="2">
        <v>1.0</v>
      </c>
      <c r="C476" s="2" t="s">
        <v>920</v>
      </c>
      <c r="D476" s="2">
        <v>2.50002638E8</v>
      </c>
      <c r="E476" s="2">
        <v>2.500000858E9</v>
      </c>
      <c r="F476" s="2">
        <v>11720.0</v>
      </c>
      <c r="G476" s="2">
        <v>-1.0</v>
      </c>
      <c r="H476" s="2">
        <v>-54000.0</v>
      </c>
      <c r="I476" s="2">
        <v>-540000.0</v>
      </c>
      <c r="J476" s="2">
        <v>1.0</v>
      </c>
      <c r="K476" s="2">
        <v>7.0</v>
      </c>
      <c r="O476" s="2" t="s">
        <v>921</v>
      </c>
      <c r="P476" s="2" t="s">
        <v>166</v>
      </c>
      <c r="Q476" s="2"/>
      <c r="R476" s="2" t="s">
        <v>848</v>
      </c>
      <c r="S476" s="11">
        <v>42138.65378472222</v>
      </c>
    </row>
    <row r="477" ht="12.75" customHeight="1">
      <c r="A477" s="2"/>
      <c r="B477" s="2">
        <v>1.0</v>
      </c>
      <c r="C477" s="2" t="s">
        <v>922</v>
      </c>
      <c r="D477" s="2">
        <v>2.50002642E8</v>
      </c>
      <c r="E477" s="2">
        <v>2.500000858E9</v>
      </c>
      <c r="F477" s="2">
        <v>12739.0</v>
      </c>
      <c r="G477" s="2">
        <v>1.0</v>
      </c>
      <c r="H477" s="2">
        <v>38500.0</v>
      </c>
      <c r="I477" s="2">
        <v>385000.0</v>
      </c>
      <c r="J477" s="2">
        <v>1.0</v>
      </c>
      <c r="K477" s="2">
        <v>7.0</v>
      </c>
      <c r="O477" s="2" t="s">
        <v>923</v>
      </c>
      <c r="P477" s="2" t="s">
        <v>166</v>
      </c>
      <c r="Q477" s="2"/>
      <c r="R477" s="2" t="s">
        <v>848</v>
      </c>
      <c r="S477" s="11">
        <v>42138.6537962963</v>
      </c>
    </row>
    <row r="478" ht="12.75" customHeight="1">
      <c r="A478" s="2"/>
      <c r="B478" s="2">
        <v>1.0</v>
      </c>
      <c r="C478" s="2" t="s">
        <v>924</v>
      </c>
      <c r="D478" s="2">
        <v>2.50002643E8</v>
      </c>
      <c r="E478" s="2">
        <v>2.500000858E9</v>
      </c>
      <c r="F478" s="2">
        <v>14042.0</v>
      </c>
      <c r="G478" s="2">
        <v>1.0</v>
      </c>
      <c r="H478" s="2">
        <v>49700.0</v>
      </c>
      <c r="I478" s="2">
        <v>497000.0</v>
      </c>
      <c r="J478" s="2">
        <v>1.0</v>
      </c>
      <c r="K478" s="2">
        <v>7.0</v>
      </c>
      <c r="O478" s="2" t="s">
        <v>925</v>
      </c>
      <c r="P478" s="2" t="s">
        <v>166</v>
      </c>
      <c r="Q478" s="2"/>
      <c r="R478" s="2" t="s">
        <v>848</v>
      </c>
      <c r="S478" s="11">
        <v>42138.65380787037</v>
      </c>
    </row>
    <row r="479" ht="12.75" customHeight="1">
      <c r="A479" s="2"/>
      <c r="B479" s="2">
        <v>1.0</v>
      </c>
      <c r="C479" s="2" t="s">
        <v>926</v>
      </c>
      <c r="D479" s="2">
        <v>2.50002649E8</v>
      </c>
      <c r="E479" s="2">
        <v>2.500000858E9</v>
      </c>
      <c r="F479" s="2">
        <v>14094.0</v>
      </c>
      <c r="G479" s="2">
        <v>1.0</v>
      </c>
      <c r="H479" s="2">
        <v>38500.0</v>
      </c>
      <c r="I479" s="2">
        <v>385000.0</v>
      </c>
      <c r="J479" s="2">
        <v>1.0</v>
      </c>
      <c r="K479" s="2">
        <v>7.0</v>
      </c>
      <c r="O479" s="2" t="s">
        <v>927</v>
      </c>
      <c r="P479" s="2" t="s">
        <v>166</v>
      </c>
      <c r="Q479" s="2"/>
      <c r="R479" s="2" t="s">
        <v>848</v>
      </c>
      <c r="S479" s="11">
        <v>42138.65380787037</v>
      </c>
    </row>
    <row r="480" ht="12.75" customHeight="1">
      <c r="A480" s="2"/>
      <c r="B480" s="2">
        <v>1.0</v>
      </c>
      <c r="C480" s="2" t="s">
        <v>928</v>
      </c>
      <c r="D480" s="2">
        <v>2.5000269E8</v>
      </c>
      <c r="E480" s="2">
        <v>2.500000878E9</v>
      </c>
      <c r="F480" s="2">
        <v>12864.0</v>
      </c>
      <c r="G480" s="2">
        <v>-1.0</v>
      </c>
      <c r="H480" s="2">
        <v>0.0</v>
      </c>
      <c r="I480" s="2">
        <v>-425000.0</v>
      </c>
      <c r="J480" s="2">
        <v>1.0</v>
      </c>
      <c r="K480" s="2">
        <v>7.0</v>
      </c>
      <c r="O480" s="2" t="s">
        <v>195</v>
      </c>
      <c r="P480" s="2" t="s">
        <v>166</v>
      </c>
      <c r="Q480" s="2"/>
      <c r="R480" s="2" t="s">
        <v>848</v>
      </c>
      <c r="S480" s="11">
        <v>42139.43284722222</v>
      </c>
    </row>
    <row r="481" ht="12.75" customHeight="1">
      <c r="A481" s="2"/>
      <c r="B481" s="2">
        <v>1.0</v>
      </c>
      <c r="C481" s="2" t="s">
        <v>929</v>
      </c>
      <c r="D481" s="2">
        <v>2.50002743E8</v>
      </c>
      <c r="E481" s="2">
        <v>2.500000896E9</v>
      </c>
      <c r="F481" s="2">
        <v>9809.0</v>
      </c>
      <c r="G481" s="2">
        <v>1.0</v>
      </c>
      <c r="H481" s="2">
        <v>0.0</v>
      </c>
      <c r="I481" s="2">
        <v>81000.0</v>
      </c>
      <c r="J481" s="2">
        <v>1.0</v>
      </c>
      <c r="K481" s="2">
        <v>7.0</v>
      </c>
      <c r="O481" s="2" t="s">
        <v>930</v>
      </c>
      <c r="P481" s="2" t="s">
        <v>166</v>
      </c>
      <c r="Q481" s="2"/>
      <c r="R481" s="2" t="s">
        <v>848</v>
      </c>
      <c r="S481" s="11">
        <v>42139.74728009259</v>
      </c>
    </row>
    <row r="482" ht="12.75" customHeight="1">
      <c r="A482" s="2"/>
      <c r="B482" s="2">
        <v>1.0</v>
      </c>
      <c r="C482" s="2" t="s">
        <v>931</v>
      </c>
      <c r="D482" s="2">
        <v>1.0</v>
      </c>
      <c r="E482" s="2">
        <v>2.900000002E9</v>
      </c>
      <c r="F482" s="2">
        <v>2608.0</v>
      </c>
      <c r="G482" s="2">
        <v>1.0</v>
      </c>
      <c r="H482" s="2">
        <v>0.0</v>
      </c>
      <c r="I482" s="2">
        <v>299000.0</v>
      </c>
      <c r="J482" s="2">
        <v>1.0</v>
      </c>
      <c r="K482" s="2">
        <v>7.0</v>
      </c>
      <c r="O482" s="2" t="s">
        <v>932</v>
      </c>
      <c r="P482" s="2" t="s">
        <v>166</v>
      </c>
      <c r="Q482" s="2"/>
      <c r="R482" s="2" t="s">
        <v>933</v>
      </c>
      <c r="S482" s="11">
        <v>42119.32313657407</v>
      </c>
    </row>
    <row r="483" ht="12.75" customHeight="1">
      <c r="A483" s="2"/>
      <c r="B483" s="2">
        <v>1.0</v>
      </c>
      <c r="C483" s="2" t="s">
        <v>934</v>
      </c>
      <c r="D483" s="2">
        <v>3.20081787E8</v>
      </c>
      <c r="E483" s="2">
        <v>2.900000002E9</v>
      </c>
      <c r="F483" s="2">
        <v>11918.0</v>
      </c>
      <c r="G483" s="2">
        <v>1.0</v>
      </c>
      <c r="H483" s="2">
        <v>0.0</v>
      </c>
      <c r="I483" s="2">
        <v>420000.0</v>
      </c>
      <c r="J483" s="2">
        <v>1.0</v>
      </c>
      <c r="K483" s="2">
        <v>7.0</v>
      </c>
      <c r="O483" s="2" t="s">
        <v>935</v>
      </c>
      <c r="P483" s="2" t="s">
        <v>166</v>
      </c>
      <c r="Q483" s="2"/>
      <c r="R483" s="2" t="s">
        <v>933</v>
      </c>
      <c r="S483" s="11">
        <v>42220.59166666667</v>
      </c>
    </row>
    <row r="484" ht="12.75" customHeight="1">
      <c r="A484" s="2"/>
      <c r="B484" s="2">
        <v>1.0</v>
      </c>
      <c r="C484" s="2" t="s">
        <v>936</v>
      </c>
      <c r="D484" s="2">
        <v>4.0</v>
      </c>
      <c r="E484" s="2">
        <v>2.900000003E9</v>
      </c>
      <c r="F484" s="2">
        <v>7068.0</v>
      </c>
      <c r="G484" s="2">
        <v>1.0</v>
      </c>
      <c r="H484" s="2">
        <v>0.0</v>
      </c>
      <c r="I484" s="2">
        <v>258000.0</v>
      </c>
      <c r="J484" s="2">
        <v>1.0</v>
      </c>
      <c r="K484" s="2">
        <v>7.0</v>
      </c>
      <c r="O484" s="2" t="s">
        <v>937</v>
      </c>
      <c r="P484" s="2" t="s">
        <v>166</v>
      </c>
      <c r="Q484" s="2"/>
      <c r="R484" s="2" t="s">
        <v>933</v>
      </c>
      <c r="S484" s="11">
        <v>42119.32524305556</v>
      </c>
    </row>
    <row r="485" ht="12.75" customHeight="1">
      <c r="A485" s="2"/>
      <c r="B485" s="2">
        <v>1.0</v>
      </c>
      <c r="C485" s="2" t="s">
        <v>938</v>
      </c>
      <c r="D485" s="2">
        <v>3.20081788E8</v>
      </c>
      <c r="E485" s="2">
        <v>2.900000003E9</v>
      </c>
      <c r="F485" s="2">
        <v>7879.0</v>
      </c>
      <c r="G485" s="2">
        <v>1.0</v>
      </c>
      <c r="H485" s="2">
        <v>0.0</v>
      </c>
      <c r="I485" s="2">
        <v>315000.0</v>
      </c>
      <c r="J485" s="2">
        <v>1.0</v>
      </c>
      <c r="K485" s="2">
        <v>7.0</v>
      </c>
      <c r="O485" s="2" t="s">
        <v>939</v>
      </c>
      <c r="P485" s="2" t="s">
        <v>166</v>
      </c>
      <c r="Q485" s="2"/>
      <c r="R485" s="2" t="s">
        <v>933</v>
      </c>
      <c r="S485" s="11">
        <v>42220.59166666667</v>
      </c>
    </row>
    <row r="486" ht="12.75" customHeight="1">
      <c r="A486" s="2"/>
      <c r="B486" s="2">
        <v>1.0</v>
      </c>
      <c r="C486" s="2" t="s">
        <v>940</v>
      </c>
      <c r="D486" s="2">
        <v>10.0</v>
      </c>
      <c r="E486" s="2">
        <v>2.900000004E9</v>
      </c>
      <c r="F486" s="2">
        <v>8943.0</v>
      </c>
      <c r="G486" s="2">
        <v>1.0</v>
      </c>
      <c r="H486" s="2">
        <v>0.0</v>
      </c>
      <c r="I486" s="2">
        <v>370000.0</v>
      </c>
      <c r="J486" s="2">
        <v>1.0</v>
      </c>
      <c r="K486" s="2">
        <v>7.0</v>
      </c>
      <c r="O486" s="2" t="s">
        <v>323</v>
      </c>
      <c r="P486" s="2" t="s">
        <v>166</v>
      </c>
      <c r="Q486" s="2"/>
      <c r="R486" s="2" t="s">
        <v>933</v>
      </c>
      <c r="S486" s="11">
        <v>42119.3534375</v>
      </c>
    </row>
    <row r="487" ht="12.75" customHeight="1">
      <c r="A487" s="2"/>
      <c r="B487" s="2">
        <v>1.0</v>
      </c>
      <c r="C487" s="2" t="s">
        <v>941</v>
      </c>
      <c r="D487" s="2">
        <v>3.2008179E8</v>
      </c>
      <c r="E487" s="2">
        <v>2.900000004E9</v>
      </c>
      <c r="F487" s="2">
        <v>11699.0</v>
      </c>
      <c r="G487" s="2">
        <v>1.0</v>
      </c>
      <c r="H487" s="2">
        <v>0.0</v>
      </c>
      <c r="I487" s="2">
        <v>299000.0</v>
      </c>
      <c r="J487" s="2">
        <v>1.0</v>
      </c>
      <c r="K487" s="2">
        <v>7.0</v>
      </c>
      <c r="O487" s="2" t="s">
        <v>942</v>
      </c>
      <c r="P487" s="2" t="s">
        <v>166</v>
      </c>
      <c r="Q487" s="2"/>
      <c r="R487" s="2" t="s">
        <v>933</v>
      </c>
      <c r="S487" s="11">
        <v>42220.59166666667</v>
      </c>
    </row>
    <row r="488" ht="12.75" customHeight="1">
      <c r="A488" s="2"/>
      <c r="B488" s="2">
        <v>1.0</v>
      </c>
      <c r="C488" s="2" t="s">
        <v>943</v>
      </c>
      <c r="D488" s="2">
        <v>9.0</v>
      </c>
      <c r="E488" s="2">
        <v>2.900000004E9</v>
      </c>
      <c r="F488" s="2">
        <v>12749.0</v>
      </c>
      <c r="G488" s="2">
        <v>1.0</v>
      </c>
      <c r="H488" s="2">
        <v>0.0</v>
      </c>
      <c r="I488" s="2">
        <v>315000.0</v>
      </c>
      <c r="J488" s="2">
        <v>1.0</v>
      </c>
      <c r="K488" s="2">
        <v>7.0</v>
      </c>
      <c r="O488" s="2" t="s">
        <v>944</v>
      </c>
      <c r="P488" s="2" t="s">
        <v>166</v>
      </c>
      <c r="Q488" s="2"/>
      <c r="R488" s="2" t="s">
        <v>933</v>
      </c>
      <c r="S488" s="11">
        <v>42119.3534375</v>
      </c>
    </row>
    <row r="489" ht="12.75" customHeight="1">
      <c r="A489" s="2"/>
      <c r="B489" s="2">
        <v>1.0</v>
      </c>
      <c r="C489" s="2" t="s">
        <v>945</v>
      </c>
      <c r="D489" s="2">
        <v>3.20081791E8</v>
      </c>
      <c r="E489" s="2">
        <v>2.900000004E9</v>
      </c>
      <c r="F489" s="2">
        <v>13222.0</v>
      </c>
      <c r="G489" s="2">
        <v>1.0</v>
      </c>
      <c r="H489" s="2">
        <v>0.0</v>
      </c>
      <c r="I489" s="2">
        <v>75000.0</v>
      </c>
      <c r="J489" s="2">
        <v>1.0</v>
      </c>
      <c r="K489" s="2">
        <v>7.0</v>
      </c>
      <c r="O489" s="2" t="s">
        <v>946</v>
      </c>
      <c r="P489" s="2" t="s">
        <v>166</v>
      </c>
      <c r="Q489" s="2"/>
      <c r="R489" s="2" t="s">
        <v>933</v>
      </c>
      <c r="S489" s="11">
        <v>42220.59166666667</v>
      </c>
    </row>
    <row r="490" ht="12.75" customHeight="1">
      <c r="A490" s="2"/>
      <c r="B490" s="2">
        <v>1.0</v>
      </c>
      <c r="C490" s="2" t="s">
        <v>947</v>
      </c>
      <c r="D490" s="2">
        <v>12.0</v>
      </c>
      <c r="E490" s="2">
        <v>2.900000005E9</v>
      </c>
      <c r="F490" s="2">
        <v>58.0</v>
      </c>
      <c r="G490" s="2">
        <v>1.0</v>
      </c>
      <c r="H490" s="2">
        <v>0.0</v>
      </c>
      <c r="I490" s="2">
        <v>120000.0</v>
      </c>
      <c r="J490" s="2">
        <v>1.0</v>
      </c>
      <c r="K490" s="2">
        <v>7.0</v>
      </c>
      <c r="O490" s="2" t="s">
        <v>948</v>
      </c>
      <c r="P490" s="2" t="s">
        <v>166</v>
      </c>
      <c r="Q490" s="2"/>
      <c r="R490" s="2" t="s">
        <v>933</v>
      </c>
      <c r="S490" s="11">
        <v>42119.35408564815</v>
      </c>
    </row>
    <row r="491" ht="12.75" customHeight="1">
      <c r="A491" s="2"/>
      <c r="B491" s="2">
        <v>1.0</v>
      </c>
      <c r="C491" s="2" t="s">
        <v>949</v>
      </c>
      <c r="D491" s="2">
        <v>3.20081796E8</v>
      </c>
      <c r="E491" s="2">
        <v>2.900000005E9</v>
      </c>
      <c r="F491" s="2">
        <v>4239.0</v>
      </c>
      <c r="G491" s="2">
        <v>1.0</v>
      </c>
      <c r="H491" s="2">
        <v>0.0</v>
      </c>
      <c r="I491" s="2">
        <v>14000.0</v>
      </c>
      <c r="J491" s="2">
        <v>1.0</v>
      </c>
      <c r="K491" s="2">
        <v>7.0</v>
      </c>
      <c r="O491" s="2" t="s">
        <v>950</v>
      </c>
      <c r="P491" s="2" t="s">
        <v>166</v>
      </c>
      <c r="Q491" s="2"/>
      <c r="R491" s="2" t="s">
        <v>933</v>
      </c>
      <c r="S491" s="11">
        <v>42220.59166666667</v>
      </c>
    </row>
    <row r="492" ht="12.75" customHeight="1">
      <c r="A492" s="2"/>
      <c r="B492" s="2">
        <v>1.0</v>
      </c>
      <c r="C492" s="2" t="s">
        <v>951</v>
      </c>
      <c r="D492" s="2">
        <v>11.0</v>
      </c>
      <c r="E492" s="2">
        <v>2.900000005E9</v>
      </c>
      <c r="F492" s="2">
        <v>8844.0</v>
      </c>
      <c r="G492" s="2">
        <v>1.0</v>
      </c>
      <c r="H492" s="2">
        <v>0.0</v>
      </c>
      <c r="I492" s="2">
        <v>520000.0</v>
      </c>
      <c r="J492" s="2">
        <v>1.0</v>
      </c>
      <c r="K492" s="2">
        <v>7.0</v>
      </c>
      <c r="O492" s="2" t="s">
        <v>952</v>
      </c>
      <c r="P492" s="2" t="s">
        <v>166</v>
      </c>
      <c r="Q492" s="2"/>
      <c r="R492" s="2" t="s">
        <v>933</v>
      </c>
      <c r="S492" s="11">
        <v>42119.35408564815</v>
      </c>
    </row>
    <row r="493" ht="12.75" customHeight="1">
      <c r="A493" s="2"/>
      <c r="B493" s="2">
        <v>1.0</v>
      </c>
      <c r="C493" s="2" t="s">
        <v>953</v>
      </c>
      <c r="D493" s="2">
        <v>3.20081797E8</v>
      </c>
      <c r="E493" s="2">
        <v>2.900000006E9</v>
      </c>
      <c r="F493" s="2">
        <v>1013.0</v>
      </c>
      <c r="G493" s="2">
        <v>1.0</v>
      </c>
      <c r="H493" s="2">
        <v>0.0</v>
      </c>
      <c r="I493" s="2">
        <v>230000.0</v>
      </c>
      <c r="J493" s="2">
        <v>1.0</v>
      </c>
      <c r="K493" s="2">
        <v>7.0</v>
      </c>
      <c r="O493" s="2" t="s">
        <v>459</v>
      </c>
      <c r="P493" s="2" t="s">
        <v>166</v>
      </c>
      <c r="Q493" s="2"/>
      <c r="R493" s="2" t="s">
        <v>933</v>
      </c>
      <c r="S493" s="11">
        <v>42220.59166666667</v>
      </c>
    </row>
    <row r="494" ht="12.75" customHeight="1">
      <c r="A494" s="2"/>
      <c r="B494" s="2">
        <v>1.0</v>
      </c>
      <c r="C494" s="2" t="s">
        <v>954</v>
      </c>
      <c r="D494" s="2">
        <v>18.0</v>
      </c>
      <c r="E494" s="2">
        <v>2.900000006E9</v>
      </c>
      <c r="F494" s="2">
        <v>5396.0</v>
      </c>
      <c r="G494" s="2">
        <v>1.0</v>
      </c>
      <c r="H494" s="2">
        <v>0.0</v>
      </c>
      <c r="I494" s="2">
        <v>335000.0</v>
      </c>
      <c r="J494" s="2">
        <v>1.0</v>
      </c>
      <c r="K494" s="2">
        <v>7.0</v>
      </c>
      <c r="O494" s="2" t="s">
        <v>955</v>
      </c>
      <c r="P494" s="2" t="s">
        <v>166</v>
      </c>
      <c r="Q494" s="2"/>
      <c r="R494" s="2" t="s">
        <v>933</v>
      </c>
      <c r="S494" s="11">
        <v>42119.35459490741</v>
      </c>
    </row>
    <row r="495" ht="12.75" customHeight="1">
      <c r="A495" s="2"/>
      <c r="B495" s="2">
        <v>1.0</v>
      </c>
      <c r="C495" s="2" t="s">
        <v>956</v>
      </c>
      <c r="D495" s="2">
        <v>3.200818E8</v>
      </c>
      <c r="E495" s="2">
        <v>2.900000006E9</v>
      </c>
      <c r="F495" s="2">
        <v>5425.0</v>
      </c>
      <c r="G495" s="2">
        <v>1.0</v>
      </c>
      <c r="H495" s="2">
        <v>0.0</v>
      </c>
      <c r="I495" s="2">
        <v>335000.0</v>
      </c>
      <c r="J495" s="2">
        <v>1.0</v>
      </c>
      <c r="K495" s="2">
        <v>7.0</v>
      </c>
      <c r="O495" s="2" t="s">
        <v>957</v>
      </c>
      <c r="P495" s="2" t="s">
        <v>166</v>
      </c>
      <c r="Q495" s="2"/>
      <c r="R495" s="2" t="s">
        <v>933</v>
      </c>
      <c r="S495" s="11">
        <v>42220.59166666667</v>
      </c>
    </row>
    <row r="496" ht="12.75" customHeight="1">
      <c r="A496" s="2"/>
      <c r="B496" s="2">
        <v>1.0</v>
      </c>
      <c r="C496" s="2" t="s">
        <v>958</v>
      </c>
      <c r="D496" s="2">
        <v>15.0</v>
      </c>
      <c r="E496" s="2">
        <v>2.900000006E9</v>
      </c>
      <c r="F496" s="2">
        <v>6312.0</v>
      </c>
      <c r="G496" s="2">
        <v>1.0</v>
      </c>
      <c r="H496" s="2">
        <v>0.0</v>
      </c>
      <c r="I496" s="2">
        <v>120000.0</v>
      </c>
      <c r="J496" s="2">
        <v>1.0</v>
      </c>
      <c r="K496" s="2">
        <v>7.0</v>
      </c>
      <c r="O496" s="2" t="s">
        <v>264</v>
      </c>
      <c r="P496" s="2" t="s">
        <v>166</v>
      </c>
      <c r="Q496" s="2"/>
      <c r="R496" s="2" t="s">
        <v>933</v>
      </c>
      <c r="S496" s="11">
        <v>42119.35459490741</v>
      </c>
    </row>
    <row r="497" ht="12.75" customHeight="1">
      <c r="A497" s="2"/>
      <c r="B497" s="2">
        <v>1.0</v>
      </c>
      <c r="C497" s="2" t="s">
        <v>959</v>
      </c>
      <c r="D497" s="2">
        <v>3.20081799E8</v>
      </c>
      <c r="E497" s="2">
        <v>2.900000006E9</v>
      </c>
      <c r="F497" s="2">
        <v>13222.0</v>
      </c>
      <c r="G497" s="2">
        <v>1.0</v>
      </c>
      <c r="H497" s="2">
        <v>0.0</v>
      </c>
      <c r="I497" s="2">
        <v>75000.0</v>
      </c>
      <c r="J497" s="2">
        <v>1.0</v>
      </c>
      <c r="K497" s="2">
        <v>7.0</v>
      </c>
      <c r="O497" s="2" t="s">
        <v>946</v>
      </c>
      <c r="P497" s="2" t="s">
        <v>166</v>
      </c>
      <c r="Q497" s="2"/>
      <c r="R497" s="2" t="s">
        <v>933</v>
      </c>
      <c r="S497" s="11">
        <v>42220.59166666667</v>
      </c>
    </row>
    <row r="498" ht="12.75" customHeight="1">
      <c r="A498" s="2"/>
      <c r="B498" s="2">
        <v>1.0</v>
      </c>
      <c r="C498" s="2" t="s">
        <v>960</v>
      </c>
      <c r="D498" s="2">
        <v>23.0</v>
      </c>
      <c r="E498" s="2">
        <v>2.900000007E9</v>
      </c>
      <c r="F498" s="2">
        <v>58.0</v>
      </c>
      <c r="G498" s="2">
        <v>1.0</v>
      </c>
      <c r="H498" s="2">
        <v>0.0</v>
      </c>
      <c r="I498" s="2">
        <v>120000.0</v>
      </c>
      <c r="J498" s="2">
        <v>1.0</v>
      </c>
      <c r="K498" s="2">
        <v>7.0</v>
      </c>
      <c r="O498" s="2" t="s">
        <v>948</v>
      </c>
      <c r="P498" s="2" t="s">
        <v>166</v>
      </c>
      <c r="Q498" s="2"/>
      <c r="R498" s="2" t="s">
        <v>933</v>
      </c>
      <c r="S498" s="11">
        <v>42119.35524305556</v>
      </c>
    </row>
    <row r="499" ht="12.75" customHeight="1">
      <c r="A499" s="2"/>
      <c r="B499" s="2">
        <v>1.0</v>
      </c>
      <c r="C499" s="2" t="s">
        <v>961</v>
      </c>
      <c r="D499" s="2">
        <v>3.20081805E8</v>
      </c>
      <c r="E499" s="2">
        <v>2.900000007E9</v>
      </c>
      <c r="F499" s="2">
        <v>920.0</v>
      </c>
      <c r="G499" s="2">
        <v>1.0</v>
      </c>
      <c r="H499" s="2">
        <v>0.0</v>
      </c>
      <c r="I499" s="2">
        <v>278000.0</v>
      </c>
      <c r="J499" s="2">
        <v>1.0</v>
      </c>
      <c r="K499" s="2">
        <v>7.0</v>
      </c>
      <c r="O499" s="2" t="s">
        <v>962</v>
      </c>
      <c r="P499" s="2" t="s">
        <v>166</v>
      </c>
      <c r="Q499" s="2"/>
      <c r="R499" s="2" t="s">
        <v>933</v>
      </c>
      <c r="S499" s="11">
        <v>42220.591678240744</v>
      </c>
    </row>
    <row r="500" ht="12.75" customHeight="1">
      <c r="A500" s="2"/>
      <c r="B500" s="2">
        <v>1.0</v>
      </c>
      <c r="C500" s="2" t="s">
        <v>963</v>
      </c>
      <c r="D500" s="2">
        <v>21.0</v>
      </c>
      <c r="E500" s="2">
        <v>2.900000007E9</v>
      </c>
      <c r="F500" s="2">
        <v>4737.0</v>
      </c>
      <c r="G500" s="2">
        <v>1.0</v>
      </c>
      <c r="H500" s="2">
        <v>0.0</v>
      </c>
      <c r="I500" s="2">
        <v>75000.0</v>
      </c>
      <c r="J500" s="2">
        <v>1.0</v>
      </c>
      <c r="K500" s="2">
        <v>7.0</v>
      </c>
      <c r="O500" s="2" t="s">
        <v>964</v>
      </c>
      <c r="P500" s="2" t="s">
        <v>965</v>
      </c>
      <c r="Q500" s="2"/>
      <c r="R500" s="2" t="s">
        <v>933</v>
      </c>
      <c r="S500" s="11">
        <v>42119.35524305556</v>
      </c>
    </row>
    <row r="501" ht="12.75" customHeight="1">
      <c r="A501" s="2"/>
      <c r="B501" s="2">
        <v>1.0</v>
      </c>
      <c r="C501" s="2" t="s">
        <v>966</v>
      </c>
      <c r="D501" s="2">
        <v>3.20081803E8</v>
      </c>
      <c r="E501" s="2">
        <v>2.900000007E9</v>
      </c>
      <c r="F501" s="2">
        <v>8528.0</v>
      </c>
      <c r="G501" s="2">
        <v>1.0</v>
      </c>
      <c r="H501" s="2">
        <v>0.0</v>
      </c>
      <c r="I501" s="2">
        <v>55000.0</v>
      </c>
      <c r="J501" s="2">
        <v>1.0</v>
      </c>
      <c r="K501" s="2">
        <v>7.0</v>
      </c>
      <c r="O501" s="2" t="s">
        <v>531</v>
      </c>
      <c r="P501" s="2" t="s">
        <v>166</v>
      </c>
      <c r="Q501" s="2"/>
      <c r="R501" s="2" t="s">
        <v>933</v>
      </c>
      <c r="S501" s="11">
        <v>42220.591678240744</v>
      </c>
    </row>
    <row r="502" ht="12.75" customHeight="1">
      <c r="A502" s="2"/>
      <c r="B502" s="2">
        <v>1.0</v>
      </c>
      <c r="C502" s="2" t="s">
        <v>967</v>
      </c>
      <c r="D502" s="2">
        <v>27.0</v>
      </c>
      <c r="E502" s="2">
        <v>2.900000008E9</v>
      </c>
      <c r="F502" s="2">
        <v>1012.0</v>
      </c>
      <c r="G502" s="2">
        <v>1.0</v>
      </c>
      <c r="H502" s="2">
        <v>4700.0</v>
      </c>
      <c r="I502" s="2">
        <v>235000.0</v>
      </c>
      <c r="J502" s="2">
        <v>1.0</v>
      </c>
      <c r="K502" s="2">
        <v>7.0</v>
      </c>
      <c r="O502" s="2" t="s">
        <v>968</v>
      </c>
      <c r="P502" s="2" t="s">
        <v>166</v>
      </c>
      <c r="Q502" s="2"/>
      <c r="R502" s="2" t="s">
        <v>933</v>
      </c>
      <c r="S502" s="11">
        <v>42119.35702546296</v>
      </c>
    </row>
    <row r="503" ht="12.75" customHeight="1">
      <c r="A503" s="2"/>
      <c r="B503" s="2">
        <v>1.0</v>
      </c>
      <c r="C503" s="2" t="s">
        <v>969</v>
      </c>
      <c r="D503" s="2">
        <v>3.20081807E8</v>
      </c>
      <c r="E503" s="2">
        <v>2.900000008E9</v>
      </c>
      <c r="F503" s="2">
        <v>2626.0</v>
      </c>
      <c r="G503" s="2">
        <v>1.0</v>
      </c>
      <c r="H503" s="2">
        <v>8360.0</v>
      </c>
      <c r="I503" s="2">
        <v>418000.0</v>
      </c>
      <c r="J503" s="2">
        <v>1.0</v>
      </c>
      <c r="K503" s="2">
        <v>7.0</v>
      </c>
      <c r="O503" s="2" t="s">
        <v>970</v>
      </c>
      <c r="P503" s="2" t="s">
        <v>166</v>
      </c>
      <c r="Q503" s="2"/>
      <c r="R503" s="2" t="s">
        <v>933</v>
      </c>
      <c r="S503" s="11">
        <v>42220.591678240744</v>
      </c>
    </row>
    <row r="504" ht="12.75" customHeight="1">
      <c r="A504" s="2"/>
      <c r="B504" s="2">
        <v>1.0</v>
      </c>
      <c r="C504" s="2" t="s">
        <v>971</v>
      </c>
      <c r="D504" s="2">
        <v>25.0</v>
      </c>
      <c r="E504" s="2">
        <v>2.900000008E9</v>
      </c>
      <c r="F504" s="2">
        <v>7861.0</v>
      </c>
      <c r="G504" s="2">
        <v>1.0</v>
      </c>
      <c r="H504" s="2">
        <v>8700.0</v>
      </c>
      <c r="I504" s="2">
        <v>435000.0</v>
      </c>
      <c r="J504" s="2">
        <v>1.0</v>
      </c>
      <c r="K504" s="2">
        <v>7.0</v>
      </c>
      <c r="O504" s="2" t="s">
        <v>972</v>
      </c>
      <c r="P504" s="2" t="s">
        <v>166</v>
      </c>
      <c r="Q504" s="2"/>
      <c r="R504" s="2" t="s">
        <v>933</v>
      </c>
      <c r="S504" s="11">
        <v>42119.35702546296</v>
      </c>
    </row>
    <row r="505" ht="12.75" customHeight="1">
      <c r="A505" s="2"/>
      <c r="B505" s="2">
        <v>1.0</v>
      </c>
      <c r="C505" s="2" t="s">
        <v>973</v>
      </c>
      <c r="D505" s="2">
        <v>3.20081809E8</v>
      </c>
      <c r="E505" s="2">
        <v>2.900000008E9</v>
      </c>
      <c r="F505" s="2">
        <v>9118.0</v>
      </c>
      <c r="G505" s="2">
        <v>1.0</v>
      </c>
      <c r="H505" s="2">
        <v>680.0</v>
      </c>
      <c r="I505" s="2">
        <v>34000.0</v>
      </c>
      <c r="J505" s="2">
        <v>1.0</v>
      </c>
      <c r="K505" s="2">
        <v>7.0</v>
      </c>
      <c r="O505" s="2" t="s">
        <v>974</v>
      </c>
      <c r="P505" s="2" t="s">
        <v>166</v>
      </c>
      <c r="Q505" s="2"/>
      <c r="R505" s="2" t="s">
        <v>933</v>
      </c>
      <c r="S505" s="11">
        <v>42220.591678240744</v>
      </c>
    </row>
    <row r="506" ht="12.75" customHeight="1">
      <c r="A506" s="2"/>
      <c r="B506" s="2">
        <v>1.0</v>
      </c>
      <c r="C506" s="2" t="s">
        <v>975</v>
      </c>
      <c r="D506" s="2">
        <v>29.0</v>
      </c>
      <c r="E506" s="2">
        <v>2.900000009E9</v>
      </c>
      <c r="F506" s="2">
        <v>12920.0</v>
      </c>
      <c r="G506" s="2">
        <v>1.0</v>
      </c>
      <c r="H506" s="2">
        <v>0.0</v>
      </c>
      <c r="I506" s="2">
        <v>260000.0</v>
      </c>
      <c r="J506" s="2">
        <v>1.0</v>
      </c>
      <c r="K506" s="2">
        <v>7.0</v>
      </c>
      <c r="O506" s="2" t="s">
        <v>976</v>
      </c>
      <c r="P506" s="2" t="s">
        <v>166</v>
      </c>
      <c r="Q506" s="2"/>
      <c r="R506" s="2" t="s">
        <v>933</v>
      </c>
      <c r="S506" s="11">
        <v>42119.35736111111</v>
      </c>
    </row>
    <row r="507" ht="12.75" customHeight="1">
      <c r="A507" s="2"/>
      <c r="B507" s="2">
        <v>1.0</v>
      </c>
      <c r="C507" s="2" t="s">
        <v>977</v>
      </c>
      <c r="D507" s="2">
        <v>3.20075854E8</v>
      </c>
      <c r="E507" s="2">
        <v>2.900003144E9</v>
      </c>
      <c r="F507" s="2">
        <v>6262.0</v>
      </c>
      <c r="G507" s="2">
        <v>1.0</v>
      </c>
      <c r="H507" s="2">
        <v>0.0</v>
      </c>
      <c r="I507" s="2">
        <v>289000.0</v>
      </c>
      <c r="J507" s="2">
        <v>1.0</v>
      </c>
      <c r="K507" s="2">
        <v>7.0</v>
      </c>
      <c r="O507" s="2" t="s">
        <v>978</v>
      </c>
      <c r="P507" s="2" t="s">
        <v>166</v>
      </c>
      <c r="Q507" s="2"/>
      <c r="R507" s="2" t="s">
        <v>933</v>
      </c>
      <c r="S507" s="11">
        <v>42212.72883101852</v>
      </c>
    </row>
    <row r="508" ht="12.75" customHeight="1">
      <c r="A508" s="2"/>
      <c r="B508" s="2">
        <v>1.0</v>
      </c>
      <c r="C508" s="2" t="s">
        <v>979</v>
      </c>
      <c r="D508" s="2">
        <v>3.20075856E8</v>
      </c>
      <c r="E508" s="2">
        <v>2.900003144E9</v>
      </c>
      <c r="F508" s="2">
        <v>8702.0</v>
      </c>
      <c r="G508" s="2">
        <v>1.0</v>
      </c>
      <c r="H508" s="2">
        <v>0.0</v>
      </c>
      <c r="I508" s="2">
        <v>187000.0</v>
      </c>
      <c r="J508" s="2">
        <v>1.0</v>
      </c>
      <c r="K508" s="2">
        <v>7.0</v>
      </c>
      <c r="O508" s="2" t="s">
        <v>980</v>
      </c>
      <c r="P508" s="2" t="s">
        <v>166</v>
      </c>
      <c r="Q508" s="2"/>
      <c r="R508" s="2" t="s">
        <v>933</v>
      </c>
      <c r="S508" s="11">
        <v>42212.72883101852</v>
      </c>
    </row>
    <row r="509" ht="12.75" customHeight="1">
      <c r="A509" s="2"/>
      <c r="B509" s="2">
        <v>1.0</v>
      </c>
      <c r="C509" s="2" t="s">
        <v>981</v>
      </c>
      <c r="D509" s="2">
        <v>3.20075857E8</v>
      </c>
      <c r="E509" s="2">
        <v>2.900003144E9</v>
      </c>
      <c r="F509" s="2">
        <v>8705.0</v>
      </c>
      <c r="G509" s="2">
        <v>1.0</v>
      </c>
      <c r="H509" s="2">
        <v>0.0</v>
      </c>
      <c r="I509" s="2">
        <v>199000.0</v>
      </c>
      <c r="J509" s="2">
        <v>1.0</v>
      </c>
      <c r="K509" s="2">
        <v>7.0</v>
      </c>
      <c r="O509" s="2" t="s">
        <v>982</v>
      </c>
      <c r="P509" s="2" t="s">
        <v>166</v>
      </c>
      <c r="Q509" s="2"/>
      <c r="R509" s="2" t="s">
        <v>933</v>
      </c>
      <c r="S509" s="11">
        <v>42212.72883101852</v>
      </c>
    </row>
    <row r="510" ht="12.75" customHeight="1">
      <c r="A510" s="2"/>
      <c r="B510" s="2">
        <v>1.0</v>
      </c>
      <c r="C510" s="2" t="s">
        <v>983</v>
      </c>
      <c r="D510" s="2">
        <v>3.20075855E8</v>
      </c>
      <c r="E510" s="2">
        <v>2.900003144E9</v>
      </c>
      <c r="F510" s="2">
        <v>13935.0</v>
      </c>
      <c r="G510" s="2">
        <v>1.0</v>
      </c>
      <c r="H510" s="2">
        <v>0.0</v>
      </c>
      <c r="I510" s="2">
        <v>111000.0</v>
      </c>
      <c r="J510" s="2">
        <v>1.0</v>
      </c>
      <c r="K510" s="2">
        <v>7.0</v>
      </c>
      <c r="O510" s="2" t="s">
        <v>984</v>
      </c>
      <c r="P510" s="2" t="s">
        <v>166</v>
      </c>
      <c r="Q510" s="2"/>
      <c r="R510" s="2" t="s">
        <v>933</v>
      </c>
      <c r="S510" s="11">
        <v>42212.72883101852</v>
      </c>
    </row>
    <row r="511" ht="12.75" customHeight="1">
      <c r="A511" s="2"/>
      <c r="B511" s="2">
        <v>1.0</v>
      </c>
      <c r="C511" s="2" t="s">
        <v>985</v>
      </c>
      <c r="D511" s="2">
        <v>3.20075893E8</v>
      </c>
      <c r="E511" s="2">
        <v>2.900003145E9</v>
      </c>
      <c r="F511" s="2">
        <v>58.0</v>
      </c>
      <c r="G511" s="2">
        <v>1.0</v>
      </c>
      <c r="H511" s="2">
        <v>0.0</v>
      </c>
      <c r="I511" s="2">
        <v>120000.0</v>
      </c>
      <c r="J511" s="2">
        <v>1.0</v>
      </c>
      <c r="K511" s="2">
        <v>7.0</v>
      </c>
      <c r="O511" s="2" t="s">
        <v>948</v>
      </c>
      <c r="P511" s="2" t="s">
        <v>166</v>
      </c>
      <c r="Q511" s="2"/>
      <c r="R511" s="2" t="s">
        <v>933</v>
      </c>
      <c r="S511" s="11">
        <v>42212.74694444444</v>
      </c>
    </row>
    <row r="512" ht="12.75" customHeight="1">
      <c r="A512" s="2"/>
      <c r="B512" s="2">
        <v>1.0</v>
      </c>
      <c r="C512" s="2" t="s">
        <v>986</v>
      </c>
      <c r="D512" s="2">
        <v>3.2008182E8</v>
      </c>
      <c r="E512" s="2">
        <v>2.900003145E9</v>
      </c>
      <c r="F512" s="2">
        <v>4985.0</v>
      </c>
      <c r="G512" s="2">
        <v>1.0</v>
      </c>
      <c r="H512" s="2">
        <v>0.0</v>
      </c>
      <c r="I512" s="2">
        <v>125000.0</v>
      </c>
      <c r="J512" s="2">
        <v>1.0</v>
      </c>
      <c r="K512" s="2">
        <v>7.0</v>
      </c>
      <c r="O512" s="2" t="s">
        <v>775</v>
      </c>
      <c r="P512" s="2" t="s">
        <v>166</v>
      </c>
      <c r="Q512" s="2"/>
      <c r="R512" s="2" t="s">
        <v>933</v>
      </c>
      <c r="S512" s="11">
        <v>42220.593935185185</v>
      </c>
    </row>
    <row r="513" ht="12.75" customHeight="1">
      <c r="A513" s="2"/>
      <c r="B513" s="2">
        <v>1.0</v>
      </c>
      <c r="C513" s="2" t="s">
        <v>987</v>
      </c>
      <c r="D513" s="2">
        <v>3.20075894E8</v>
      </c>
      <c r="E513" s="2">
        <v>2.900003145E9</v>
      </c>
      <c r="F513" s="2">
        <v>5251.0</v>
      </c>
      <c r="G513" s="2">
        <v>1.0</v>
      </c>
      <c r="H513" s="2">
        <v>0.0</v>
      </c>
      <c r="I513" s="2">
        <v>195000.0</v>
      </c>
      <c r="J513" s="2">
        <v>1.0</v>
      </c>
      <c r="K513" s="2">
        <v>7.0</v>
      </c>
      <c r="O513" s="2" t="s">
        <v>988</v>
      </c>
      <c r="P513" s="2" t="s">
        <v>166</v>
      </c>
      <c r="Q513" s="2"/>
      <c r="R513" s="2" t="s">
        <v>933</v>
      </c>
      <c r="S513" s="11">
        <v>42212.74694444444</v>
      </c>
    </row>
    <row r="514" ht="12.75" customHeight="1">
      <c r="A514" s="2"/>
      <c r="B514" s="2">
        <v>1.0</v>
      </c>
      <c r="C514" s="2" t="s">
        <v>989</v>
      </c>
      <c r="D514" s="2">
        <v>3.20075895E8</v>
      </c>
      <c r="E514" s="2">
        <v>2.900003145E9</v>
      </c>
      <c r="F514" s="2">
        <v>6538.0</v>
      </c>
      <c r="G514" s="2">
        <v>1.0</v>
      </c>
      <c r="H514" s="2">
        <v>0.0</v>
      </c>
      <c r="I514" s="2">
        <v>495000.0</v>
      </c>
      <c r="J514" s="2">
        <v>1.0</v>
      </c>
      <c r="K514" s="2">
        <v>7.0</v>
      </c>
      <c r="O514" s="2" t="s">
        <v>990</v>
      </c>
      <c r="P514" s="2" t="s">
        <v>166</v>
      </c>
      <c r="Q514" s="2"/>
      <c r="R514" s="2" t="s">
        <v>933</v>
      </c>
      <c r="S514" s="11">
        <v>42212.74694444444</v>
      </c>
    </row>
    <row r="515" ht="12.75" customHeight="1">
      <c r="A515" s="2"/>
      <c r="B515" s="2">
        <v>1.0</v>
      </c>
      <c r="C515" s="2" t="s">
        <v>991</v>
      </c>
      <c r="D515" s="2">
        <v>3.20081819E8</v>
      </c>
      <c r="E515" s="2">
        <v>2.900003146E9</v>
      </c>
      <c r="F515" s="2">
        <v>2641.0</v>
      </c>
      <c r="G515" s="2">
        <v>1.0</v>
      </c>
      <c r="H515" s="2">
        <v>0.0</v>
      </c>
      <c r="I515" s="2">
        <v>341000.0</v>
      </c>
      <c r="J515" s="2">
        <v>1.0</v>
      </c>
      <c r="K515" s="2">
        <v>7.0</v>
      </c>
      <c r="O515" s="2" t="s">
        <v>992</v>
      </c>
      <c r="P515" s="2" t="s">
        <v>166</v>
      </c>
      <c r="Q515" s="2"/>
      <c r="R515" s="2" t="s">
        <v>933</v>
      </c>
      <c r="S515" s="11">
        <v>42220.593935185185</v>
      </c>
    </row>
    <row r="516" ht="12.75" customHeight="1">
      <c r="A516" s="2"/>
      <c r="B516" s="2">
        <v>1.0</v>
      </c>
      <c r="C516" s="2" t="s">
        <v>993</v>
      </c>
      <c r="D516" s="2">
        <v>3.20081818E8</v>
      </c>
      <c r="E516" s="2">
        <v>2.900003146E9</v>
      </c>
      <c r="F516" s="2">
        <v>6209.0</v>
      </c>
      <c r="G516" s="2">
        <v>1.0</v>
      </c>
      <c r="H516" s="2">
        <v>0.0</v>
      </c>
      <c r="I516" s="2">
        <v>55000.0</v>
      </c>
      <c r="J516" s="2">
        <v>1.0</v>
      </c>
      <c r="K516" s="2">
        <v>7.0</v>
      </c>
      <c r="O516" s="2" t="s">
        <v>994</v>
      </c>
      <c r="P516" s="2" t="s">
        <v>166</v>
      </c>
      <c r="Q516" s="2"/>
      <c r="R516" s="2" t="s">
        <v>933</v>
      </c>
      <c r="S516" s="11">
        <v>42220.593935185185</v>
      </c>
    </row>
    <row r="517" ht="12.75" customHeight="1">
      <c r="A517" s="2"/>
      <c r="B517" s="2">
        <v>1.0</v>
      </c>
      <c r="C517" s="2" t="s">
        <v>995</v>
      </c>
      <c r="D517" s="2">
        <v>3.20075911E8</v>
      </c>
      <c r="E517" s="2">
        <v>2.900003147E9</v>
      </c>
      <c r="F517" s="2">
        <v>4806.0</v>
      </c>
      <c r="G517" s="2">
        <v>1.0</v>
      </c>
      <c r="H517" s="2">
        <v>0.0</v>
      </c>
      <c r="I517" s="2">
        <v>86000.0</v>
      </c>
      <c r="J517" s="2">
        <v>1.0</v>
      </c>
      <c r="K517" s="2">
        <v>7.0</v>
      </c>
      <c r="O517" s="2" t="s">
        <v>864</v>
      </c>
      <c r="P517" s="2" t="s">
        <v>166</v>
      </c>
      <c r="Q517" s="2"/>
      <c r="R517" s="2" t="s">
        <v>933</v>
      </c>
      <c r="S517" s="11">
        <v>42212.75679398148</v>
      </c>
    </row>
    <row r="518" ht="12.75" customHeight="1">
      <c r="A518" s="2"/>
      <c r="B518" s="2">
        <v>1.0</v>
      </c>
      <c r="C518" s="2" t="s">
        <v>996</v>
      </c>
      <c r="D518" s="2">
        <v>3.20081825E8</v>
      </c>
      <c r="E518" s="2">
        <v>2.900003148E9</v>
      </c>
      <c r="F518" s="2">
        <v>7735.0</v>
      </c>
      <c r="G518" s="2">
        <v>1.0</v>
      </c>
      <c r="H518" s="2">
        <v>0.0</v>
      </c>
      <c r="I518" s="2">
        <v>455000.0</v>
      </c>
      <c r="J518" s="2">
        <v>1.0</v>
      </c>
      <c r="K518" s="2">
        <v>7.0</v>
      </c>
      <c r="O518" s="2" t="s">
        <v>997</v>
      </c>
      <c r="P518" s="2" t="s">
        <v>166</v>
      </c>
      <c r="Q518" s="2"/>
      <c r="R518" s="2" t="s">
        <v>933</v>
      </c>
      <c r="S518" s="11">
        <v>42220.593935185185</v>
      </c>
    </row>
    <row r="519" ht="12.75" customHeight="1">
      <c r="A519" s="2"/>
      <c r="B519" s="2">
        <v>1.0</v>
      </c>
      <c r="C519" s="2" t="s">
        <v>998</v>
      </c>
      <c r="D519" s="2">
        <v>3.20081826E8</v>
      </c>
      <c r="E519" s="2">
        <v>2.900003149E9</v>
      </c>
      <c r="F519" s="2">
        <v>4410.0</v>
      </c>
      <c r="G519" s="2">
        <v>1.0</v>
      </c>
      <c r="H519" s="2">
        <v>0.0</v>
      </c>
      <c r="I519" s="2">
        <v>99000.0</v>
      </c>
      <c r="J519" s="2">
        <v>1.0</v>
      </c>
      <c r="K519" s="2">
        <v>7.0</v>
      </c>
      <c r="O519" s="2" t="s">
        <v>999</v>
      </c>
      <c r="P519" s="2" t="s">
        <v>166</v>
      </c>
      <c r="Q519" s="2"/>
      <c r="R519" s="2" t="s">
        <v>933</v>
      </c>
      <c r="S519" s="11">
        <v>42220.593935185185</v>
      </c>
    </row>
    <row r="520" ht="12.75" customHeight="1">
      <c r="A520" s="2"/>
      <c r="B520" s="2">
        <v>1.0</v>
      </c>
      <c r="C520" s="2" t="s">
        <v>1000</v>
      </c>
      <c r="D520" s="2">
        <v>3.2007597E8</v>
      </c>
      <c r="E520" s="2">
        <v>2.90000315E9</v>
      </c>
      <c r="F520" s="2">
        <v>1941.0</v>
      </c>
      <c r="G520" s="2">
        <v>1.0</v>
      </c>
      <c r="H520" s="2">
        <v>0.0</v>
      </c>
      <c r="I520" s="2">
        <v>118000.0</v>
      </c>
      <c r="J520" s="2">
        <v>1.0</v>
      </c>
      <c r="K520" s="2">
        <v>7.0</v>
      </c>
      <c r="O520" s="2" t="s">
        <v>1001</v>
      </c>
      <c r="P520" s="2" t="s">
        <v>166</v>
      </c>
      <c r="Q520" s="2"/>
      <c r="R520" s="2" t="s">
        <v>933</v>
      </c>
      <c r="S520" s="11">
        <v>42212.861666666664</v>
      </c>
    </row>
    <row r="521" ht="12.75" customHeight="1">
      <c r="A521" s="2"/>
      <c r="B521" s="2">
        <v>1.0</v>
      </c>
      <c r="C521" s="2" t="s">
        <v>1002</v>
      </c>
      <c r="D521" s="2">
        <v>3.20081828E8</v>
      </c>
      <c r="E521" s="2">
        <v>2.90000315E9</v>
      </c>
      <c r="F521" s="2">
        <v>13787.0</v>
      </c>
      <c r="G521" s="2">
        <v>1.0</v>
      </c>
      <c r="H521" s="2">
        <v>0.0</v>
      </c>
      <c r="I521" s="2">
        <v>127000.0</v>
      </c>
      <c r="J521" s="2">
        <v>1.0</v>
      </c>
      <c r="K521" s="2">
        <v>7.0</v>
      </c>
      <c r="O521" s="2" t="s">
        <v>1003</v>
      </c>
      <c r="P521" s="2" t="s">
        <v>166</v>
      </c>
      <c r="Q521" s="2"/>
      <c r="R521" s="2" t="s">
        <v>933</v>
      </c>
      <c r="S521" s="11">
        <v>42220.593935185185</v>
      </c>
    </row>
    <row r="522" ht="12.75" customHeight="1">
      <c r="A522" s="2"/>
      <c r="B522" s="2">
        <v>1.0</v>
      </c>
      <c r="C522" s="2" t="s">
        <v>1004</v>
      </c>
      <c r="D522" s="2">
        <v>3.20076499E8</v>
      </c>
      <c r="E522" s="2">
        <v>2.900003151E9</v>
      </c>
      <c r="F522" s="2">
        <v>13049.0</v>
      </c>
      <c r="G522" s="2">
        <v>1.0</v>
      </c>
      <c r="H522" s="2">
        <v>0.0</v>
      </c>
      <c r="I522" s="2">
        <v>99000.0</v>
      </c>
      <c r="J522" s="2">
        <v>1.0</v>
      </c>
      <c r="K522" s="2">
        <v>7.0</v>
      </c>
      <c r="O522" s="2" t="s">
        <v>589</v>
      </c>
      <c r="P522" s="2" t="s">
        <v>166</v>
      </c>
      <c r="Q522" s="2"/>
      <c r="R522" s="2" t="s">
        <v>933</v>
      </c>
      <c r="S522" s="11">
        <v>42213.33898148148</v>
      </c>
    </row>
    <row r="523" ht="12.75" customHeight="1">
      <c r="A523" s="2"/>
      <c r="B523" s="2">
        <v>1.0</v>
      </c>
      <c r="C523" s="2" t="s">
        <v>1005</v>
      </c>
      <c r="D523" s="2">
        <v>3.2007652E8</v>
      </c>
      <c r="E523" s="2">
        <v>2.900003152E9</v>
      </c>
      <c r="F523" s="2">
        <v>15237.0</v>
      </c>
      <c r="G523" s="2">
        <v>1.0</v>
      </c>
      <c r="H523" s="2">
        <v>0.0</v>
      </c>
      <c r="I523" s="2">
        <v>285000.0</v>
      </c>
      <c r="J523" s="2">
        <v>1.0</v>
      </c>
      <c r="K523" s="2">
        <v>7.0</v>
      </c>
      <c r="O523" s="2" t="s">
        <v>1006</v>
      </c>
      <c r="P523" s="2" t="s">
        <v>166</v>
      </c>
      <c r="Q523" s="2"/>
      <c r="R523" s="2" t="s">
        <v>933</v>
      </c>
      <c r="S523" s="11">
        <v>42213.35984953704</v>
      </c>
    </row>
    <row r="524" ht="12.75" customHeight="1">
      <c r="A524" s="2"/>
      <c r="B524" s="2">
        <v>1.0</v>
      </c>
      <c r="C524" s="2" t="s">
        <v>1007</v>
      </c>
      <c r="D524" s="2">
        <v>3.20076521E8</v>
      </c>
      <c r="E524" s="2">
        <v>2.900003153E9</v>
      </c>
      <c r="F524" s="2">
        <v>63.0</v>
      </c>
      <c r="G524" s="2">
        <v>1.0</v>
      </c>
      <c r="H524" s="2">
        <v>0.0</v>
      </c>
      <c r="I524" s="2">
        <v>225000.0</v>
      </c>
      <c r="J524" s="2">
        <v>1.0</v>
      </c>
      <c r="K524" s="2">
        <v>7.0</v>
      </c>
      <c r="O524" s="2" t="s">
        <v>1008</v>
      </c>
      <c r="P524" s="2" t="s">
        <v>166</v>
      </c>
      <c r="Q524" s="2"/>
      <c r="R524" s="2" t="s">
        <v>933</v>
      </c>
      <c r="S524" s="11">
        <v>42213.36574074074</v>
      </c>
    </row>
    <row r="525" ht="12.75" customHeight="1">
      <c r="A525" s="2"/>
      <c r="B525" s="2">
        <v>1.0</v>
      </c>
      <c r="C525" s="2" t="s">
        <v>1009</v>
      </c>
      <c r="D525" s="2">
        <v>3.20076579E8</v>
      </c>
      <c r="E525" s="2">
        <v>2.900003154E9</v>
      </c>
      <c r="F525" s="2">
        <v>1810.0</v>
      </c>
      <c r="G525" s="2">
        <v>1.0</v>
      </c>
      <c r="H525" s="2">
        <v>0.0</v>
      </c>
      <c r="I525" s="2">
        <v>98000.0</v>
      </c>
      <c r="J525" s="2">
        <v>1.0</v>
      </c>
      <c r="K525" s="2">
        <v>7.0</v>
      </c>
      <c r="O525" s="2" t="s">
        <v>1010</v>
      </c>
      <c r="P525" s="2" t="s">
        <v>166</v>
      </c>
      <c r="Q525" s="2"/>
      <c r="R525" s="2" t="s">
        <v>933</v>
      </c>
      <c r="S525" s="11">
        <v>42213.384618055556</v>
      </c>
    </row>
    <row r="526" ht="12.75" customHeight="1">
      <c r="A526" s="2"/>
      <c r="B526" s="2">
        <v>1.0</v>
      </c>
      <c r="C526" s="2" t="s">
        <v>1011</v>
      </c>
      <c r="D526" s="2">
        <v>3.20081833E8</v>
      </c>
      <c r="E526" s="2">
        <v>2.900003154E9</v>
      </c>
      <c r="F526" s="2">
        <v>4409.0</v>
      </c>
      <c r="G526" s="2">
        <v>1.0</v>
      </c>
      <c r="H526" s="2">
        <v>0.0</v>
      </c>
      <c r="I526" s="2">
        <v>83000.0</v>
      </c>
      <c r="J526" s="2">
        <v>1.0</v>
      </c>
      <c r="K526" s="2">
        <v>7.0</v>
      </c>
      <c r="O526" s="2" t="s">
        <v>1012</v>
      </c>
      <c r="P526" s="2" t="s">
        <v>166</v>
      </c>
      <c r="Q526" s="2"/>
      <c r="R526" s="2" t="s">
        <v>933</v>
      </c>
      <c r="S526" s="11">
        <v>42220.59394675926</v>
      </c>
    </row>
    <row r="527" ht="12.75" customHeight="1">
      <c r="A527" s="2"/>
      <c r="B527" s="2">
        <v>1.0</v>
      </c>
      <c r="C527" s="2" t="s">
        <v>1013</v>
      </c>
      <c r="D527" s="2">
        <v>3.2007661E8</v>
      </c>
      <c r="E527" s="2">
        <v>2.900003155E9</v>
      </c>
      <c r="F527" s="2">
        <v>8049.0</v>
      </c>
      <c r="G527" s="2">
        <v>1.0</v>
      </c>
      <c r="H527" s="2">
        <v>0.0</v>
      </c>
      <c r="I527" s="2">
        <v>530000.0</v>
      </c>
      <c r="J527" s="2">
        <v>1.0</v>
      </c>
      <c r="K527" s="2">
        <v>7.0</v>
      </c>
      <c r="O527" s="2" t="s">
        <v>1014</v>
      </c>
      <c r="P527" s="2" t="s">
        <v>166</v>
      </c>
      <c r="Q527" s="2"/>
      <c r="R527" s="2" t="s">
        <v>933</v>
      </c>
      <c r="S527" s="11">
        <v>42213.40603009259</v>
      </c>
    </row>
    <row r="528" ht="12.75" customHeight="1">
      <c r="A528" s="2"/>
      <c r="B528" s="2">
        <v>1.0</v>
      </c>
      <c r="C528" s="2" t="s">
        <v>1015</v>
      </c>
      <c r="D528" s="2">
        <v>3.20076691E8</v>
      </c>
      <c r="E528" s="2">
        <v>2.900003156E9</v>
      </c>
      <c r="F528" s="2">
        <v>8160.0</v>
      </c>
      <c r="G528" s="2">
        <v>-1.0</v>
      </c>
      <c r="H528" s="2">
        <v>0.0</v>
      </c>
      <c r="I528" s="2">
        <v>-239000.0</v>
      </c>
      <c r="J528" s="2">
        <v>1.0</v>
      </c>
      <c r="K528" s="2">
        <v>7.0</v>
      </c>
      <c r="O528" s="2" t="s">
        <v>904</v>
      </c>
      <c r="P528" s="2" t="s">
        <v>166</v>
      </c>
      <c r="Q528" s="2"/>
      <c r="R528" s="2" t="s">
        <v>933</v>
      </c>
      <c r="S528" s="11">
        <v>42213.45670138889</v>
      </c>
    </row>
    <row r="529" ht="12.75" customHeight="1">
      <c r="A529" s="2"/>
      <c r="B529" s="2">
        <v>1.0</v>
      </c>
      <c r="C529" s="2" t="s">
        <v>1016</v>
      </c>
      <c r="D529" s="2">
        <v>3.20076713E8</v>
      </c>
      <c r="E529" s="2">
        <v>2.900003157E9</v>
      </c>
      <c r="F529" s="2">
        <v>7066.0</v>
      </c>
      <c r="G529" s="2">
        <v>1.0</v>
      </c>
      <c r="H529" s="2">
        <v>0.0</v>
      </c>
      <c r="I529" s="2">
        <v>398000.0</v>
      </c>
      <c r="J529" s="2">
        <v>1.0</v>
      </c>
      <c r="K529" s="2">
        <v>7.0</v>
      </c>
      <c r="O529" s="2" t="s">
        <v>1017</v>
      </c>
      <c r="P529" s="2" t="s">
        <v>166</v>
      </c>
      <c r="Q529" s="2"/>
      <c r="R529" s="2" t="s">
        <v>933</v>
      </c>
      <c r="S529" s="11">
        <v>42213.4756712963</v>
      </c>
    </row>
    <row r="530" ht="12.75" customHeight="1">
      <c r="A530" s="2"/>
      <c r="B530" s="2">
        <v>1.0</v>
      </c>
      <c r="C530" s="2" t="s">
        <v>1018</v>
      </c>
      <c r="D530" s="2">
        <v>3.20076714E8</v>
      </c>
      <c r="E530" s="2">
        <v>2.900003157E9</v>
      </c>
      <c r="F530" s="2">
        <v>11897.0</v>
      </c>
      <c r="G530" s="2">
        <v>1.0</v>
      </c>
      <c r="H530" s="2">
        <v>0.0</v>
      </c>
      <c r="I530" s="2">
        <v>385000.0</v>
      </c>
      <c r="J530" s="2">
        <v>1.0</v>
      </c>
      <c r="K530" s="2">
        <v>7.0</v>
      </c>
      <c r="O530" s="2" t="s">
        <v>1019</v>
      </c>
      <c r="P530" s="2" t="s">
        <v>166</v>
      </c>
      <c r="Q530" s="2"/>
      <c r="R530" s="2" t="s">
        <v>933</v>
      </c>
      <c r="S530" s="11">
        <v>42213.47568287037</v>
      </c>
    </row>
    <row r="531" ht="12.75" customHeight="1">
      <c r="A531" s="2"/>
      <c r="B531" s="2">
        <v>1.0</v>
      </c>
      <c r="C531" s="2" t="s">
        <v>1020</v>
      </c>
      <c r="D531" s="2">
        <v>3.20081839E8</v>
      </c>
      <c r="E531" s="2">
        <v>2.900003158E9</v>
      </c>
      <c r="F531" s="2">
        <v>13133.0</v>
      </c>
      <c r="G531" s="2">
        <v>1.0</v>
      </c>
      <c r="H531" s="2">
        <v>0.0</v>
      </c>
      <c r="I531" s="2">
        <v>290000.0</v>
      </c>
      <c r="J531" s="2">
        <v>1.0</v>
      </c>
      <c r="K531" s="2">
        <v>7.0</v>
      </c>
      <c r="O531" s="2" t="s">
        <v>1021</v>
      </c>
      <c r="P531" s="2" t="s">
        <v>166</v>
      </c>
      <c r="Q531" s="2"/>
      <c r="R531" s="2" t="s">
        <v>933</v>
      </c>
      <c r="S531" s="11">
        <v>42220.59394675926</v>
      </c>
    </row>
    <row r="532" ht="12.75" customHeight="1">
      <c r="A532" s="2"/>
      <c r="B532" s="2">
        <v>1.0</v>
      </c>
      <c r="C532" s="2" t="s">
        <v>1022</v>
      </c>
      <c r="D532" s="2">
        <v>3.20081838E8</v>
      </c>
      <c r="E532" s="2">
        <v>2.900003158E9</v>
      </c>
      <c r="F532" s="2">
        <v>1.4000062E7</v>
      </c>
      <c r="G532" s="2">
        <v>1.0</v>
      </c>
      <c r="H532" s="2">
        <v>0.0</v>
      </c>
      <c r="I532" s="2">
        <v>365000.0</v>
      </c>
      <c r="J532" s="2">
        <v>1.0</v>
      </c>
      <c r="K532" s="2">
        <v>7.0</v>
      </c>
      <c r="O532" s="2" t="s">
        <v>422</v>
      </c>
      <c r="P532" s="2" t="s">
        <v>166</v>
      </c>
      <c r="Q532" s="2"/>
      <c r="R532" s="2" t="s">
        <v>933</v>
      </c>
      <c r="S532" s="11">
        <v>42220.59394675926</v>
      </c>
    </row>
    <row r="533" ht="12.75" customHeight="1">
      <c r="A533" s="2"/>
      <c r="B533" s="2">
        <v>1.0</v>
      </c>
      <c r="C533" s="2" t="s">
        <v>1023</v>
      </c>
      <c r="D533" s="2">
        <v>3.20076847E8</v>
      </c>
      <c r="E533" s="2">
        <v>2.900003159E9</v>
      </c>
      <c r="F533" s="2">
        <v>7547.0</v>
      </c>
      <c r="G533" s="2">
        <v>1.0</v>
      </c>
      <c r="H533" s="2">
        <v>0.0</v>
      </c>
      <c r="I533" s="2">
        <v>330000.0</v>
      </c>
      <c r="J533" s="2">
        <v>1.0</v>
      </c>
      <c r="K533" s="2">
        <v>7.0</v>
      </c>
      <c r="O533" s="2" t="s">
        <v>221</v>
      </c>
      <c r="P533" s="2" t="s">
        <v>166</v>
      </c>
      <c r="Q533" s="2"/>
      <c r="R533" s="2" t="s">
        <v>933</v>
      </c>
      <c r="S533" s="11">
        <v>42213.585381944446</v>
      </c>
    </row>
    <row r="534" ht="12.75" customHeight="1">
      <c r="A534" s="2"/>
      <c r="B534" s="2">
        <v>1.0</v>
      </c>
      <c r="C534" s="2" t="s">
        <v>1024</v>
      </c>
      <c r="D534" s="2">
        <v>3.20076871E8</v>
      </c>
      <c r="E534" s="2">
        <v>2.90000316E9</v>
      </c>
      <c r="F534" s="2">
        <v>3243.0</v>
      </c>
      <c r="G534" s="2">
        <v>1.0</v>
      </c>
      <c r="H534" s="2">
        <v>0.0</v>
      </c>
      <c r="I534" s="2">
        <v>295000.0</v>
      </c>
      <c r="J534" s="2">
        <v>1.0</v>
      </c>
      <c r="K534" s="2">
        <v>7.0</v>
      </c>
      <c r="O534" s="2" t="s">
        <v>519</v>
      </c>
      <c r="P534" s="2" t="s">
        <v>166</v>
      </c>
      <c r="Q534" s="2"/>
      <c r="R534" s="2" t="s">
        <v>933</v>
      </c>
      <c r="S534" s="11">
        <v>42213.61709490741</v>
      </c>
    </row>
    <row r="535" ht="12.75" customHeight="1">
      <c r="A535" s="2"/>
      <c r="B535" s="2">
        <v>1.0</v>
      </c>
      <c r="C535" s="2" t="s">
        <v>1025</v>
      </c>
      <c r="D535" s="2">
        <v>3.20076891E8</v>
      </c>
      <c r="E535" s="2">
        <v>2.900003161E9</v>
      </c>
      <c r="F535" s="2">
        <v>13784.0</v>
      </c>
      <c r="G535" s="2">
        <v>1.0</v>
      </c>
      <c r="H535" s="2">
        <v>0.0</v>
      </c>
      <c r="I535" s="2">
        <v>127000.0</v>
      </c>
      <c r="J535" s="2">
        <v>1.0</v>
      </c>
      <c r="K535" s="2">
        <v>7.0</v>
      </c>
      <c r="O535" s="2" t="s">
        <v>1026</v>
      </c>
      <c r="P535" s="2" t="s">
        <v>166</v>
      </c>
      <c r="Q535" s="2"/>
      <c r="R535" s="2" t="s">
        <v>933</v>
      </c>
      <c r="S535" s="11">
        <v>42213.64685185185</v>
      </c>
    </row>
    <row r="536" ht="12.75" customHeight="1">
      <c r="A536" s="2"/>
      <c r="B536" s="2">
        <v>1.0</v>
      </c>
      <c r="C536" s="2" t="s">
        <v>1027</v>
      </c>
      <c r="D536" s="2">
        <v>3.20081843E8</v>
      </c>
      <c r="E536" s="2">
        <v>2.900003161E9</v>
      </c>
      <c r="F536" s="2">
        <v>13814.0</v>
      </c>
      <c r="G536" s="2">
        <v>2.0</v>
      </c>
      <c r="H536" s="2">
        <v>0.0</v>
      </c>
      <c r="I536" s="2">
        <v>390000.0</v>
      </c>
      <c r="J536" s="2">
        <v>1.0</v>
      </c>
      <c r="K536" s="2">
        <v>7.0</v>
      </c>
      <c r="O536" s="2" t="s">
        <v>486</v>
      </c>
      <c r="P536" s="2" t="s">
        <v>166</v>
      </c>
      <c r="Q536" s="2"/>
      <c r="R536" s="2" t="s">
        <v>933</v>
      </c>
      <c r="S536" s="11">
        <v>42220.59394675926</v>
      </c>
    </row>
    <row r="537" ht="12.75" customHeight="1">
      <c r="A537" s="2"/>
      <c r="B537" s="2">
        <v>1.0</v>
      </c>
      <c r="C537" s="2" t="s">
        <v>1028</v>
      </c>
      <c r="D537" s="2">
        <v>3.20076919E8</v>
      </c>
      <c r="E537" s="2">
        <v>2.900003162E9</v>
      </c>
      <c r="F537" s="2">
        <v>8627.0</v>
      </c>
      <c r="G537" s="2">
        <v>1.0</v>
      </c>
      <c r="H537" s="2">
        <v>0.0</v>
      </c>
      <c r="I537" s="2">
        <v>435000.0</v>
      </c>
      <c r="J537" s="2">
        <v>1.0</v>
      </c>
      <c r="K537" s="2">
        <v>7.0</v>
      </c>
      <c r="O537" s="2" t="s">
        <v>1029</v>
      </c>
      <c r="P537" s="2" t="s">
        <v>166</v>
      </c>
      <c r="Q537" s="2"/>
      <c r="R537" s="2" t="s">
        <v>933</v>
      </c>
      <c r="S537" s="11">
        <v>42213.66824074074</v>
      </c>
    </row>
    <row r="538" ht="12.75" customHeight="1">
      <c r="A538" s="2"/>
      <c r="B538" s="2">
        <v>1.0</v>
      </c>
      <c r="C538" s="2" t="s">
        <v>1030</v>
      </c>
      <c r="D538" s="2">
        <v>3.20081845E8</v>
      </c>
      <c r="E538" s="2">
        <v>2.900003163E9</v>
      </c>
      <c r="F538" s="2">
        <v>14207.0</v>
      </c>
      <c r="G538" s="2">
        <v>1.0</v>
      </c>
      <c r="H538" s="2">
        <v>0.0</v>
      </c>
      <c r="I538" s="2">
        <v>135000.0</v>
      </c>
      <c r="J538" s="2">
        <v>1.0</v>
      </c>
      <c r="K538" s="2">
        <v>7.0</v>
      </c>
      <c r="O538" s="2" t="s">
        <v>1031</v>
      </c>
      <c r="P538" s="2" t="s">
        <v>166</v>
      </c>
      <c r="Q538" s="2"/>
      <c r="R538" s="2" t="s">
        <v>933</v>
      </c>
      <c r="S538" s="11">
        <v>42220.59394675926</v>
      </c>
    </row>
    <row r="539" ht="12.75" customHeight="1">
      <c r="A539" s="2"/>
      <c r="B539" s="2">
        <v>1.0</v>
      </c>
      <c r="C539" s="2" t="s">
        <v>1032</v>
      </c>
      <c r="D539" s="2">
        <v>3.20076922E8</v>
      </c>
      <c r="E539" s="2">
        <v>2.900003163E9</v>
      </c>
      <c r="F539" s="2">
        <v>14839.0</v>
      </c>
      <c r="G539" s="2">
        <v>1.0</v>
      </c>
      <c r="H539" s="2">
        <v>0.0</v>
      </c>
      <c r="I539" s="2">
        <v>181000.0</v>
      </c>
      <c r="J539" s="2">
        <v>1.0</v>
      </c>
      <c r="K539" s="2">
        <v>7.0</v>
      </c>
      <c r="O539" s="2" t="s">
        <v>1033</v>
      </c>
      <c r="P539" s="2" t="s">
        <v>166</v>
      </c>
      <c r="Q539" s="2"/>
      <c r="R539" s="2" t="s">
        <v>933</v>
      </c>
      <c r="S539" s="11">
        <v>42213.66841435185</v>
      </c>
    </row>
    <row r="540" ht="12.75" customHeight="1">
      <c r="A540" s="2"/>
      <c r="B540" s="2">
        <v>1.0</v>
      </c>
      <c r="C540" s="2" t="s">
        <v>1034</v>
      </c>
      <c r="D540" s="2">
        <v>3.20081846E8</v>
      </c>
      <c r="E540" s="2">
        <v>2.900003163E9</v>
      </c>
      <c r="F540" s="2">
        <v>3.1000071E7</v>
      </c>
      <c r="G540" s="2">
        <v>1.0</v>
      </c>
      <c r="H540" s="2">
        <v>0.0</v>
      </c>
      <c r="I540" s="2">
        <v>71000.0</v>
      </c>
      <c r="J540" s="2">
        <v>1.0</v>
      </c>
      <c r="K540" s="2">
        <v>7.0</v>
      </c>
      <c r="O540" s="2" t="s">
        <v>1035</v>
      </c>
      <c r="P540" s="2" t="s">
        <v>166</v>
      </c>
      <c r="Q540" s="2"/>
      <c r="R540" s="2" t="s">
        <v>933</v>
      </c>
      <c r="S540" s="11">
        <v>42220.59395833333</v>
      </c>
    </row>
    <row r="541" ht="12.75" customHeight="1">
      <c r="A541" s="2"/>
      <c r="B541" s="2">
        <v>1.0</v>
      </c>
      <c r="C541" s="2" t="s">
        <v>1036</v>
      </c>
      <c r="D541" s="2">
        <v>3.20077084E8</v>
      </c>
      <c r="E541" s="2">
        <v>2.900003164E9</v>
      </c>
      <c r="F541" s="2">
        <v>4806.0</v>
      </c>
      <c r="G541" s="2">
        <v>1.0</v>
      </c>
      <c r="H541" s="2">
        <v>0.0</v>
      </c>
      <c r="I541" s="2">
        <v>86000.0</v>
      </c>
      <c r="J541" s="2">
        <v>1.0</v>
      </c>
      <c r="K541" s="2">
        <v>7.0</v>
      </c>
      <c r="O541" s="2" t="s">
        <v>864</v>
      </c>
      <c r="P541" s="2" t="s">
        <v>166</v>
      </c>
      <c r="Q541" s="2"/>
      <c r="R541" s="2" t="s">
        <v>933</v>
      </c>
      <c r="S541" s="11">
        <v>42213.86398148148</v>
      </c>
    </row>
    <row r="542" ht="12.75" customHeight="1">
      <c r="A542" s="2"/>
      <c r="B542" s="2">
        <v>1.0</v>
      </c>
      <c r="C542" s="2" t="s">
        <v>1037</v>
      </c>
      <c r="D542" s="2">
        <v>3.20081851E8</v>
      </c>
      <c r="E542" s="2">
        <v>2.900003164E9</v>
      </c>
      <c r="F542" s="2">
        <v>8121.0</v>
      </c>
      <c r="G542" s="2">
        <v>1.0</v>
      </c>
      <c r="H542" s="2">
        <v>0.0</v>
      </c>
      <c r="I542" s="2">
        <v>330000.0</v>
      </c>
      <c r="J542" s="2">
        <v>1.0</v>
      </c>
      <c r="K542" s="2">
        <v>7.0</v>
      </c>
      <c r="O542" s="2" t="s">
        <v>1038</v>
      </c>
      <c r="P542" s="2" t="s">
        <v>166</v>
      </c>
      <c r="Q542" s="2"/>
      <c r="R542" s="2" t="s">
        <v>933</v>
      </c>
      <c r="S542" s="11">
        <v>42220.59395833333</v>
      </c>
    </row>
    <row r="543" ht="12.75" customHeight="1">
      <c r="A543" s="2"/>
      <c r="B543" s="2">
        <v>1.0</v>
      </c>
      <c r="C543" s="2" t="s">
        <v>1039</v>
      </c>
      <c r="D543" s="2">
        <v>3.20077085E8</v>
      </c>
      <c r="E543" s="2">
        <v>2.900003164E9</v>
      </c>
      <c r="F543" s="2">
        <v>13811.0</v>
      </c>
      <c r="G543" s="2">
        <v>1.0</v>
      </c>
      <c r="H543" s="2">
        <v>0.0</v>
      </c>
      <c r="I543" s="2">
        <v>96000.0</v>
      </c>
      <c r="J543" s="2">
        <v>1.0</v>
      </c>
      <c r="K543" s="2">
        <v>7.0</v>
      </c>
      <c r="O543" s="2" t="s">
        <v>1040</v>
      </c>
      <c r="P543" s="2" t="s">
        <v>166</v>
      </c>
      <c r="Q543" s="2"/>
      <c r="R543" s="2" t="s">
        <v>933</v>
      </c>
      <c r="S543" s="11">
        <v>42213.86398148148</v>
      </c>
    </row>
    <row r="544" ht="12.75" customHeight="1">
      <c r="A544" s="2"/>
      <c r="B544" s="2">
        <v>1.0</v>
      </c>
      <c r="C544" s="2" t="s">
        <v>1041</v>
      </c>
      <c r="D544" s="2">
        <v>3.2008185E8</v>
      </c>
      <c r="E544" s="2">
        <v>2.900003164E9</v>
      </c>
      <c r="F544" s="2">
        <v>15387.0</v>
      </c>
      <c r="G544" s="2">
        <v>2.0</v>
      </c>
      <c r="H544" s="2">
        <v>0.0</v>
      </c>
      <c r="I544" s="2">
        <v>254000.0</v>
      </c>
      <c r="J544" s="2">
        <v>1.0</v>
      </c>
      <c r="K544" s="2">
        <v>7.0</v>
      </c>
      <c r="O544" s="2" t="s">
        <v>1042</v>
      </c>
      <c r="P544" s="2" t="s">
        <v>166</v>
      </c>
      <c r="Q544" s="2"/>
      <c r="R544" s="2" t="s">
        <v>933</v>
      </c>
      <c r="S544" s="11">
        <v>42220.59395833333</v>
      </c>
    </row>
    <row r="545" ht="12.75" customHeight="1">
      <c r="A545" s="2"/>
      <c r="B545" s="2">
        <v>1.0</v>
      </c>
      <c r="C545" s="2" t="s">
        <v>1043</v>
      </c>
      <c r="D545" s="2">
        <v>3.20077088E8</v>
      </c>
      <c r="E545" s="2">
        <v>2.900003165E9</v>
      </c>
      <c r="F545" s="2">
        <v>6376.0</v>
      </c>
      <c r="G545" s="2">
        <v>1.0</v>
      </c>
      <c r="H545" s="2">
        <v>0.0</v>
      </c>
      <c r="I545" s="2">
        <v>154000.0</v>
      </c>
      <c r="J545" s="2">
        <v>1.0</v>
      </c>
      <c r="K545" s="2">
        <v>7.0</v>
      </c>
      <c r="O545" s="2" t="s">
        <v>1044</v>
      </c>
      <c r="P545" s="2" t="s">
        <v>166</v>
      </c>
      <c r="Q545" s="2"/>
      <c r="R545" s="2" t="s">
        <v>933</v>
      </c>
      <c r="S545" s="11">
        <v>42213.86798611111</v>
      </c>
    </row>
    <row r="546" ht="12.75" customHeight="1">
      <c r="A546" s="2"/>
      <c r="B546" s="2">
        <v>1.0</v>
      </c>
      <c r="C546" s="2" t="s">
        <v>1045</v>
      </c>
      <c r="D546" s="2">
        <v>3.20081853E8</v>
      </c>
      <c r="E546" s="2">
        <v>2.900003165E9</v>
      </c>
      <c r="F546" s="2">
        <v>13814.0</v>
      </c>
      <c r="G546" s="2">
        <v>1.0</v>
      </c>
      <c r="H546" s="2">
        <v>0.0</v>
      </c>
      <c r="I546" s="2">
        <v>195000.0</v>
      </c>
      <c r="J546" s="2">
        <v>1.0</v>
      </c>
      <c r="K546" s="2">
        <v>7.0</v>
      </c>
      <c r="O546" s="2" t="s">
        <v>486</v>
      </c>
      <c r="P546" s="2" t="s">
        <v>166</v>
      </c>
      <c r="Q546" s="2"/>
      <c r="R546" s="2" t="s">
        <v>933</v>
      </c>
      <c r="S546" s="11">
        <v>42220.59395833333</v>
      </c>
    </row>
    <row r="547" ht="12.75" customHeight="1">
      <c r="A547" s="2"/>
      <c r="B547" s="2">
        <v>1.0</v>
      </c>
      <c r="C547" s="2" t="s">
        <v>1046</v>
      </c>
      <c r="D547" s="2">
        <v>3.2007709E8</v>
      </c>
      <c r="E547" s="2">
        <v>2.900003165E9</v>
      </c>
      <c r="F547" s="2">
        <v>14542.0</v>
      </c>
      <c r="G547" s="2">
        <v>1.0</v>
      </c>
      <c r="H547" s="2">
        <v>0.0</v>
      </c>
      <c r="I547" s="2">
        <v>87000.0</v>
      </c>
      <c r="J547" s="2">
        <v>1.0</v>
      </c>
      <c r="K547" s="2">
        <v>7.0</v>
      </c>
      <c r="O547" s="2" t="s">
        <v>1047</v>
      </c>
      <c r="P547" s="2" t="s">
        <v>166</v>
      </c>
      <c r="Q547" s="2"/>
      <c r="R547" s="2" t="s">
        <v>933</v>
      </c>
      <c r="S547" s="11">
        <v>42213.86798611111</v>
      </c>
    </row>
    <row r="548" ht="12.75" customHeight="1">
      <c r="A548" s="2"/>
      <c r="B548" s="2">
        <v>1.0</v>
      </c>
      <c r="C548" s="2" t="s">
        <v>1048</v>
      </c>
      <c r="D548" s="2">
        <v>3.20081856E8</v>
      </c>
      <c r="E548" s="2">
        <v>2.900003166E9</v>
      </c>
      <c r="F548" s="2">
        <v>718.0</v>
      </c>
      <c r="G548" s="2">
        <v>1.0</v>
      </c>
      <c r="H548" s="2">
        <v>0.0</v>
      </c>
      <c r="I548" s="2">
        <v>298000.0</v>
      </c>
      <c r="J548" s="2">
        <v>1.0</v>
      </c>
      <c r="K548" s="2">
        <v>7.0</v>
      </c>
      <c r="O548" s="2" t="s">
        <v>1049</v>
      </c>
      <c r="P548" s="2" t="s">
        <v>166</v>
      </c>
      <c r="Q548" s="2"/>
      <c r="R548" s="2" t="s">
        <v>933</v>
      </c>
      <c r="S548" s="11">
        <v>42220.59395833333</v>
      </c>
    </row>
    <row r="549" ht="12.75" customHeight="1">
      <c r="A549" s="2"/>
      <c r="B549" s="2">
        <v>1.0</v>
      </c>
      <c r="C549" s="2" t="s">
        <v>1050</v>
      </c>
      <c r="D549" s="2">
        <v>3.20077091E8</v>
      </c>
      <c r="E549" s="2">
        <v>2.900003166E9</v>
      </c>
      <c r="F549" s="2">
        <v>13990.0</v>
      </c>
      <c r="G549" s="2">
        <v>1.0</v>
      </c>
      <c r="H549" s="2">
        <v>0.0</v>
      </c>
      <c r="I549" s="2">
        <v>530000.0</v>
      </c>
      <c r="J549" s="2">
        <v>1.0</v>
      </c>
      <c r="K549" s="2">
        <v>7.0</v>
      </c>
      <c r="O549" s="2" t="s">
        <v>707</v>
      </c>
      <c r="P549" s="2" t="s">
        <v>166</v>
      </c>
      <c r="Q549" s="2"/>
      <c r="R549" s="2" t="s">
        <v>933</v>
      </c>
      <c r="S549" s="11">
        <v>42213.86886574074</v>
      </c>
    </row>
    <row r="550" ht="12.75" customHeight="1">
      <c r="A550" s="2"/>
      <c r="B550" s="2">
        <v>1.0</v>
      </c>
      <c r="C550" s="2" t="s">
        <v>1051</v>
      </c>
      <c r="D550" s="2">
        <v>3.20081858E8</v>
      </c>
      <c r="E550" s="2">
        <v>2.900003167E9</v>
      </c>
      <c r="F550" s="2">
        <v>5382.0</v>
      </c>
      <c r="G550" s="2">
        <v>1.0</v>
      </c>
      <c r="H550" s="2">
        <v>0.0</v>
      </c>
      <c r="I550" s="2">
        <v>365000.0</v>
      </c>
      <c r="J550" s="2">
        <v>1.0</v>
      </c>
      <c r="K550" s="2">
        <v>7.0</v>
      </c>
      <c r="O550" s="2" t="s">
        <v>1052</v>
      </c>
      <c r="P550" s="2" t="s">
        <v>166</v>
      </c>
      <c r="Q550" s="2"/>
      <c r="R550" s="2" t="s">
        <v>933</v>
      </c>
      <c r="S550" s="11">
        <v>42220.59396990741</v>
      </c>
    </row>
    <row r="551" ht="12.75" customHeight="1">
      <c r="A551" s="2"/>
      <c r="B551" s="2">
        <v>1.0</v>
      </c>
      <c r="C551" s="2" t="s">
        <v>1053</v>
      </c>
      <c r="D551" s="2">
        <v>3.20077093E8</v>
      </c>
      <c r="E551" s="2">
        <v>2.900003167E9</v>
      </c>
      <c r="F551" s="2">
        <v>11439.0</v>
      </c>
      <c r="G551" s="2">
        <v>1.0</v>
      </c>
      <c r="H551" s="2">
        <v>0.0</v>
      </c>
      <c r="I551" s="2">
        <v>293000.0</v>
      </c>
      <c r="J551" s="2">
        <v>1.0</v>
      </c>
      <c r="K551" s="2">
        <v>7.0</v>
      </c>
      <c r="O551" s="2" t="s">
        <v>1054</v>
      </c>
      <c r="P551" s="2" t="s">
        <v>166</v>
      </c>
      <c r="Q551" s="2"/>
      <c r="R551" s="2" t="s">
        <v>933</v>
      </c>
      <c r="S551" s="11">
        <v>42213.86974537037</v>
      </c>
    </row>
    <row r="552" ht="12.75" customHeight="1">
      <c r="A552" s="2"/>
      <c r="B552" s="2">
        <v>1.0</v>
      </c>
      <c r="C552" s="2" t="s">
        <v>1055</v>
      </c>
      <c r="D552" s="2">
        <v>3.20081859E8</v>
      </c>
      <c r="E552" s="2">
        <v>2.900003168E9</v>
      </c>
      <c r="F552" s="2">
        <v>4985.0</v>
      </c>
      <c r="G552" s="2">
        <v>1.0</v>
      </c>
      <c r="H552" s="2">
        <v>0.0</v>
      </c>
      <c r="I552" s="2">
        <v>125000.0</v>
      </c>
      <c r="J552" s="2">
        <v>1.0</v>
      </c>
      <c r="K552" s="2">
        <v>7.0</v>
      </c>
      <c r="O552" s="2" t="s">
        <v>775</v>
      </c>
      <c r="P552" s="2" t="s">
        <v>166</v>
      </c>
      <c r="Q552" s="2"/>
      <c r="R552" s="2" t="s">
        <v>933</v>
      </c>
      <c r="S552" s="11">
        <v>42220.59396990741</v>
      </c>
    </row>
    <row r="553" ht="12.75" customHeight="1">
      <c r="A553" s="2"/>
      <c r="B553" s="2">
        <v>1.0</v>
      </c>
      <c r="C553" s="2" t="s">
        <v>1056</v>
      </c>
      <c r="D553" s="2">
        <v>3.20077097E8</v>
      </c>
      <c r="E553" s="2">
        <v>2.900003168E9</v>
      </c>
      <c r="F553" s="2">
        <v>13707.0</v>
      </c>
      <c r="G553" s="2">
        <v>1.0</v>
      </c>
      <c r="H553" s="2">
        <v>0.0</v>
      </c>
      <c r="I553" s="2">
        <v>435000.0</v>
      </c>
      <c r="J553" s="2">
        <v>1.0</v>
      </c>
      <c r="K553" s="2">
        <v>7.0</v>
      </c>
      <c r="O553" s="2" t="s">
        <v>1057</v>
      </c>
      <c r="P553" s="2" t="s">
        <v>166</v>
      </c>
      <c r="Q553" s="2"/>
      <c r="R553" s="2" t="s">
        <v>933</v>
      </c>
      <c r="S553" s="11">
        <v>42213.8715625</v>
      </c>
    </row>
    <row r="554" ht="12.75" customHeight="1">
      <c r="A554" s="2"/>
      <c r="B554" s="2">
        <v>1.0</v>
      </c>
      <c r="C554" s="2" t="s">
        <v>1058</v>
      </c>
      <c r="D554" s="2">
        <v>3.20081861E8</v>
      </c>
      <c r="E554" s="2">
        <v>2.900003168E9</v>
      </c>
      <c r="F554" s="2">
        <v>16462.0</v>
      </c>
      <c r="G554" s="2">
        <v>1.0</v>
      </c>
      <c r="H554" s="2">
        <v>0.0</v>
      </c>
      <c r="I554" s="2">
        <v>495000.0</v>
      </c>
      <c r="J554" s="2">
        <v>1.0</v>
      </c>
      <c r="K554" s="2">
        <v>7.0</v>
      </c>
      <c r="O554" s="2" t="s">
        <v>1059</v>
      </c>
      <c r="P554" s="2" t="s">
        <v>166</v>
      </c>
      <c r="Q554" s="2"/>
      <c r="R554" s="2" t="s">
        <v>933</v>
      </c>
      <c r="S554" s="11">
        <v>42220.59396990741</v>
      </c>
    </row>
    <row r="555" ht="12.75" customHeight="1">
      <c r="A555" s="2"/>
      <c r="B555" s="2">
        <v>1.0</v>
      </c>
      <c r="C555" s="2" t="s">
        <v>1060</v>
      </c>
      <c r="D555" s="2">
        <v>3.20077099E8</v>
      </c>
      <c r="E555" s="2">
        <v>2.900003169E9</v>
      </c>
      <c r="F555" s="2">
        <v>7074.0</v>
      </c>
      <c r="G555" s="2">
        <v>1.0</v>
      </c>
      <c r="H555" s="2">
        <v>0.0</v>
      </c>
      <c r="I555" s="2">
        <v>1090000.0</v>
      </c>
      <c r="J555" s="2">
        <v>1.0</v>
      </c>
      <c r="K555" s="2">
        <v>7.0</v>
      </c>
      <c r="O555" s="2" t="s">
        <v>1061</v>
      </c>
      <c r="P555" s="2" t="s">
        <v>166</v>
      </c>
      <c r="Q555" s="2"/>
      <c r="R555" s="2" t="s">
        <v>933</v>
      </c>
      <c r="S555" s="11">
        <v>42213.87284722222</v>
      </c>
    </row>
    <row r="556" ht="12.75" customHeight="1">
      <c r="A556" s="2"/>
      <c r="B556" s="2">
        <v>1.0</v>
      </c>
      <c r="C556" s="2" t="s">
        <v>1062</v>
      </c>
      <c r="D556" s="2">
        <v>3.20081863E8</v>
      </c>
      <c r="E556" s="2">
        <v>2.900003169E9</v>
      </c>
      <c r="F556" s="2">
        <v>16460.0</v>
      </c>
      <c r="G556" s="2">
        <v>1.0</v>
      </c>
      <c r="H556" s="2">
        <v>0.0</v>
      </c>
      <c r="I556" s="2">
        <v>425000.0</v>
      </c>
      <c r="J556" s="2">
        <v>1.0</v>
      </c>
      <c r="K556" s="2">
        <v>7.0</v>
      </c>
      <c r="O556" s="2" t="s">
        <v>213</v>
      </c>
      <c r="P556" s="2" t="s">
        <v>166</v>
      </c>
      <c r="Q556" s="2"/>
      <c r="R556" s="2" t="s">
        <v>933</v>
      </c>
      <c r="S556" s="11">
        <v>42220.59396990741</v>
      </c>
    </row>
    <row r="557" ht="12.75" customHeight="1">
      <c r="A557" s="2"/>
      <c r="B557" s="2">
        <v>1.0</v>
      </c>
      <c r="C557" s="2" t="s">
        <v>1063</v>
      </c>
      <c r="D557" s="2">
        <v>3.20077101E8</v>
      </c>
      <c r="E557" s="2">
        <v>2.90000317E9</v>
      </c>
      <c r="F557" s="2">
        <v>9995.0</v>
      </c>
      <c r="G557" s="2">
        <v>1.0</v>
      </c>
      <c r="H557" s="2">
        <v>0.0</v>
      </c>
      <c r="I557" s="2">
        <v>136000.0</v>
      </c>
      <c r="J557" s="2">
        <v>1.0</v>
      </c>
      <c r="K557" s="2">
        <v>7.0</v>
      </c>
      <c r="O557" s="2" t="s">
        <v>1064</v>
      </c>
      <c r="P557" s="2" t="s">
        <v>1065</v>
      </c>
      <c r="Q557" s="2"/>
      <c r="R557" s="2" t="s">
        <v>933</v>
      </c>
      <c r="S557" s="11">
        <v>42213.87582175926</v>
      </c>
    </row>
    <row r="558" ht="12.75" customHeight="1">
      <c r="A558" s="2"/>
      <c r="B558" s="2">
        <v>1.0</v>
      </c>
      <c r="C558" s="2" t="s">
        <v>1066</v>
      </c>
      <c r="D558" s="2">
        <v>3.20081867E8</v>
      </c>
      <c r="E558" s="2">
        <v>2.900003172E9</v>
      </c>
      <c r="F558" s="2">
        <v>6496.0</v>
      </c>
      <c r="G558" s="2">
        <v>1.0</v>
      </c>
      <c r="H558" s="2">
        <v>0.0</v>
      </c>
      <c r="I558" s="2">
        <v>355000.0</v>
      </c>
      <c r="J558" s="2">
        <v>1.0</v>
      </c>
      <c r="K558" s="2">
        <v>7.0</v>
      </c>
      <c r="O558" s="2" t="s">
        <v>1067</v>
      </c>
      <c r="P558" s="2" t="s">
        <v>166</v>
      </c>
      <c r="Q558" s="2"/>
      <c r="R558" s="2" t="s">
        <v>933</v>
      </c>
      <c r="S558" s="11">
        <v>42220.59396990741</v>
      </c>
    </row>
    <row r="559" ht="12.75" customHeight="1">
      <c r="A559" s="2"/>
      <c r="B559" s="2">
        <v>1.0</v>
      </c>
      <c r="C559" s="2" t="s">
        <v>1068</v>
      </c>
      <c r="D559" s="2">
        <v>3.20077564E8</v>
      </c>
      <c r="E559" s="2">
        <v>2.900003172E9</v>
      </c>
      <c r="F559" s="2">
        <v>13225.0</v>
      </c>
      <c r="G559" s="2">
        <v>1.0</v>
      </c>
      <c r="H559" s="2">
        <v>0.0</v>
      </c>
      <c r="I559" s="2">
        <v>220000.0</v>
      </c>
      <c r="J559" s="2">
        <v>1.0</v>
      </c>
      <c r="K559" s="2">
        <v>7.0</v>
      </c>
      <c r="O559" s="2" t="s">
        <v>1069</v>
      </c>
      <c r="P559" s="2" t="s">
        <v>166</v>
      </c>
      <c r="Q559" s="2"/>
      <c r="R559" s="2" t="s">
        <v>933</v>
      </c>
      <c r="S559" s="11">
        <v>42214.4955787037</v>
      </c>
    </row>
    <row r="560" ht="12.75" customHeight="1">
      <c r="A560" s="2"/>
      <c r="B560" s="2">
        <v>1.0</v>
      </c>
      <c r="C560" s="2" t="s">
        <v>1070</v>
      </c>
      <c r="D560" s="2">
        <v>3.20081866E8</v>
      </c>
      <c r="E560" s="2">
        <v>2.900003172E9</v>
      </c>
      <c r="F560" s="2">
        <v>15225.0</v>
      </c>
      <c r="G560" s="2">
        <v>2.0</v>
      </c>
      <c r="H560" s="2">
        <v>0.0</v>
      </c>
      <c r="I560" s="2">
        <v>300000.0</v>
      </c>
      <c r="J560" s="2">
        <v>1.0</v>
      </c>
      <c r="K560" s="2">
        <v>7.0</v>
      </c>
      <c r="O560" s="2" t="s">
        <v>1071</v>
      </c>
      <c r="P560" s="2" t="s">
        <v>166</v>
      </c>
      <c r="Q560" s="2"/>
      <c r="R560" s="2" t="s">
        <v>933</v>
      </c>
      <c r="S560" s="11">
        <v>42220.59396990741</v>
      </c>
    </row>
    <row r="561" ht="12.75" customHeight="1">
      <c r="A561" s="2"/>
      <c r="B561" s="2">
        <v>1.0</v>
      </c>
      <c r="C561" s="2" t="s">
        <v>1072</v>
      </c>
      <c r="D561" s="2">
        <v>3.20077585E8</v>
      </c>
      <c r="E561" s="2">
        <v>2.900003174E9</v>
      </c>
      <c r="F561" s="2">
        <v>6710.0</v>
      </c>
      <c r="G561" s="2">
        <v>1.0</v>
      </c>
      <c r="H561" s="2">
        <v>0.0</v>
      </c>
      <c r="I561" s="2">
        <v>295000.0</v>
      </c>
      <c r="J561" s="2">
        <v>1.0</v>
      </c>
      <c r="K561" s="2">
        <v>7.0</v>
      </c>
      <c r="O561" s="2" t="s">
        <v>1073</v>
      </c>
      <c r="P561" s="2" t="s">
        <v>166</v>
      </c>
      <c r="Q561" s="2"/>
      <c r="R561" s="2" t="s">
        <v>933</v>
      </c>
      <c r="S561" s="11">
        <v>42214.50685185185</v>
      </c>
    </row>
    <row r="562" ht="12.75" customHeight="1">
      <c r="A562" s="2"/>
      <c r="B562" s="2">
        <v>1.0</v>
      </c>
      <c r="C562" s="2" t="s">
        <v>1074</v>
      </c>
      <c r="D562" s="2">
        <v>3.20081871E8</v>
      </c>
      <c r="E562" s="2">
        <v>2.900003174E9</v>
      </c>
      <c r="F562" s="2">
        <v>8166.0</v>
      </c>
      <c r="G562" s="2">
        <v>1.0</v>
      </c>
      <c r="H562" s="2">
        <v>0.0</v>
      </c>
      <c r="I562" s="2">
        <v>219000.0</v>
      </c>
      <c r="J562" s="2">
        <v>1.0</v>
      </c>
      <c r="K562" s="2">
        <v>7.0</v>
      </c>
      <c r="O562" s="2" t="s">
        <v>1075</v>
      </c>
      <c r="P562" s="2" t="s">
        <v>166</v>
      </c>
      <c r="Q562" s="2"/>
      <c r="R562" s="2" t="s">
        <v>933</v>
      </c>
      <c r="S562" s="11">
        <v>42220.59396990741</v>
      </c>
    </row>
    <row r="563" ht="12.75" customHeight="1">
      <c r="A563" s="2"/>
      <c r="B563" s="2">
        <v>1.0</v>
      </c>
      <c r="C563" s="2" t="s">
        <v>1076</v>
      </c>
      <c r="D563" s="2">
        <v>3.20077583E8</v>
      </c>
      <c r="E563" s="2">
        <v>2.900003174E9</v>
      </c>
      <c r="F563" s="2">
        <v>13795.0</v>
      </c>
      <c r="G563" s="2">
        <v>2.0</v>
      </c>
      <c r="H563" s="2">
        <v>0.0</v>
      </c>
      <c r="I563" s="2">
        <v>196000.0</v>
      </c>
      <c r="J563" s="2">
        <v>1.0</v>
      </c>
      <c r="K563" s="2">
        <v>7.0</v>
      </c>
      <c r="O563" s="2" t="s">
        <v>1077</v>
      </c>
      <c r="P563" s="2" t="s">
        <v>166</v>
      </c>
      <c r="Q563" s="2"/>
      <c r="R563" s="2" t="s">
        <v>933</v>
      </c>
      <c r="S563" s="11">
        <v>42214.50685185185</v>
      </c>
    </row>
    <row r="564" ht="12.75" customHeight="1">
      <c r="A564" s="2"/>
      <c r="B564" s="2">
        <v>1.0</v>
      </c>
      <c r="C564" s="2" t="s">
        <v>1078</v>
      </c>
      <c r="D564" s="2">
        <v>3.20081873E8</v>
      </c>
      <c r="E564" s="2">
        <v>2.900003175E9</v>
      </c>
      <c r="F564" s="2">
        <v>6265.0</v>
      </c>
      <c r="G564" s="2">
        <v>1.0</v>
      </c>
      <c r="H564" s="2">
        <v>0.0</v>
      </c>
      <c r="I564" s="2">
        <v>59000.0</v>
      </c>
      <c r="J564" s="2">
        <v>1.0</v>
      </c>
      <c r="K564" s="2">
        <v>7.0</v>
      </c>
      <c r="O564" s="2" t="s">
        <v>1079</v>
      </c>
      <c r="P564" s="2" t="s">
        <v>166</v>
      </c>
      <c r="Q564" s="2"/>
      <c r="R564" s="2" t="s">
        <v>933</v>
      </c>
      <c r="S564" s="11">
        <v>42220.593981481485</v>
      </c>
    </row>
    <row r="565" ht="12.75" customHeight="1">
      <c r="A565" s="2"/>
      <c r="B565" s="2">
        <v>1.0</v>
      </c>
      <c r="C565" s="2" t="s">
        <v>1080</v>
      </c>
      <c r="D565" s="2">
        <v>3.2007763E8</v>
      </c>
      <c r="E565" s="2">
        <v>2.900003175E9</v>
      </c>
      <c r="F565" s="2">
        <v>15237.0</v>
      </c>
      <c r="G565" s="2">
        <v>1.0</v>
      </c>
      <c r="H565" s="2">
        <v>0.0</v>
      </c>
      <c r="I565" s="2">
        <v>285000.0</v>
      </c>
      <c r="J565" s="2">
        <v>1.0</v>
      </c>
      <c r="K565" s="2">
        <v>7.0</v>
      </c>
      <c r="O565" s="2" t="s">
        <v>1006</v>
      </c>
      <c r="P565" s="2" t="s">
        <v>166</v>
      </c>
      <c r="Q565" s="2"/>
      <c r="R565" s="2" t="s">
        <v>933</v>
      </c>
      <c r="S565" s="11">
        <v>42214.544074074074</v>
      </c>
    </row>
    <row r="566" ht="12.75" customHeight="1">
      <c r="A566" s="2"/>
      <c r="B566" s="2">
        <v>1.0</v>
      </c>
      <c r="C566" s="2" t="s">
        <v>1081</v>
      </c>
      <c r="D566" s="2">
        <v>3.20081874E8</v>
      </c>
      <c r="E566" s="2">
        <v>2.900003175E9</v>
      </c>
      <c r="F566" s="2">
        <v>16536.0</v>
      </c>
      <c r="G566" s="2">
        <v>1.0</v>
      </c>
      <c r="H566" s="2">
        <v>0.0</v>
      </c>
      <c r="I566" s="2">
        <v>339000.0</v>
      </c>
      <c r="J566" s="2">
        <v>1.0</v>
      </c>
      <c r="K566" s="2">
        <v>7.0</v>
      </c>
      <c r="O566" s="2" t="s">
        <v>1082</v>
      </c>
      <c r="P566" s="2" t="s">
        <v>166</v>
      </c>
      <c r="Q566" s="2"/>
      <c r="R566" s="2" t="s">
        <v>933</v>
      </c>
      <c r="S566" s="11">
        <v>42220.593981481485</v>
      </c>
    </row>
    <row r="567" ht="12.75" customHeight="1">
      <c r="A567" s="2"/>
      <c r="B567" s="2">
        <v>1.0</v>
      </c>
      <c r="C567" s="2" t="s">
        <v>1083</v>
      </c>
      <c r="D567" s="2">
        <v>3.20077728E8</v>
      </c>
      <c r="E567" s="2">
        <v>2.900003176E9</v>
      </c>
      <c r="F567" s="2">
        <v>3148.0</v>
      </c>
      <c r="G567" s="2">
        <v>1.0</v>
      </c>
      <c r="H567" s="2">
        <v>0.0</v>
      </c>
      <c r="I567" s="2">
        <v>40000.0</v>
      </c>
      <c r="J567" s="2">
        <v>1.0</v>
      </c>
      <c r="K567" s="2">
        <v>7.0</v>
      </c>
      <c r="O567" s="2" t="s">
        <v>560</v>
      </c>
      <c r="P567" s="2" t="s">
        <v>166</v>
      </c>
      <c r="Q567" s="2"/>
      <c r="R567" s="2" t="s">
        <v>933</v>
      </c>
      <c r="S567" s="11">
        <v>42214.696226851855</v>
      </c>
    </row>
    <row r="568" ht="12.75" customHeight="1">
      <c r="A568" s="2"/>
      <c r="B568" s="2">
        <v>1.0</v>
      </c>
      <c r="C568" s="2" t="s">
        <v>1084</v>
      </c>
      <c r="D568" s="2">
        <v>3.20081876E8</v>
      </c>
      <c r="E568" s="2">
        <v>2.900003176E9</v>
      </c>
      <c r="F568" s="2">
        <v>3943.0</v>
      </c>
      <c r="G568" s="2">
        <v>1.0</v>
      </c>
      <c r="H568" s="2">
        <v>0.0</v>
      </c>
      <c r="I568" s="2">
        <v>48000.0</v>
      </c>
      <c r="J568" s="2">
        <v>1.0</v>
      </c>
      <c r="K568" s="2">
        <v>7.0</v>
      </c>
      <c r="O568" s="2" t="s">
        <v>1085</v>
      </c>
      <c r="P568" s="2" t="s">
        <v>166</v>
      </c>
      <c r="Q568" s="2"/>
      <c r="R568" s="2" t="s">
        <v>933</v>
      </c>
      <c r="S568" s="11">
        <v>42220.593981481485</v>
      </c>
    </row>
    <row r="569" ht="12.75" customHeight="1">
      <c r="A569" s="2"/>
      <c r="B569" s="2">
        <v>1.0</v>
      </c>
      <c r="C569" s="2" t="s">
        <v>1086</v>
      </c>
      <c r="D569" s="2">
        <v>3.20077727E8</v>
      </c>
      <c r="E569" s="2">
        <v>2.900003176E9</v>
      </c>
      <c r="F569" s="2">
        <v>4983.0</v>
      </c>
      <c r="G569" s="2">
        <v>1.0</v>
      </c>
      <c r="H569" s="2">
        <v>0.0</v>
      </c>
      <c r="I569" s="2">
        <v>55000.0</v>
      </c>
      <c r="J569" s="2">
        <v>1.0</v>
      </c>
      <c r="K569" s="2">
        <v>7.0</v>
      </c>
      <c r="O569" s="2" t="s">
        <v>1087</v>
      </c>
      <c r="P569" s="2" t="s">
        <v>166</v>
      </c>
      <c r="Q569" s="2"/>
      <c r="R569" s="2" t="s">
        <v>933</v>
      </c>
      <c r="S569" s="11">
        <v>42214.696226851855</v>
      </c>
    </row>
    <row r="570" ht="12.75" customHeight="1">
      <c r="A570" s="2"/>
      <c r="B570" s="2">
        <v>1.0</v>
      </c>
      <c r="C570" s="2" t="s">
        <v>1088</v>
      </c>
      <c r="D570" s="2">
        <v>3.20081879E8</v>
      </c>
      <c r="E570" s="2">
        <v>2.900003176E9</v>
      </c>
      <c r="F570" s="2">
        <v>6329.0</v>
      </c>
      <c r="G570" s="2">
        <v>1.0</v>
      </c>
      <c r="H570" s="2">
        <v>0.0</v>
      </c>
      <c r="I570" s="2">
        <v>300000.0</v>
      </c>
      <c r="J570" s="2">
        <v>1.0</v>
      </c>
      <c r="K570" s="2">
        <v>7.0</v>
      </c>
      <c r="O570" s="2" t="s">
        <v>521</v>
      </c>
      <c r="P570" s="2" t="s">
        <v>166</v>
      </c>
      <c r="Q570" s="2"/>
      <c r="R570" s="2" t="s">
        <v>933</v>
      </c>
      <c r="S570" s="11">
        <v>42220.593981481485</v>
      </c>
    </row>
    <row r="571" ht="12.75" customHeight="1">
      <c r="A571" s="2"/>
      <c r="B571" s="2">
        <v>1.0</v>
      </c>
      <c r="C571" s="2" t="s">
        <v>1089</v>
      </c>
      <c r="D571" s="2">
        <v>3.2008306E8</v>
      </c>
      <c r="E571" s="2">
        <v>2.900003203E9</v>
      </c>
      <c r="F571" s="2">
        <v>1327.0</v>
      </c>
      <c r="G571" s="2">
        <v>1.0</v>
      </c>
      <c r="H571" s="2">
        <v>0.0</v>
      </c>
      <c r="I571" s="2">
        <v>41500.0</v>
      </c>
      <c r="J571" s="2">
        <v>1.0</v>
      </c>
      <c r="K571" s="2">
        <v>7.0</v>
      </c>
      <c r="O571" s="2" t="s">
        <v>1090</v>
      </c>
      <c r="P571" s="2" t="s">
        <v>166</v>
      </c>
      <c r="Q571" s="2"/>
      <c r="R571" s="2" t="s">
        <v>933</v>
      </c>
      <c r="S571" s="11">
        <v>42221.63854166667</v>
      </c>
    </row>
    <row r="572" ht="12.75" customHeight="1">
      <c r="A572" s="2"/>
      <c r="B572" s="2">
        <v>1.0</v>
      </c>
      <c r="C572" s="2" t="s">
        <v>1091</v>
      </c>
      <c r="D572" s="2">
        <v>3.20083063E8</v>
      </c>
      <c r="E572" s="2">
        <v>2.900003203E9</v>
      </c>
      <c r="F572" s="2">
        <v>13033.0</v>
      </c>
      <c r="G572" s="2">
        <v>1.0</v>
      </c>
      <c r="H572" s="2">
        <v>0.0</v>
      </c>
      <c r="I572" s="2">
        <v>149000.0</v>
      </c>
      <c r="J572" s="2">
        <v>1.0</v>
      </c>
      <c r="K572" s="2">
        <v>7.0</v>
      </c>
      <c r="O572" s="2" t="s">
        <v>1092</v>
      </c>
      <c r="P572" s="2" t="s">
        <v>166</v>
      </c>
      <c r="Q572" s="2"/>
      <c r="R572" s="2" t="s">
        <v>933</v>
      </c>
      <c r="S572" s="11">
        <v>42221.63854166667</v>
      </c>
    </row>
    <row r="573" ht="12.75" customHeight="1">
      <c r="A573" s="2"/>
      <c r="B573" s="2">
        <v>1.0</v>
      </c>
      <c r="C573" s="2" t="s">
        <v>1093</v>
      </c>
      <c r="D573" s="2">
        <v>3.20083059E8</v>
      </c>
      <c r="E573" s="2">
        <v>2.900003203E9</v>
      </c>
      <c r="F573" s="2">
        <v>16279.0</v>
      </c>
      <c r="G573" s="2">
        <v>1.0</v>
      </c>
      <c r="H573" s="2">
        <v>0.0</v>
      </c>
      <c r="I573" s="2">
        <v>71000.0</v>
      </c>
      <c r="J573" s="2">
        <v>1.0</v>
      </c>
      <c r="K573" s="2">
        <v>7.0</v>
      </c>
      <c r="O573" s="2" t="s">
        <v>1094</v>
      </c>
      <c r="P573" s="2" t="s">
        <v>166</v>
      </c>
      <c r="Q573" s="2"/>
      <c r="R573" s="2" t="s">
        <v>933</v>
      </c>
      <c r="S573" s="11">
        <v>42221.63854166667</v>
      </c>
    </row>
    <row r="574" ht="12.75" customHeight="1">
      <c r="A574" s="2"/>
      <c r="B574" s="2">
        <v>1.0</v>
      </c>
      <c r="C574" s="2" t="s">
        <v>1095</v>
      </c>
      <c r="D574" s="2">
        <v>3.20083084E8</v>
      </c>
      <c r="E574" s="2">
        <v>2.900003205E9</v>
      </c>
      <c r="F574" s="2">
        <v>12703.0</v>
      </c>
      <c r="G574" s="2">
        <v>1.0</v>
      </c>
      <c r="H574" s="2">
        <v>0.0</v>
      </c>
      <c r="I574" s="2">
        <v>525000.0</v>
      </c>
      <c r="J574" s="2">
        <v>1.0</v>
      </c>
      <c r="K574" s="2">
        <v>7.0</v>
      </c>
      <c r="O574" s="2" t="s">
        <v>1096</v>
      </c>
      <c r="P574" s="2" t="s">
        <v>166</v>
      </c>
      <c r="Q574" s="2"/>
      <c r="R574" s="2" t="s">
        <v>933</v>
      </c>
      <c r="S574" s="11">
        <v>42221.65394675926</v>
      </c>
    </row>
    <row r="575" ht="12.75" customHeight="1">
      <c r="A575" s="2"/>
      <c r="B575" s="2">
        <v>1.0</v>
      </c>
      <c r="C575" s="2" t="s">
        <v>1097</v>
      </c>
      <c r="D575" s="2">
        <v>3.20083087E8</v>
      </c>
      <c r="E575" s="2">
        <v>2.900003206E9</v>
      </c>
      <c r="F575" s="2">
        <v>6271.0</v>
      </c>
      <c r="G575" s="2">
        <v>2.0</v>
      </c>
      <c r="H575" s="2">
        <v>0.0</v>
      </c>
      <c r="I575" s="2">
        <v>124000.0</v>
      </c>
      <c r="J575" s="2">
        <v>1.0</v>
      </c>
      <c r="K575" s="2">
        <v>7.0</v>
      </c>
      <c r="O575" s="2" t="s">
        <v>897</v>
      </c>
      <c r="P575" s="2" t="s">
        <v>166</v>
      </c>
      <c r="Q575" s="2"/>
      <c r="R575" s="2" t="s">
        <v>933</v>
      </c>
      <c r="S575" s="11">
        <v>42221.65429398148</v>
      </c>
    </row>
    <row r="576" ht="12.75" customHeight="1">
      <c r="A576" s="2"/>
      <c r="B576" s="2">
        <v>1.0</v>
      </c>
      <c r="C576" s="2" t="s">
        <v>1098</v>
      </c>
      <c r="D576" s="2">
        <v>3.20083098E8</v>
      </c>
      <c r="E576" s="2">
        <v>2.900003208E9</v>
      </c>
      <c r="F576" s="2">
        <v>4410.0</v>
      </c>
      <c r="G576" s="2">
        <v>1.0</v>
      </c>
      <c r="H576" s="2">
        <v>0.0</v>
      </c>
      <c r="I576" s="2">
        <v>99000.0</v>
      </c>
      <c r="J576" s="2">
        <v>1.0</v>
      </c>
      <c r="K576" s="2">
        <v>7.0</v>
      </c>
      <c r="O576" s="2" t="s">
        <v>999</v>
      </c>
      <c r="P576" s="2" t="s">
        <v>166</v>
      </c>
      <c r="Q576" s="2"/>
      <c r="R576" s="2" t="s">
        <v>933</v>
      </c>
      <c r="S576" s="11">
        <v>42221.66695601852</v>
      </c>
    </row>
    <row r="577" ht="12.75" customHeight="1">
      <c r="A577" s="2"/>
      <c r="B577" s="2">
        <v>1.0</v>
      </c>
      <c r="C577" s="2" t="s">
        <v>1099</v>
      </c>
      <c r="D577" s="2">
        <v>465.0</v>
      </c>
      <c r="E577" s="2">
        <v>3.100000004E9</v>
      </c>
      <c r="F577" s="2">
        <v>276.0</v>
      </c>
      <c r="G577" s="2">
        <v>6.0</v>
      </c>
      <c r="H577" s="2">
        <v>0.0</v>
      </c>
      <c r="I577" s="2">
        <v>426000.0</v>
      </c>
      <c r="J577" s="2">
        <v>1.0</v>
      </c>
      <c r="K577" s="2">
        <v>7.0</v>
      </c>
      <c r="O577" s="2" t="s">
        <v>1100</v>
      </c>
      <c r="P577" s="2" t="s">
        <v>1065</v>
      </c>
      <c r="Q577" s="2"/>
      <c r="R577" s="2" t="s">
        <v>1101</v>
      </c>
      <c r="S577" s="11">
        <v>42119.567777777775</v>
      </c>
    </row>
    <row r="578" ht="12.75" customHeight="1">
      <c r="A578" s="2"/>
      <c r="B578" s="2">
        <v>1.0</v>
      </c>
      <c r="C578" s="2" t="s">
        <v>1102</v>
      </c>
      <c r="D578" s="2">
        <v>466.0</v>
      </c>
      <c r="E578" s="2">
        <v>3.100000004E9</v>
      </c>
      <c r="F578" s="2">
        <v>3120.0</v>
      </c>
      <c r="G578" s="2">
        <v>6.0</v>
      </c>
      <c r="H578" s="2">
        <v>0.0</v>
      </c>
      <c r="I578" s="2">
        <v>408000.0</v>
      </c>
      <c r="J578" s="2">
        <v>1.0</v>
      </c>
      <c r="K578" s="2">
        <v>7.0</v>
      </c>
      <c r="O578" s="2" t="s">
        <v>1103</v>
      </c>
      <c r="P578" s="2" t="s">
        <v>1065</v>
      </c>
      <c r="Q578" s="2"/>
      <c r="R578" s="2" t="s">
        <v>1101</v>
      </c>
      <c r="S578" s="11">
        <v>42119.567777777775</v>
      </c>
    </row>
    <row r="579" ht="12.75" customHeight="1">
      <c r="A579" s="2"/>
      <c r="B579" s="2">
        <v>1.0</v>
      </c>
      <c r="C579" s="2" t="s">
        <v>1104</v>
      </c>
      <c r="D579" s="2">
        <v>470.0</v>
      </c>
      <c r="E579" s="2">
        <v>3.100000004E9</v>
      </c>
      <c r="F579" s="2">
        <v>4449.0</v>
      </c>
      <c r="G579" s="2">
        <v>6.0</v>
      </c>
      <c r="H579" s="2">
        <v>0.0</v>
      </c>
      <c r="I579" s="2">
        <v>432000.0</v>
      </c>
      <c r="J579" s="2">
        <v>1.0</v>
      </c>
      <c r="K579" s="2">
        <v>7.0</v>
      </c>
      <c r="O579" s="2" t="s">
        <v>1105</v>
      </c>
      <c r="P579" s="2" t="s">
        <v>1065</v>
      </c>
      <c r="Q579" s="2"/>
      <c r="R579" s="2" t="s">
        <v>1101</v>
      </c>
      <c r="S579" s="11">
        <v>42119.567777777775</v>
      </c>
    </row>
    <row r="580" ht="12.75" customHeight="1">
      <c r="A580" s="2"/>
      <c r="B580" s="2">
        <v>1.0</v>
      </c>
      <c r="C580" s="2" t="s">
        <v>1106</v>
      </c>
      <c r="D580" s="2">
        <v>467.0</v>
      </c>
      <c r="E580" s="2">
        <v>3.100000004E9</v>
      </c>
      <c r="F580" s="2">
        <v>4472.0</v>
      </c>
      <c r="G580" s="2">
        <v>6.0</v>
      </c>
      <c r="H580" s="2">
        <v>0.0</v>
      </c>
      <c r="I580" s="2">
        <v>282000.0</v>
      </c>
      <c r="J580" s="2">
        <v>1.0</v>
      </c>
      <c r="K580" s="2">
        <v>7.0</v>
      </c>
      <c r="O580" s="2" t="s">
        <v>1107</v>
      </c>
      <c r="P580" s="2" t="s">
        <v>166</v>
      </c>
      <c r="Q580" s="2"/>
      <c r="R580" s="2" t="s">
        <v>1101</v>
      </c>
      <c r="S580" s="11">
        <v>42119.567777777775</v>
      </c>
    </row>
    <row r="581" ht="12.75" customHeight="1">
      <c r="A581" s="2"/>
      <c r="B581" s="2">
        <v>1.0</v>
      </c>
      <c r="C581" s="2" t="s">
        <v>1108</v>
      </c>
      <c r="D581" s="2">
        <v>469.0</v>
      </c>
      <c r="E581" s="2">
        <v>3.100000004E9</v>
      </c>
      <c r="F581" s="2">
        <v>9980.0</v>
      </c>
      <c r="G581" s="2">
        <v>5.0</v>
      </c>
      <c r="H581" s="2">
        <v>0.0</v>
      </c>
      <c r="I581" s="2">
        <v>400000.0</v>
      </c>
      <c r="J581" s="2">
        <v>1.0</v>
      </c>
      <c r="K581" s="2">
        <v>7.0</v>
      </c>
      <c r="O581" s="2" t="s">
        <v>1109</v>
      </c>
      <c r="P581" s="2" t="s">
        <v>1065</v>
      </c>
      <c r="Q581" s="2"/>
      <c r="R581" s="2" t="s">
        <v>1101</v>
      </c>
      <c r="S581" s="11">
        <v>42119.567777777775</v>
      </c>
    </row>
    <row r="582" ht="12.75" customHeight="1">
      <c r="A582" s="2"/>
      <c r="B582" s="2">
        <v>1.0</v>
      </c>
      <c r="C582" s="2" t="s">
        <v>1110</v>
      </c>
      <c r="D582" s="2">
        <v>468.0</v>
      </c>
      <c r="E582" s="2">
        <v>3.100000004E9</v>
      </c>
      <c r="F582" s="2">
        <v>13643.0</v>
      </c>
      <c r="G582" s="2">
        <v>10.0</v>
      </c>
      <c r="H582" s="2">
        <v>0.0</v>
      </c>
      <c r="I582" s="2">
        <v>610000.0</v>
      </c>
      <c r="J582" s="2">
        <v>1.0</v>
      </c>
      <c r="K582" s="2">
        <v>7.0</v>
      </c>
      <c r="O582" s="2" t="s">
        <v>1111</v>
      </c>
      <c r="P582" s="2" t="s">
        <v>166</v>
      </c>
      <c r="Q582" s="2"/>
      <c r="R582" s="2" t="s">
        <v>1101</v>
      </c>
      <c r="S582" s="11">
        <v>42119.567777777775</v>
      </c>
    </row>
    <row r="583" ht="12.75" customHeight="1">
      <c r="A583" s="2"/>
      <c r="C583" s="2"/>
      <c r="D583" s="2"/>
      <c r="E583" s="2"/>
      <c r="Q583" s="2"/>
    </row>
    <row r="584" ht="12.75" customHeight="1">
      <c r="A584" s="2"/>
      <c r="C584" s="2"/>
      <c r="D584" s="2"/>
      <c r="E584" s="2"/>
      <c r="Q584" s="2"/>
    </row>
    <row r="585" ht="12.75" customHeight="1">
      <c r="A585" s="2">
        <v>1.400003006E9</v>
      </c>
      <c r="B585" s="12" t="str">
        <f t="shared" ref="B585:B786" si="1">SUMIF($E$2:$E$582,C585,$I$2:$I$582)-H585</f>
        <v>0</v>
      </c>
      <c r="C585" s="2">
        <v>1.400003006E9</v>
      </c>
      <c r="D585" s="13">
        <v>42219.0</v>
      </c>
      <c r="E585" s="2" t="s">
        <v>1112</v>
      </c>
      <c r="F585" s="2">
        <v>140165.0</v>
      </c>
      <c r="G585" s="2">
        <v>2.0</v>
      </c>
      <c r="H585" s="2">
        <v>2.0857E7</v>
      </c>
      <c r="I585" s="2">
        <v>4988680.0</v>
      </c>
      <c r="L585" s="2">
        <v>0.0</v>
      </c>
      <c r="M585" s="2">
        <v>0.0</v>
      </c>
      <c r="N585" s="14">
        <v>0.6090277777777778</v>
      </c>
      <c r="O585" s="2" t="s">
        <v>1113</v>
      </c>
      <c r="P585" s="2">
        <v>1.0</v>
      </c>
      <c r="Q585" s="2">
        <v>2.01508031E8</v>
      </c>
      <c r="R585" s="2">
        <v>3.0</v>
      </c>
      <c r="S585" s="2" t="s">
        <v>1114</v>
      </c>
      <c r="U585" s="2">
        <v>1.0</v>
      </c>
      <c r="V585" s="14">
        <v>0.6270833333333333</v>
      </c>
      <c r="X585" s="2">
        <v>0.0</v>
      </c>
      <c r="Y585" s="2" t="s">
        <v>167</v>
      </c>
      <c r="Z585" s="2" t="s">
        <v>1115</v>
      </c>
      <c r="AA585" s="11">
        <v>42219.66527777778</v>
      </c>
    </row>
    <row r="586" ht="12.75" customHeight="1">
      <c r="A586" s="2">
        <v>1.400003017E9</v>
      </c>
      <c r="B586" s="12" t="str">
        <f t="shared" si="1"/>
        <v>0</v>
      </c>
      <c r="C586" s="2">
        <v>1.400003017E9</v>
      </c>
      <c r="D586" s="13">
        <v>42219.0</v>
      </c>
      <c r="E586" s="2" t="s">
        <v>1116</v>
      </c>
      <c r="F586" s="2">
        <v>311461.0</v>
      </c>
      <c r="G586" s="2">
        <v>2.0</v>
      </c>
      <c r="H586" s="2">
        <v>2.0813E7</v>
      </c>
      <c r="I586" s="2">
        <v>5002520.0</v>
      </c>
      <c r="L586" s="2">
        <v>0.0</v>
      </c>
      <c r="M586" s="2">
        <v>0.0</v>
      </c>
      <c r="N586" s="14">
        <v>0.6340277777777777</v>
      </c>
      <c r="O586" s="2" t="s">
        <v>1113</v>
      </c>
      <c r="P586" s="2">
        <v>1.0</v>
      </c>
      <c r="Q586" s="2">
        <v>2.01508031E8</v>
      </c>
      <c r="R586" s="2">
        <v>3.0</v>
      </c>
      <c r="S586" s="2" t="s">
        <v>1114</v>
      </c>
      <c r="U586" s="2">
        <v>1.0</v>
      </c>
      <c r="V586" s="14">
        <v>0.64375</v>
      </c>
      <c r="X586" s="2">
        <v>0.0</v>
      </c>
      <c r="Y586" s="2" t="s">
        <v>167</v>
      </c>
      <c r="Z586" s="2" t="s">
        <v>1115</v>
      </c>
      <c r="AA586" s="11">
        <v>42219.6653125</v>
      </c>
    </row>
    <row r="587" ht="12.75" customHeight="1">
      <c r="A587" s="2">
        <v>1.400003094E9</v>
      </c>
      <c r="B587" s="12" t="str">
        <f t="shared" si="1"/>
        <v>0</v>
      </c>
      <c r="C587" s="2">
        <v>1.400003094E9</v>
      </c>
      <c r="D587" s="13">
        <v>42222.0</v>
      </c>
      <c r="E587" s="2" t="s">
        <v>1117</v>
      </c>
      <c r="F587" s="2">
        <v>143197.0</v>
      </c>
      <c r="G587" s="2">
        <v>2.0</v>
      </c>
      <c r="H587" s="2">
        <v>3.3735E7</v>
      </c>
      <c r="I587" s="2">
        <v>9021630.0</v>
      </c>
      <c r="L587" s="2">
        <v>0.0</v>
      </c>
      <c r="M587" s="2">
        <v>0.0</v>
      </c>
      <c r="N587" s="14">
        <v>0.40138888888888885</v>
      </c>
      <c r="O587" s="2" t="s">
        <v>1113</v>
      </c>
      <c r="P587" s="2">
        <v>1.0</v>
      </c>
      <c r="Q587" s="2">
        <v>2.01508061E8</v>
      </c>
      <c r="R587" s="2">
        <v>3.0</v>
      </c>
      <c r="S587" s="2" t="s">
        <v>1114</v>
      </c>
      <c r="U587" s="2">
        <v>1.0</v>
      </c>
      <c r="V587" s="14">
        <v>0.40902777777777777</v>
      </c>
      <c r="X587" s="2">
        <v>0.0</v>
      </c>
      <c r="Y587" s="2" t="s">
        <v>167</v>
      </c>
      <c r="Z587" s="2" t="s">
        <v>1115</v>
      </c>
      <c r="AA587" s="11">
        <v>42222.425717592596</v>
      </c>
    </row>
    <row r="588" ht="12.75" customHeight="1">
      <c r="A588" s="2">
        <v>1.400003095E9</v>
      </c>
      <c r="B588" s="12" t="str">
        <f t="shared" si="1"/>
        <v>0</v>
      </c>
      <c r="C588" s="2">
        <v>1.400003095E9</v>
      </c>
      <c r="D588" s="13">
        <v>42222.0</v>
      </c>
      <c r="E588" s="2" t="s">
        <v>1118</v>
      </c>
      <c r="F588" s="2">
        <v>140331.0</v>
      </c>
      <c r="G588" s="2">
        <v>2.0</v>
      </c>
      <c r="H588" s="2">
        <v>1.422E7</v>
      </c>
      <c r="I588" s="2">
        <v>3326400.0</v>
      </c>
      <c r="L588" s="2">
        <v>0.0</v>
      </c>
      <c r="M588" s="2">
        <v>0.0</v>
      </c>
      <c r="N588" s="14">
        <v>0.40902777777777777</v>
      </c>
      <c r="O588" s="2" t="s">
        <v>1113</v>
      </c>
      <c r="P588" s="2">
        <v>1.0</v>
      </c>
      <c r="Q588" s="2">
        <v>2.01508061E8</v>
      </c>
      <c r="R588" s="2">
        <v>3.0</v>
      </c>
      <c r="S588" s="2" t="s">
        <v>1114</v>
      </c>
      <c r="U588" s="2">
        <v>1.0</v>
      </c>
      <c r="V588" s="14">
        <v>0.41111111111111115</v>
      </c>
      <c r="X588" s="2">
        <v>0.0</v>
      </c>
      <c r="Y588" s="2" t="s">
        <v>167</v>
      </c>
      <c r="Z588" s="2" t="s">
        <v>1115</v>
      </c>
      <c r="AA588" s="11">
        <v>42222.42574074074</v>
      </c>
    </row>
    <row r="589" ht="12.75" customHeight="1">
      <c r="A589" s="2">
        <v>1.400003096E9</v>
      </c>
      <c r="B589" s="12" t="str">
        <f t="shared" si="1"/>
        <v>0</v>
      </c>
      <c r="C589" s="2">
        <v>1.400003096E9</v>
      </c>
      <c r="D589" s="13">
        <v>42222.0</v>
      </c>
      <c r="E589" s="2" t="s">
        <v>1119</v>
      </c>
      <c r="F589" s="2">
        <v>2.0</v>
      </c>
      <c r="G589" s="2">
        <v>2.0</v>
      </c>
      <c r="H589" s="2">
        <v>-3720000.0</v>
      </c>
      <c r="I589" s="2">
        <v>0.0</v>
      </c>
      <c r="L589" s="2">
        <v>0.0</v>
      </c>
      <c r="M589" s="2">
        <v>0.0</v>
      </c>
      <c r="N589" s="14">
        <v>0.4145833333333333</v>
      </c>
      <c r="O589" s="2" t="s">
        <v>1113</v>
      </c>
      <c r="P589" s="2">
        <v>1.0</v>
      </c>
      <c r="Q589" s="2">
        <v>2.01508061E8</v>
      </c>
      <c r="R589" s="2">
        <v>3.0</v>
      </c>
      <c r="S589" s="2" t="s">
        <v>1114</v>
      </c>
      <c r="U589" s="2">
        <v>1.0</v>
      </c>
      <c r="V589" s="14">
        <v>0.4152777777777778</v>
      </c>
      <c r="X589" s="2">
        <v>0.0</v>
      </c>
      <c r="Y589" s="2" t="s">
        <v>167</v>
      </c>
      <c r="Z589" s="2" t="s">
        <v>1115</v>
      </c>
      <c r="AA589" s="11">
        <v>42222.42575231481</v>
      </c>
    </row>
    <row r="590" ht="12.75" customHeight="1">
      <c r="A590" s="2">
        <v>1.400003097E9</v>
      </c>
      <c r="B590" s="12" t="str">
        <f t="shared" si="1"/>
        <v>0</v>
      </c>
      <c r="C590" s="2">
        <v>1.400003097E9</v>
      </c>
      <c r="D590" s="13">
        <v>42222.0</v>
      </c>
      <c r="E590" s="2" t="s">
        <v>1120</v>
      </c>
      <c r="F590" s="2">
        <v>140632.0</v>
      </c>
      <c r="G590" s="2">
        <v>2.0</v>
      </c>
      <c r="H590" s="2">
        <v>9442000.0</v>
      </c>
      <c r="I590" s="2">
        <v>2079170.0</v>
      </c>
      <c r="L590" s="2">
        <v>0.0</v>
      </c>
      <c r="M590" s="2">
        <v>0.0</v>
      </c>
      <c r="N590" s="14">
        <v>0.41805555555555557</v>
      </c>
      <c r="O590" s="2" t="s">
        <v>1113</v>
      </c>
      <c r="P590" s="2">
        <v>1.0</v>
      </c>
      <c r="Q590" s="2">
        <v>2.01508061E8</v>
      </c>
      <c r="R590" s="2">
        <v>3.0</v>
      </c>
      <c r="S590" s="2" t="s">
        <v>1114</v>
      </c>
      <c r="U590" s="2">
        <v>1.0</v>
      </c>
      <c r="V590" s="14">
        <v>0.4215277777777778</v>
      </c>
      <c r="X590" s="2">
        <v>0.0</v>
      </c>
      <c r="Y590" s="2" t="s">
        <v>167</v>
      </c>
      <c r="Z590" s="2" t="s">
        <v>1115</v>
      </c>
      <c r="AA590" s="11">
        <v>42222.42576388889</v>
      </c>
    </row>
    <row r="591" ht="12.75" customHeight="1">
      <c r="A591" s="2">
        <v>1.400003098E9</v>
      </c>
      <c r="B591" s="12" t="str">
        <f t="shared" si="1"/>
        <v>0</v>
      </c>
      <c r="C591" s="2">
        <v>1.400003098E9</v>
      </c>
      <c r="D591" s="13">
        <v>42222.0</v>
      </c>
      <c r="E591" s="2" t="s">
        <v>1121</v>
      </c>
      <c r="F591" s="2">
        <v>140401.0</v>
      </c>
      <c r="G591" s="2">
        <v>2.0</v>
      </c>
      <c r="H591" s="2">
        <v>1081000.0</v>
      </c>
      <c r="I591" s="2">
        <v>252670.0</v>
      </c>
      <c r="L591" s="2">
        <v>0.0</v>
      </c>
      <c r="M591" s="2">
        <v>0.0</v>
      </c>
      <c r="N591" s="14">
        <v>0.41944444444444445</v>
      </c>
      <c r="O591" s="2" t="s">
        <v>1113</v>
      </c>
      <c r="P591" s="2">
        <v>1.0</v>
      </c>
      <c r="Q591" s="2">
        <v>2.01508061E8</v>
      </c>
      <c r="R591" s="2">
        <v>3.0</v>
      </c>
      <c r="S591" s="2" t="s">
        <v>1114</v>
      </c>
      <c r="U591" s="2">
        <v>1.0</v>
      </c>
      <c r="V591" s="14">
        <v>0.41944444444444445</v>
      </c>
      <c r="X591" s="2">
        <v>0.0</v>
      </c>
      <c r="Y591" s="2" t="s">
        <v>167</v>
      </c>
      <c r="Z591" s="2" t="s">
        <v>1115</v>
      </c>
      <c r="AA591" s="11">
        <v>42222.42575231481</v>
      </c>
    </row>
    <row r="592" ht="12.75" customHeight="1">
      <c r="A592" s="2">
        <v>1.400003103E9</v>
      </c>
      <c r="B592" s="12" t="str">
        <f t="shared" si="1"/>
        <v>0</v>
      </c>
      <c r="C592" s="2">
        <v>1.400003103E9</v>
      </c>
      <c r="D592" s="13">
        <v>42222.0</v>
      </c>
      <c r="E592" s="2" t="s">
        <v>1122</v>
      </c>
      <c r="F592" s="2">
        <v>140268.0</v>
      </c>
      <c r="G592" s="2">
        <v>2.0</v>
      </c>
      <c r="H592" s="2">
        <v>4186000.0</v>
      </c>
      <c r="I592" s="2">
        <v>920920.0</v>
      </c>
      <c r="L592" s="2">
        <v>0.0</v>
      </c>
      <c r="M592" s="2">
        <v>0.0</v>
      </c>
      <c r="N592" s="14">
        <v>0.43263888888888885</v>
      </c>
      <c r="O592" s="2" t="s">
        <v>1113</v>
      </c>
      <c r="P592" s="2">
        <v>1.0</v>
      </c>
      <c r="Q592" s="2">
        <v>2.01508061E8</v>
      </c>
      <c r="R592" s="2">
        <v>3.0</v>
      </c>
      <c r="S592" s="2" t="s">
        <v>1114</v>
      </c>
      <c r="U592" s="2">
        <v>1.0</v>
      </c>
      <c r="V592" s="14">
        <v>0.43472222222222223</v>
      </c>
      <c r="X592" s="2">
        <v>0.0</v>
      </c>
      <c r="Y592" s="2" t="s">
        <v>167</v>
      </c>
      <c r="Z592" s="2" t="s">
        <v>1115</v>
      </c>
      <c r="AA592" s="11">
        <v>42222.435208333336</v>
      </c>
    </row>
    <row r="593" ht="12.75" customHeight="1">
      <c r="A593" s="2">
        <v>1.400003104E9</v>
      </c>
      <c r="B593" s="12" t="str">
        <f t="shared" si="1"/>
        <v>0</v>
      </c>
      <c r="C593" s="2">
        <v>1.400003104E9</v>
      </c>
      <c r="D593" s="13">
        <v>42222.0</v>
      </c>
      <c r="E593" s="2" t="s">
        <v>1123</v>
      </c>
      <c r="F593" s="2">
        <v>141539.0</v>
      </c>
      <c r="G593" s="2">
        <v>2.0</v>
      </c>
      <c r="H593" s="2">
        <v>1.5084E7</v>
      </c>
      <c r="I593" s="2">
        <v>3587160.0</v>
      </c>
      <c r="L593" s="2">
        <v>0.0</v>
      </c>
      <c r="M593" s="2">
        <v>0.0</v>
      </c>
      <c r="N593" s="14">
        <v>0.4361111111111111</v>
      </c>
      <c r="O593" s="2" t="s">
        <v>1113</v>
      </c>
      <c r="P593" s="2">
        <v>1.0</v>
      </c>
      <c r="Q593" s="2">
        <v>2.01508061E8</v>
      </c>
      <c r="R593" s="2">
        <v>3.0</v>
      </c>
      <c r="S593" s="2" t="s">
        <v>1114</v>
      </c>
      <c r="U593" s="2">
        <v>1.0</v>
      </c>
      <c r="V593" s="14">
        <v>0.44097222222222227</v>
      </c>
      <c r="X593" s="2">
        <v>0.0</v>
      </c>
      <c r="Y593" s="2" t="s">
        <v>167</v>
      </c>
      <c r="Z593" s="2" t="s">
        <v>1115</v>
      </c>
      <c r="AA593" s="11">
        <v>42222.442037037035</v>
      </c>
    </row>
    <row r="594" ht="12.75" customHeight="1">
      <c r="A594" s="2">
        <v>1.40000311E9</v>
      </c>
      <c r="B594" s="12" t="str">
        <f t="shared" si="1"/>
        <v>0</v>
      </c>
      <c r="C594" s="2">
        <v>1.40000311E9</v>
      </c>
      <c r="D594" s="13">
        <v>42222.0</v>
      </c>
      <c r="E594" s="2" t="s">
        <v>1124</v>
      </c>
      <c r="F594" s="2">
        <v>2.0</v>
      </c>
      <c r="G594" s="2">
        <v>2.0</v>
      </c>
      <c r="H594" s="2">
        <v>4560000.0</v>
      </c>
      <c r="I594" s="2">
        <v>0.0</v>
      </c>
      <c r="L594" s="2">
        <v>0.0</v>
      </c>
      <c r="M594" s="2">
        <v>0.0</v>
      </c>
      <c r="N594" s="14">
        <v>0.46388888888888885</v>
      </c>
      <c r="O594" s="2" t="s">
        <v>1113</v>
      </c>
      <c r="P594" s="2">
        <v>1.0</v>
      </c>
      <c r="Q594" s="2">
        <v>2.01508061E8</v>
      </c>
      <c r="R594" s="2">
        <v>3.0</v>
      </c>
      <c r="S594" s="2" t="s">
        <v>1114</v>
      </c>
      <c r="U594" s="2">
        <v>1.0</v>
      </c>
      <c r="V594" s="14">
        <v>0.46527777777777773</v>
      </c>
      <c r="X594" s="2">
        <v>0.0</v>
      </c>
      <c r="Y594" s="2" t="s">
        <v>167</v>
      </c>
      <c r="Z594" s="2" t="s">
        <v>1115</v>
      </c>
      <c r="AA594" s="11">
        <v>42222.46579861111</v>
      </c>
    </row>
    <row r="595" ht="12.75" customHeight="1">
      <c r="A595" s="2">
        <v>1.400003111E9</v>
      </c>
      <c r="B595" s="12" t="str">
        <f t="shared" si="1"/>
        <v>0</v>
      </c>
      <c r="C595" s="2">
        <v>1.400003111E9</v>
      </c>
      <c r="D595" s="13">
        <v>42222.0</v>
      </c>
      <c r="E595" s="2" t="s">
        <v>1125</v>
      </c>
      <c r="F595" s="2">
        <v>140148.0</v>
      </c>
      <c r="G595" s="2">
        <v>2.0</v>
      </c>
      <c r="H595" s="2">
        <v>6119000.0</v>
      </c>
      <c r="I595" s="2">
        <v>1346180.0</v>
      </c>
      <c r="L595" s="2">
        <v>0.0</v>
      </c>
      <c r="M595" s="2">
        <v>0.0</v>
      </c>
      <c r="N595" s="14">
        <v>0.46527777777777773</v>
      </c>
      <c r="O595" s="2" t="s">
        <v>1113</v>
      </c>
      <c r="P595" s="2">
        <v>1.0</v>
      </c>
      <c r="Q595" s="2">
        <v>2.01508061E8</v>
      </c>
      <c r="R595" s="2">
        <v>3.0</v>
      </c>
      <c r="S595" s="2" t="s">
        <v>1114</v>
      </c>
      <c r="U595" s="2">
        <v>1.0</v>
      </c>
      <c r="V595" s="14">
        <v>0.475</v>
      </c>
      <c r="X595" s="2">
        <v>0.0</v>
      </c>
      <c r="Y595" s="2" t="s">
        <v>167</v>
      </c>
      <c r="Z595" s="2" t="s">
        <v>1115</v>
      </c>
      <c r="AA595" s="11">
        <v>42222.47541666667</v>
      </c>
    </row>
    <row r="596" ht="12.75" customHeight="1">
      <c r="A596" s="2">
        <v>1.400003112E9</v>
      </c>
      <c r="B596" s="12" t="str">
        <f t="shared" si="1"/>
        <v>0</v>
      </c>
      <c r="C596" s="2">
        <v>1.400003112E9</v>
      </c>
      <c r="D596" s="13">
        <v>42222.0</v>
      </c>
      <c r="E596" s="2" t="s">
        <v>1126</v>
      </c>
      <c r="F596" s="2">
        <v>140393.0</v>
      </c>
      <c r="G596" s="2">
        <v>2.0</v>
      </c>
      <c r="H596" s="2">
        <v>2.5364E7</v>
      </c>
      <c r="I596" s="2">
        <v>5798370.0</v>
      </c>
      <c r="L596" s="2">
        <v>0.0</v>
      </c>
      <c r="M596" s="2">
        <v>0.0</v>
      </c>
      <c r="N596" s="14">
        <v>0.46527777777777773</v>
      </c>
      <c r="O596" s="2" t="s">
        <v>1113</v>
      </c>
      <c r="P596" s="2">
        <v>1.0</v>
      </c>
      <c r="Q596" s="2">
        <v>2.01508061E8</v>
      </c>
      <c r="R596" s="2">
        <v>3.0</v>
      </c>
      <c r="S596" s="2" t="s">
        <v>1114</v>
      </c>
      <c r="U596" s="2">
        <v>1.0</v>
      </c>
      <c r="V596" s="14">
        <v>0.48333333333333334</v>
      </c>
      <c r="X596" s="2">
        <v>0.0</v>
      </c>
      <c r="Y596" s="2" t="s">
        <v>167</v>
      </c>
      <c r="Z596" s="2" t="s">
        <v>1115</v>
      </c>
      <c r="AA596" s="11">
        <v>42222.48363425926</v>
      </c>
    </row>
    <row r="597" ht="12.75" customHeight="1">
      <c r="A597" s="2">
        <v>1.400003115E9</v>
      </c>
      <c r="B597" s="12" t="str">
        <f t="shared" si="1"/>
        <v>0</v>
      </c>
      <c r="C597" s="2">
        <v>1.400003115E9</v>
      </c>
      <c r="D597" s="13">
        <v>42222.0</v>
      </c>
      <c r="E597" s="2" t="s">
        <v>1127</v>
      </c>
      <c r="F597" s="2">
        <v>100667.0</v>
      </c>
      <c r="G597" s="2">
        <v>2.0</v>
      </c>
      <c r="H597" s="2">
        <v>1525000.0</v>
      </c>
      <c r="I597" s="2">
        <v>335500.0</v>
      </c>
      <c r="L597" s="2">
        <v>0.0</v>
      </c>
      <c r="M597" s="2">
        <v>0.0</v>
      </c>
      <c r="N597" s="14">
        <v>0.4895833333333333</v>
      </c>
      <c r="O597" s="2" t="s">
        <v>1113</v>
      </c>
      <c r="P597" s="2">
        <v>1.0</v>
      </c>
      <c r="Q597" s="2">
        <v>2.01508061E8</v>
      </c>
      <c r="R597" s="2">
        <v>3.0</v>
      </c>
      <c r="S597" s="2" t="s">
        <v>1114</v>
      </c>
      <c r="U597" s="2">
        <v>1.0</v>
      </c>
      <c r="V597" s="14">
        <v>0.4902777777777778</v>
      </c>
      <c r="X597" s="2">
        <v>0.0</v>
      </c>
      <c r="Y597" s="2" t="s">
        <v>167</v>
      </c>
      <c r="Z597" s="2" t="s">
        <v>1115</v>
      </c>
      <c r="AA597" s="11">
        <v>42222.490798611114</v>
      </c>
    </row>
    <row r="598" ht="12.75" customHeight="1">
      <c r="A598" s="2">
        <v>1.40000312E9</v>
      </c>
      <c r="B598" s="12" t="str">
        <f t="shared" si="1"/>
        <v>0</v>
      </c>
      <c r="C598" s="2">
        <v>1.40000312E9</v>
      </c>
      <c r="D598" s="13">
        <v>42222.0</v>
      </c>
      <c r="E598" s="2" t="s">
        <v>1128</v>
      </c>
      <c r="F598" s="2">
        <v>2.0</v>
      </c>
      <c r="G598" s="2">
        <v>2.0</v>
      </c>
      <c r="H598" s="2">
        <v>-4560000.0</v>
      </c>
      <c r="I598" s="2">
        <v>0.0</v>
      </c>
      <c r="L598" s="2">
        <v>0.0</v>
      </c>
      <c r="M598" s="2">
        <v>0.0</v>
      </c>
      <c r="N598" s="14">
        <v>0.5152777777777778</v>
      </c>
      <c r="O598" s="2" t="s">
        <v>1113</v>
      </c>
      <c r="P598" s="2">
        <v>1.0</v>
      </c>
      <c r="Q598" s="2">
        <v>2.01508061E8</v>
      </c>
      <c r="R598" s="2">
        <v>3.0</v>
      </c>
      <c r="S598" s="2" t="s">
        <v>1114</v>
      </c>
      <c r="U598" s="2">
        <v>1.0</v>
      </c>
      <c r="V598" s="14">
        <v>0.5152777777777778</v>
      </c>
      <c r="X598" s="2">
        <v>0.0</v>
      </c>
      <c r="Y598" s="2" t="s">
        <v>167</v>
      </c>
      <c r="Z598" s="2" t="s">
        <v>1115</v>
      </c>
      <c r="AA598" s="11">
        <v>42222.51603009259</v>
      </c>
    </row>
    <row r="599" ht="12.75" customHeight="1">
      <c r="A599" s="2">
        <v>1.400003123E9</v>
      </c>
      <c r="B599" s="12" t="str">
        <f t="shared" si="1"/>
        <v>0</v>
      </c>
      <c r="C599" s="2">
        <v>1.400003123E9</v>
      </c>
      <c r="D599" s="13">
        <v>42222.0</v>
      </c>
      <c r="E599" s="2" t="s">
        <v>1129</v>
      </c>
      <c r="F599" s="2">
        <v>140088.0</v>
      </c>
      <c r="G599" s="2">
        <v>2.0</v>
      </c>
      <c r="H599" s="2">
        <v>1244000.0</v>
      </c>
      <c r="I599" s="2">
        <v>273680.0</v>
      </c>
      <c r="L599" s="2">
        <v>0.0</v>
      </c>
      <c r="M599" s="2">
        <v>0.0</v>
      </c>
      <c r="N599" s="14">
        <v>0.5236111111111111</v>
      </c>
      <c r="O599" s="2" t="s">
        <v>1113</v>
      </c>
      <c r="P599" s="2">
        <v>1.0</v>
      </c>
      <c r="Q599" s="2">
        <v>2.01508061E8</v>
      </c>
      <c r="R599" s="2">
        <v>3.0</v>
      </c>
      <c r="S599" s="2" t="s">
        <v>1114</v>
      </c>
      <c r="U599" s="2">
        <v>1.0</v>
      </c>
      <c r="V599" s="14">
        <v>0.5652777777777778</v>
      </c>
      <c r="X599" s="2">
        <v>0.0</v>
      </c>
      <c r="Y599" s="2" t="s">
        <v>167</v>
      </c>
      <c r="Z599" s="2" t="s">
        <v>1115</v>
      </c>
      <c r="AA599" s="11">
        <v>42222.565717592595</v>
      </c>
    </row>
    <row r="600" ht="12.75" customHeight="1">
      <c r="A600" s="2">
        <v>1.400003132E9</v>
      </c>
      <c r="B600" s="12" t="str">
        <f t="shared" si="1"/>
        <v>0</v>
      </c>
      <c r="C600" s="2">
        <v>1.400003132E9</v>
      </c>
      <c r="D600" s="13">
        <v>42222.0</v>
      </c>
      <c r="E600" s="2" t="s">
        <v>1130</v>
      </c>
      <c r="F600" s="2">
        <v>141603.0</v>
      </c>
      <c r="G600" s="2">
        <v>2.0</v>
      </c>
      <c r="H600" s="2">
        <v>1.4281E7</v>
      </c>
      <c r="I600" s="2">
        <v>3646670.0</v>
      </c>
      <c r="L600" s="2">
        <v>0.0</v>
      </c>
      <c r="M600" s="2">
        <v>0.0</v>
      </c>
      <c r="N600" s="14">
        <v>0.6638888888888889</v>
      </c>
      <c r="O600" s="2" t="s">
        <v>1113</v>
      </c>
      <c r="P600" s="2">
        <v>1.0</v>
      </c>
      <c r="Q600" s="2">
        <v>2.01508061E8</v>
      </c>
      <c r="R600" s="2">
        <v>3.0</v>
      </c>
      <c r="S600" s="2" t="s">
        <v>1114</v>
      </c>
      <c r="U600" s="2">
        <v>1.0</v>
      </c>
      <c r="V600" s="14">
        <v>0.720138888888889</v>
      </c>
      <c r="X600" s="2">
        <v>0.0</v>
      </c>
      <c r="Y600" s="2" t="s">
        <v>167</v>
      </c>
      <c r="Z600" s="2" t="s">
        <v>1115</v>
      </c>
      <c r="AA600" s="11">
        <v>42222.72048611111</v>
      </c>
    </row>
    <row r="601" ht="12.75" customHeight="1">
      <c r="A601" s="2">
        <v>2.000003462E9</v>
      </c>
      <c r="B601" s="12" t="str">
        <f t="shared" si="1"/>
        <v>-117000</v>
      </c>
      <c r="C601" s="2">
        <v>2.000003462E9</v>
      </c>
      <c r="D601" s="13">
        <v>42176.0</v>
      </c>
      <c r="E601" s="2" t="s">
        <v>1131</v>
      </c>
      <c r="F601" s="2">
        <v>2.0</v>
      </c>
      <c r="G601" s="2">
        <v>2.0</v>
      </c>
      <c r="H601" s="2">
        <v>607000.0</v>
      </c>
      <c r="I601" s="2">
        <v>0.0</v>
      </c>
      <c r="L601" s="2">
        <v>0.0</v>
      </c>
      <c r="M601" s="2">
        <v>0.0</v>
      </c>
      <c r="N601" s="14">
        <v>0.7277777777777777</v>
      </c>
      <c r="O601" s="2" t="s">
        <v>1132</v>
      </c>
      <c r="P601" s="2">
        <v>1.0</v>
      </c>
      <c r="Q601" s="2">
        <v>2.01506211E8</v>
      </c>
      <c r="R601" s="2">
        <v>3.0</v>
      </c>
      <c r="S601" s="2" t="s">
        <v>1114</v>
      </c>
      <c r="U601" s="2">
        <v>1.0</v>
      </c>
      <c r="V601" s="14">
        <v>0.7291666666666666</v>
      </c>
      <c r="X601" s="2">
        <v>0.0</v>
      </c>
      <c r="Y601" s="2" t="s">
        <v>434</v>
      </c>
      <c r="Z601" s="2" t="s">
        <v>1133</v>
      </c>
      <c r="AA601" s="11">
        <v>42177.60041666667</v>
      </c>
    </row>
    <row r="602" ht="12.75" customHeight="1">
      <c r="A602" s="2">
        <v>2.000003473E9</v>
      </c>
      <c r="B602" s="12" t="str">
        <f t="shared" si="1"/>
        <v>-125000</v>
      </c>
      <c r="C602" s="2">
        <v>2.000003473E9</v>
      </c>
      <c r="D602" s="13">
        <v>42176.0</v>
      </c>
      <c r="E602" s="2" t="s">
        <v>1134</v>
      </c>
      <c r="F602" s="2">
        <v>2.0</v>
      </c>
      <c r="G602" s="2">
        <v>2.0</v>
      </c>
      <c r="H602" s="2">
        <v>1255000.0</v>
      </c>
      <c r="I602" s="2">
        <v>0.0</v>
      </c>
      <c r="L602" s="2">
        <v>0.0</v>
      </c>
      <c r="M602" s="2">
        <v>0.0</v>
      </c>
      <c r="N602" s="14">
        <v>0.7916666666666666</v>
      </c>
      <c r="O602" s="2" t="s">
        <v>1132</v>
      </c>
      <c r="P602" s="2">
        <v>1.0</v>
      </c>
      <c r="Q602" s="2">
        <v>2.01506211E8</v>
      </c>
      <c r="R602" s="2">
        <v>3.0</v>
      </c>
      <c r="S602" s="2" t="s">
        <v>1114</v>
      </c>
      <c r="U602" s="2">
        <v>1.0</v>
      </c>
      <c r="V602" s="14">
        <v>0.7986111111111112</v>
      </c>
      <c r="X602" s="2">
        <v>0.0</v>
      </c>
      <c r="Y602" s="2" t="s">
        <v>434</v>
      </c>
      <c r="Z602" s="2" t="s">
        <v>1133</v>
      </c>
      <c r="AA602" s="11">
        <v>42177.756886574076</v>
      </c>
    </row>
    <row r="603" ht="12.75" customHeight="1">
      <c r="A603" s="2">
        <v>2.000003777E9</v>
      </c>
      <c r="B603" s="12" t="str">
        <f t="shared" si="1"/>
        <v>0</v>
      </c>
      <c r="C603" s="2">
        <v>2.000003777E9</v>
      </c>
      <c r="D603" s="13">
        <v>42185.0</v>
      </c>
      <c r="E603" s="2" t="s">
        <v>1135</v>
      </c>
      <c r="F603" s="2">
        <v>2.0</v>
      </c>
      <c r="G603" s="2">
        <v>2.0</v>
      </c>
      <c r="H603" s="2">
        <v>3754000.0</v>
      </c>
      <c r="I603" s="2">
        <v>0.0</v>
      </c>
      <c r="L603" s="2">
        <v>0.0</v>
      </c>
      <c r="M603" s="2">
        <v>0.0</v>
      </c>
      <c r="N603" s="14">
        <v>0.4305555555555556</v>
      </c>
      <c r="O603" s="2" t="s">
        <v>1132</v>
      </c>
      <c r="P603" s="2">
        <v>1.0</v>
      </c>
      <c r="Q603" s="2">
        <v>2.01506301E8</v>
      </c>
      <c r="R603" s="2">
        <v>3.0</v>
      </c>
      <c r="S603" s="2" t="s">
        <v>1114</v>
      </c>
      <c r="U603" s="2">
        <v>1.0</v>
      </c>
      <c r="V603" s="14">
        <v>0.43125</v>
      </c>
      <c r="X603" s="2">
        <v>0.0</v>
      </c>
      <c r="Y603" s="2" t="s">
        <v>434</v>
      </c>
      <c r="Z603" s="2" t="s">
        <v>1133</v>
      </c>
      <c r="AA603" s="11">
        <v>42185.43173611111</v>
      </c>
    </row>
    <row r="604" ht="12.75" customHeight="1">
      <c r="A604" s="2">
        <v>2.000003833E9</v>
      </c>
      <c r="B604" s="12" t="str">
        <f t="shared" si="1"/>
        <v>0</v>
      </c>
      <c r="C604" s="2">
        <v>2.000003833E9</v>
      </c>
      <c r="D604" s="13">
        <v>42186.0</v>
      </c>
      <c r="E604" s="2" t="s">
        <v>1136</v>
      </c>
      <c r="F604" s="2">
        <v>2.0</v>
      </c>
      <c r="G604" s="2">
        <v>2.0</v>
      </c>
      <c r="H604" s="2">
        <v>288000.0</v>
      </c>
      <c r="I604" s="2">
        <v>57600.0</v>
      </c>
      <c r="L604" s="2">
        <v>0.0</v>
      </c>
      <c r="M604" s="2">
        <v>0.0</v>
      </c>
      <c r="N604" s="14">
        <v>0.6909722222222222</v>
      </c>
      <c r="O604" s="2" t="s">
        <v>1132</v>
      </c>
      <c r="P604" s="2">
        <v>1.0</v>
      </c>
      <c r="Q604" s="2">
        <v>2.01507011E8</v>
      </c>
      <c r="R604" s="2">
        <v>3.0</v>
      </c>
      <c r="S604" s="2" t="s">
        <v>1114</v>
      </c>
      <c r="U604" s="2">
        <v>1.0</v>
      </c>
      <c r="V604" s="14">
        <v>0.6909722222222222</v>
      </c>
      <c r="X604" s="2">
        <v>0.0</v>
      </c>
      <c r="Y604" s="2" t="s">
        <v>434</v>
      </c>
      <c r="Z604" s="2" t="s">
        <v>1133</v>
      </c>
      <c r="AA604" s="11">
        <v>42186.69148148148</v>
      </c>
    </row>
    <row r="605" ht="12.75" customHeight="1">
      <c r="A605" s="2">
        <v>2.000003838E9</v>
      </c>
      <c r="B605" s="12" t="str">
        <f t="shared" si="1"/>
        <v>0</v>
      </c>
      <c r="C605" s="2">
        <v>2.000003838E9</v>
      </c>
      <c r="D605" s="13">
        <v>42186.0</v>
      </c>
      <c r="E605" s="2" t="s">
        <v>1137</v>
      </c>
      <c r="F605" s="2">
        <v>2.0</v>
      </c>
      <c r="G605" s="2">
        <v>2.0</v>
      </c>
      <c r="H605" s="2">
        <v>446000.0</v>
      </c>
      <c r="I605" s="2">
        <v>0.0</v>
      </c>
      <c r="L605" s="2">
        <v>0.0</v>
      </c>
      <c r="M605" s="2">
        <v>0.0</v>
      </c>
      <c r="N605" s="14">
        <v>0.7104166666666667</v>
      </c>
      <c r="O605" s="2" t="s">
        <v>1132</v>
      </c>
      <c r="P605" s="2">
        <v>1.0</v>
      </c>
      <c r="Q605" s="2">
        <v>2.01507011E8</v>
      </c>
      <c r="R605" s="2">
        <v>3.0</v>
      </c>
      <c r="S605" s="2" t="s">
        <v>1114</v>
      </c>
      <c r="U605" s="2">
        <v>1.0</v>
      </c>
      <c r="V605" s="14">
        <v>0.7111111111111111</v>
      </c>
      <c r="X605" s="2">
        <v>0.0</v>
      </c>
      <c r="Y605" s="2" t="s">
        <v>434</v>
      </c>
      <c r="Z605" s="2" t="s">
        <v>1133</v>
      </c>
      <c r="AA605" s="11">
        <v>42186.71105324074</v>
      </c>
    </row>
    <row r="606" ht="12.75" customHeight="1">
      <c r="A606" s="2">
        <v>2.000003839E9</v>
      </c>
      <c r="B606" s="12" t="str">
        <f t="shared" si="1"/>
        <v>0</v>
      </c>
      <c r="C606" s="2">
        <v>2.000003839E9</v>
      </c>
      <c r="D606" s="13">
        <v>42186.0</v>
      </c>
      <c r="E606" s="2" t="s">
        <v>1138</v>
      </c>
      <c r="F606" s="2">
        <v>2.0</v>
      </c>
      <c r="G606" s="2">
        <v>2.0</v>
      </c>
      <c r="H606" s="2">
        <v>343000.0</v>
      </c>
      <c r="I606" s="2">
        <v>0.0</v>
      </c>
      <c r="L606" s="2">
        <v>0.0</v>
      </c>
      <c r="M606" s="2">
        <v>0.0</v>
      </c>
      <c r="N606" s="14">
        <v>0.7375</v>
      </c>
      <c r="O606" s="2" t="s">
        <v>1132</v>
      </c>
      <c r="P606" s="2">
        <v>1.0</v>
      </c>
      <c r="Q606" s="2">
        <v>2.01507011E8</v>
      </c>
      <c r="R606" s="2">
        <v>3.0</v>
      </c>
      <c r="S606" s="2" t="s">
        <v>1114</v>
      </c>
      <c r="U606" s="2">
        <v>1.0</v>
      </c>
      <c r="V606" s="14">
        <v>0.7381944444444444</v>
      </c>
      <c r="X606" s="2">
        <v>0.0</v>
      </c>
      <c r="Y606" s="2" t="s">
        <v>434</v>
      </c>
      <c r="Z606" s="2" t="s">
        <v>1133</v>
      </c>
      <c r="AA606" s="11">
        <v>42186.738171296296</v>
      </c>
    </row>
    <row r="607" ht="12.75" customHeight="1">
      <c r="A607" s="2">
        <v>2.000003841E9</v>
      </c>
      <c r="B607" s="12" t="str">
        <f t="shared" si="1"/>
        <v>0</v>
      </c>
      <c r="C607" s="2">
        <v>2.000003841E9</v>
      </c>
      <c r="D607" s="13">
        <v>42186.0</v>
      </c>
      <c r="E607" s="2" t="s">
        <v>1139</v>
      </c>
      <c r="F607" s="2">
        <v>2.0</v>
      </c>
      <c r="G607" s="2">
        <v>2.0</v>
      </c>
      <c r="H607" s="2">
        <v>440000.0</v>
      </c>
      <c r="I607" s="2">
        <v>0.0</v>
      </c>
      <c r="L607" s="2">
        <v>0.0</v>
      </c>
      <c r="M607" s="2">
        <v>0.0</v>
      </c>
      <c r="N607" s="14">
        <v>0.7534722222222222</v>
      </c>
      <c r="O607" s="2" t="s">
        <v>1132</v>
      </c>
      <c r="P607" s="2">
        <v>1.0</v>
      </c>
      <c r="Q607" s="2">
        <v>2.01507011E8</v>
      </c>
      <c r="R607" s="2">
        <v>3.0</v>
      </c>
      <c r="S607" s="2" t="s">
        <v>1114</v>
      </c>
      <c r="U607" s="2">
        <v>1.0</v>
      </c>
      <c r="V607" s="14">
        <v>0.7541666666666668</v>
      </c>
      <c r="X607" s="2">
        <v>0.0</v>
      </c>
      <c r="Y607" s="2" t="s">
        <v>434</v>
      </c>
      <c r="Z607" s="2" t="s">
        <v>1133</v>
      </c>
      <c r="AA607" s="11">
        <v>42186.75420138889</v>
      </c>
    </row>
    <row r="608" ht="12.75" customHeight="1">
      <c r="A608" s="2">
        <v>2.000003846E9</v>
      </c>
      <c r="B608" s="12" t="str">
        <f t="shared" si="1"/>
        <v>0</v>
      </c>
      <c r="C608" s="2">
        <v>2.000003846E9</v>
      </c>
      <c r="D608" s="13">
        <v>42186.0</v>
      </c>
      <c r="E608" s="2" t="s">
        <v>1140</v>
      </c>
      <c r="F608" s="2">
        <v>2.0</v>
      </c>
      <c r="G608" s="2">
        <v>2.0</v>
      </c>
      <c r="H608" s="2">
        <v>495000.0</v>
      </c>
      <c r="I608" s="2">
        <v>0.0</v>
      </c>
      <c r="L608" s="2">
        <v>0.0</v>
      </c>
      <c r="M608" s="2">
        <v>0.0</v>
      </c>
      <c r="N608" s="14">
        <v>0.7763888888888889</v>
      </c>
      <c r="O608" s="2" t="s">
        <v>1132</v>
      </c>
      <c r="P608" s="2">
        <v>1.0</v>
      </c>
      <c r="Q608" s="2">
        <v>2.01507011E8</v>
      </c>
      <c r="R608" s="2">
        <v>3.0</v>
      </c>
      <c r="S608" s="2" t="s">
        <v>1114</v>
      </c>
      <c r="U608" s="2">
        <v>1.0</v>
      </c>
      <c r="V608" s="14">
        <v>0.7777777777777778</v>
      </c>
      <c r="X608" s="2">
        <v>0.0</v>
      </c>
      <c r="Y608" s="2" t="s">
        <v>434</v>
      </c>
      <c r="Z608" s="2" t="s">
        <v>1133</v>
      </c>
      <c r="AA608" s="11">
        <v>42186.777766203704</v>
      </c>
    </row>
    <row r="609" ht="12.75" customHeight="1">
      <c r="A609" s="2">
        <v>2.000003848E9</v>
      </c>
      <c r="B609" s="12" t="str">
        <f t="shared" si="1"/>
        <v>0</v>
      </c>
      <c r="C609" s="2">
        <v>2.000003848E9</v>
      </c>
      <c r="D609" s="13">
        <v>42186.0</v>
      </c>
      <c r="E609" s="2" t="s">
        <v>1141</v>
      </c>
      <c r="F609" s="2">
        <v>2.0</v>
      </c>
      <c r="G609" s="2">
        <v>2.0</v>
      </c>
      <c r="H609" s="2">
        <v>1246000.0</v>
      </c>
      <c r="I609" s="2">
        <v>0.0</v>
      </c>
      <c r="L609" s="2">
        <v>0.0</v>
      </c>
      <c r="M609" s="2">
        <v>0.0</v>
      </c>
      <c r="N609" s="14">
        <v>0.779861111111111</v>
      </c>
      <c r="O609" s="2" t="s">
        <v>1132</v>
      </c>
      <c r="P609" s="2">
        <v>1.0</v>
      </c>
      <c r="Q609" s="2">
        <v>2.01507011E8</v>
      </c>
      <c r="R609" s="2">
        <v>3.0</v>
      </c>
      <c r="S609" s="2" t="s">
        <v>1114</v>
      </c>
      <c r="U609" s="2">
        <v>1.0</v>
      </c>
      <c r="V609" s="14">
        <v>0.78125</v>
      </c>
      <c r="X609" s="2">
        <v>0.0</v>
      </c>
      <c r="Y609" s="2" t="s">
        <v>434</v>
      </c>
      <c r="Z609" s="2" t="s">
        <v>1133</v>
      </c>
      <c r="AA609" s="11">
        <v>42186.78162037037</v>
      </c>
    </row>
    <row r="610" ht="12.75" customHeight="1">
      <c r="A610" s="2">
        <v>2.00000385E9</v>
      </c>
      <c r="B610" s="12" t="str">
        <f t="shared" si="1"/>
        <v>0</v>
      </c>
      <c r="C610" s="2">
        <v>2.00000385E9</v>
      </c>
      <c r="D610" s="13">
        <v>42186.0</v>
      </c>
      <c r="E610" s="2" t="s">
        <v>1142</v>
      </c>
      <c r="F610" s="2">
        <v>2.0</v>
      </c>
      <c r="G610" s="2">
        <v>2.0</v>
      </c>
      <c r="H610" s="2">
        <v>259000.0</v>
      </c>
      <c r="I610" s="2">
        <v>0.0</v>
      </c>
      <c r="L610" s="2">
        <v>0.0</v>
      </c>
      <c r="M610" s="2">
        <v>0.0</v>
      </c>
      <c r="N610" s="14">
        <v>0.7902777777777777</v>
      </c>
      <c r="O610" s="2" t="s">
        <v>1132</v>
      </c>
      <c r="P610" s="2">
        <v>1.0</v>
      </c>
      <c r="Q610" s="2">
        <v>2.01507011E8</v>
      </c>
      <c r="R610" s="2">
        <v>3.0</v>
      </c>
      <c r="S610" s="2" t="s">
        <v>1114</v>
      </c>
      <c r="U610" s="2">
        <v>1.0</v>
      </c>
      <c r="V610" s="14">
        <v>0.7909722222222223</v>
      </c>
      <c r="X610" s="2">
        <v>0.0</v>
      </c>
      <c r="Y610" s="2" t="s">
        <v>434</v>
      </c>
      <c r="Z610" s="2" t="s">
        <v>1133</v>
      </c>
      <c r="AA610" s="11">
        <v>42186.79131944444</v>
      </c>
    </row>
    <row r="611" ht="12.75" customHeight="1">
      <c r="A611" s="2">
        <v>2.000003853E9</v>
      </c>
      <c r="B611" s="12" t="str">
        <f t="shared" si="1"/>
        <v>0</v>
      </c>
      <c r="C611" s="2">
        <v>2.000003853E9</v>
      </c>
      <c r="D611" s="13">
        <v>42186.0</v>
      </c>
      <c r="E611" s="2" t="s">
        <v>1143</v>
      </c>
      <c r="F611" s="2">
        <v>2.0</v>
      </c>
      <c r="G611" s="2">
        <v>2.0</v>
      </c>
      <c r="H611" s="2">
        <v>325000.0</v>
      </c>
      <c r="I611" s="2">
        <v>0.0</v>
      </c>
      <c r="L611" s="2">
        <v>0.0</v>
      </c>
      <c r="M611" s="2">
        <v>0.0</v>
      </c>
      <c r="N611" s="14">
        <v>0.8180555555555555</v>
      </c>
      <c r="O611" s="2" t="s">
        <v>1132</v>
      </c>
      <c r="P611" s="2">
        <v>1.0</v>
      </c>
      <c r="Q611" s="2">
        <v>2.01507011E8</v>
      </c>
      <c r="R611" s="2">
        <v>3.0</v>
      </c>
      <c r="S611" s="2" t="s">
        <v>1114</v>
      </c>
      <c r="U611" s="2">
        <v>1.0</v>
      </c>
      <c r="V611" s="14">
        <v>0.81875</v>
      </c>
      <c r="X611" s="2">
        <v>0.0</v>
      </c>
      <c r="Y611" s="2" t="s">
        <v>434</v>
      </c>
      <c r="Z611" s="2" t="s">
        <v>1133</v>
      </c>
      <c r="AA611" s="11">
        <v>42186.818923611114</v>
      </c>
    </row>
    <row r="612" ht="12.75" customHeight="1">
      <c r="A612" s="2">
        <v>2.000003854E9</v>
      </c>
      <c r="B612" s="12" t="str">
        <f t="shared" si="1"/>
        <v>0</v>
      </c>
      <c r="C612" s="2">
        <v>2.000003854E9</v>
      </c>
      <c r="D612" s="13">
        <v>42186.0</v>
      </c>
      <c r="E612" s="2" t="s">
        <v>1144</v>
      </c>
      <c r="F612" s="2">
        <v>2.0</v>
      </c>
      <c r="G612" s="2">
        <v>2.0</v>
      </c>
      <c r="H612" s="2">
        <v>510000.0</v>
      </c>
      <c r="I612" s="2">
        <v>0.0</v>
      </c>
      <c r="L612" s="2">
        <v>0.0</v>
      </c>
      <c r="M612" s="2">
        <v>0.0</v>
      </c>
      <c r="N612" s="14">
        <v>0.8326388888888889</v>
      </c>
      <c r="O612" s="2" t="s">
        <v>1132</v>
      </c>
      <c r="P612" s="2">
        <v>1.0</v>
      </c>
      <c r="Q612" s="2">
        <v>2.01507011E8</v>
      </c>
      <c r="R612" s="2">
        <v>3.0</v>
      </c>
      <c r="S612" s="2" t="s">
        <v>1114</v>
      </c>
      <c r="U612" s="2">
        <v>1.0</v>
      </c>
      <c r="V612" s="14">
        <v>0.8333333333333334</v>
      </c>
      <c r="X612" s="2">
        <v>0.0</v>
      </c>
      <c r="Y612" s="2" t="s">
        <v>434</v>
      </c>
      <c r="Z612" s="2" t="s">
        <v>1133</v>
      </c>
      <c r="AA612" s="11">
        <v>42186.8337962963</v>
      </c>
    </row>
    <row r="613" ht="12.75" customHeight="1">
      <c r="A613" s="2">
        <v>2.0000039E9</v>
      </c>
      <c r="B613" s="12" t="str">
        <f t="shared" si="1"/>
        <v>0</v>
      </c>
      <c r="C613" s="2">
        <v>2.0000039E9</v>
      </c>
      <c r="D613" s="13">
        <v>42187.0</v>
      </c>
      <c r="E613" s="2" t="s">
        <v>1145</v>
      </c>
      <c r="F613" s="2">
        <v>2.0</v>
      </c>
      <c r="G613" s="2">
        <v>2.0</v>
      </c>
      <c r="H613" s="2">
        <v>180000.0</v>
      </c>
      <c r="I613" s="2">
        <v>0.0</v>
      </c>
      <c r="L613" s="2">
        <v>0.0</v>
      </c>
      <c r="M613" s="2">
        <v>0.0</v>
      </c>
      <c r="N613" s="14">
        <v>0.8548611111111111</v>
      </c>
      <c r="O613" s="2" t="s">
        <v>1132</v>
      </c>
      <c r="P613" s="2">
        <v>1.0</v>
      </c>
      <c r="Q613" s="2">
        <v>2.01507021E8</v>
      </c>
      <c r="R613" s="2">
        <v>3.0</v>
      </c>
      <c r="S613" s="2" t="s">
        <v>1114</v>
      </c>
      <c r="U613" s="2">
        <v>1.0</v>
      </c>
      <c r="V613" s="14">
        <v>0.8555555555555556</v>
      </c>
      <c r="X613" s="2">
        <v>0.0</v>
      </c>
      <c r="Y613" s="2" t="s">
        <v>434</v>
      </c>
      <c r="Z613" s="2" t="s">
        <v>1133</v>
      </c>
      <c r="AA613" s="11">
        <v>42187.85599537037</v>
      </c>
    </row>
    <row r="614" ht="12.75" customHeight="1">
      <c r="A614" s="2">
        <v>2.000003931E9</v>
      </c>
      <c r="B614" s="12" t="str">
        <f t="shared" si="1"/>
        <v>0</v>
      </c>
      <c r="C614" s="2">
        <v>2.000003931E9</v>
      </c>
      <c r="D614" s="13">
        <v>42188.0</v>
      </c>
      <c r="E614" s="2" t="s">
        <v>1146</v>
      </c>
      <c r="F614" s="2">
        <v>100885.0</v>
      </c>
      <c r="G614" s="2">
        <v>2.0</v>
      </c>
      <c r="H614" s="2">
        <v>1.9611E7</v>
      </c>
      <c r="I614" s="2">
        <v>4706640.0</v>
      </c>
      <c r="L614" s="2">
        <v>0.0</v>
      </c>
      <c r="M614" s="2">
        <v>0.0</v>
      </c>
      <c r="N614" s="14">
        <v>0.7166666666666667</v>
      </c>
      <c r="O614" s="2" t="s">
        <v>1113</v>
      </c>
      <c r="P614" s="2">
        <v>1.0</v>
      </c>
      <c r="Q614" s="2">
        <v>2.01507031E8</v>
      </c>
      <c r="R614" s="2">
        <v>3.0</v>
      </c>
      <c r="S614" s="2" t="s">
        <v>1114</v>
      </c>
      <c r="U614" s="2">
        <v>1.0</v>
      </c>
      <c r="V614" s="14">
        <v>0.7256944444444445</v>
      </c>
      <c r="X614" s="2">
        <v>0.0</v>
      </c>
      <c r="Y614" s="2" t="s">
        <v>434</v>
      </c>
      <c r="Z614" s="2" t="s">
        <v>1133</v>
      </c>
      <c r="AA614" s="11">
        <v>42188.787511574075</v>
      </c>
    </row>
    <row r="615" ht="12.75" customHeight="1">
      <c r="A615" s="2">
        <v>2.000003932E9</v>
      </c>
      <c r="B615" s="12" t="str">
        <f t="shared" si="1"/>
        <v>0</v>
      </c>
      <c r="C615" s="2">
        <v>2.000003932E9</v>
      </c>
      <c r="D615" s="13">
        <v>42188.0</v>
      </c>
      <c r="E615" s="2" t="s">
        <v>1147</v>
      </c>
      <c r="F615" s="2">
        <v>2.0</v>
      </c>
      <c r="G615" s="2">
        <v>2.0</v>
      </c>
      <c r="H615" s="2">
        <v>195000.0</v>
      </c>
      <c r="I615" s="2">
        <v>0.0</v>
      </c>
      <c r="L615" s="2">
        <v>0.0</v>
      </c>
      <c r="M615" s="2">
        <v>0.0</v>
      </c>
      <c r="N615" s="14">
        <v>0.7305555555555556</v>
      </c>
      <c r="O615" s="2" t="s">
        <v>1132</v>
      </c>
      <c r="P615" s="2">
        <v>1.0</v>
      </c>
      <c r="Q615" s="2">
        <v>2.01507031E8</v>
      </c>
      <c r="R615" s="2">
        <v>3.0</v>
      </c>
      <c r="S615" s="2" t="s">
        <v>1114</v>
      </c>
      <c r="U615" s="2">
        <v>1.0</v>
      </c>
      <c r="V615" s="14">
        <v>0.7305555555555556</v>
      </c>
      <c r="X615" s="2">
        <v>0.0</v>
      </c>
      <c r="Y615" s="2" t="s">
        <v>434</v>
      </c>
      <c r="Z615" s="2" t="s">
        <v>1133</v>
      </c>
      <c r="AA615" s="11">
        <v>42188.78760416667</v>
      </c>
    </row>
    <row r="616" ht="12.75" customHeight="1">
      <c r="A616" s="2">
        <v>2.000003933E9</v>
      </c>
      <c r="B616" s="12" t="str">
        <f t="shared" si="1"/>
        <v>0</v>
      </c>
      <c r="C616" s="2">
        <v>2.000003933E9</v>
      </c>
      <c r="D616" s="13">
        <v>42188.0</v>
      </c>
      <c r="E616" s="2" t="s">
        <v>1148</v>
      </c>
      <c r="F616" s="2">
        <v>203002.0</v>
      </c>
      <c r="G616" s="2">
        <v>2.0</v>
      </c>
      <c r="H616" s="2">
        <v>935000.0</v>
      </c>
      <c r="I616" s="2">
        <v>187000.0</v>
      </c>
      <c r="L616" s="2">
        <v>0.0</v>
      </c>
      <c r="M616" s="2">
        <v>0.0</v>
      </c>
      <c r="N616" s="14">
        <v>0.7368055555555556</v>
      </c>
      <c r="O616" s="2" t="s">
        <v>1113</v>
      </c>
      <c r="P616" s="2">
        <v>1.0</v>
      </c>
      <c r="Q616" s="2">
        <v>2.01507031E8</v>
      </c>
      <c r="R616" s="2">
        <v>3.0</v>
      </c>
      <c r="S616" s="2" t="s">
        <v>1114</v>
      </c>
      <c r="U616" s="2">
        <v>1.0</v>
      </c>
      <c r="V616" s="14">
        <v>0.7402777777777777</v>
      </c>
      <c r="X616" s="2">
        <v>0.0</v>
      </c>
      <c r="Y616" s="2" t="s">
        <v>434</v>
      </c>
      <c r="Z616" s="2" t="s">
        <v>1133</v>
      </c>
      <c r="AA616" s="11">
        <v>42188.78766203704</v>
      </c>
    </row>
    <row r="617" ht="12.75" customHeight="1">
      <c r="A617" s="2">
        <v>2.000003934E9</v>
      </c>
      <c r="B617" s="12" t="str">
        <f t="shared" si="1"/>
        <v>0</v>
      </c>
      <c r="C617" s="2">
        <v>2.000003934E9</v>
      </c>
      <c r="D617" s="13">
        <v>42188.0</v>
      </c>
      <c r="E617" s="2" t="s">
        <v>1149</v>
      </c>
      <c r="F617" s="2">
        <v>2.0</v>
      </c>
      <c r="G617" s="2">
        <v>2.0</v>
      </c>
      <c r="H617" s="2">
        <v>-20000.0</v>
      </c>
      <c r="I617" s="2">
        <v>0.0</v>
      </c>
      <c r="L617" s="2">
        <v>0.0</v>
      </c>
      <c r="M617" s="2">
        <v>0.0</v>
      </c>
      <c r="N617" s="14">
        <v>0.7395833333333334</v>
      </c>
      <c r="O617" s="2" t="s">
        <v>1132</v>
      </c>
      <c r="P617" s="2">
        <v>1.0</v>
      </c>
      <c r="Q617" s="2">
        <v>2.01507031E8</v>
      </c>
      <c r="R617" s="2">
        <v>3.0</v>
      </c>
      <c r="S617" s="2" t="s">
        <v>1114</v>
      </c>
      <c r="U617" s="2">
        <v>1.0</v>
      </c>
      <c r="V617" s="14">
        <v>0.7395833333333334</v>
      </c>
      <c r="X617" s="2">
        <v>0.0</v>
      </c>
      <c r="Y617" s="2" t="s">
        <v>434</v>
      </c>
      <c r="Z617" s="2" t="s">
        <v>1133</v>
      </c>
      <c r="AA617" s="11">
        <v>42188.787627314814</v>
      </c>
    </row>
    <row r="618" ht="12.75" customHeight="1">
      <c r="A618" s="2">
        <v>2.000003935E9</v>
      </c>
      <c r="B618" s="12" t="str">
        <f t="shared" si="1"/>
        <v>0</v>
      </c>
      <c r="C618" s="2">
        <v>2.000003935E9</v>
      </c>
      <c r="D618" s="13">
        <v>42188.0</v>
      </c>
      <c r="E618" s="2" t="s">
        <v>1150</v>
      </c>
      <c r="F618" s="2">
        <v>2.0</v>
      </c>
      <c r="G618" s="2">
        <v>2.0</v>
      </c>
      <c r="H618" s="2">
        <v>550000.0</v>
      </c>
      <c r="I618" s="2">
        <v>110000.0</v>
      </c>
      <c r="L618" s="2">
        <v>0.0</v>
      </c>
      <c r="M618" s="2">
        <v>0.0</v>
      </c>
      <c r="N618" s="14">
        <v>0.7423611111111111</v>
      </c>
      <c r="O618" s="2" t="s">
        <v>1132</v>
      </c>
      <c r="P618" s="2">
        <v>1.0</v>
      </c>
      <c r="Q618" s="2">
        <v>2.01507031E8</v>
      </c>
      <c r="R618" s="2">
        <v>3.0</v>
      </c>
      <c r="S618" s="2" t="s">
        <v>1114</v>
      </c>
      <c r="U618" s="2">
        <v>1.0</v>
      </c>
      <c r="V618" s="14">
        <v>0.7423611111111111</v>
      </c>
      <c r="X618" s="2">
        <v>0.0</v>
      </c>
      <c r="Y618" s="2" t="s">
        <v>434</v>
      </c>
      <c r="Z618" s="2" t="s">
        <v>1133</v>
      </c>
      <c r="AA618" s="11">
        <v>42188.78768518518</v>
      </c>
    </row>
    <row r="619" ht="12.75" customHeight="1">
      <c r="A619" s="2">
        <v>2.000003936E9</v>
      </c>
      <c r="B619" s="12" t="str">
        <f t="shared" si="1"/>
        <v>0</v>
      </c>
      <c r="C619" s="2">
        <v>2.000003936E9</v>
      </c>
      <c r="D619" s="13">
        <v>42188.0</v>
      </c>
      <c r="E619" s="2" t="s">
        <v>1151</v>
      </c>
      <c r="F619" s="2">
        <v>203003.0</v>
      </c>
      <c r="G619" s="2">
        <v>2.0</v>
      </c>
      <c r="H619" s="2">
        <v>355000.0</v>
      </c>
      <c r="I619" s="2">
        <v>71000.0</v>
      </c>
      <c r="L619" s="2">
        <v>0.0</v>
      </c>
      <c r="M619" s="2">
        <v>0.0</v>
      </c>
      <c r="N619" s="14">
        <v>0.74375</v>
      </c>
      <c r="O619" s="2" t="s">
        <v>1113</v>
      </c>
      <c r="P619" s="2">
        <v>1.0</v>
      </c>
      <c r="Q619" s="2">
        <v>2.01507031E8</v>
      </c>
      <c r="R619" s="2">
        <v>3.0</v>
      </c>
      <c r="S619" s="2" t="s">
        <v>1114</v>
      </c>
      <c r="U619" s="2">
        <v>1.0</v>
      </c>
      <c r="V619" s="14">
        <v>0.7444444444444445</v>
      </c>
      <c r="X619" s="2">
        <v>0.0</v>
      </c>
      <c r="Y619" s="2" t="s">
        <v>434</v>
      </c>
      <c r="Z619" s="2" t="s">
        <v>1133</v>
      </c>
      <c r="AA619" s="11">
        <v>42188.78769675926</v>
      </c>
    </row>
    <row r="620" ht="12.75" customHeight="1">
      <c r="A620" s="2">
        <v>2.000003937E9</v>
      </c>
      <c r="B620" s="12" t="str">
        <f t="shared" si="1"/>
        <v>0</v>
      </c>
      <c r="C620" s="2">
        <v>2.000003937E9</v>
      </c>
      <c r="D620" s="13">
        <v>42188.0</v>
      </c>
      <c r="E620" s="2" t="s">
        <v>1152</v>
      </c>
      <c r="F620" s="2">
        <v>102340.0</v>
      </c>
      <c r="G620" s="2">
        <v>2.0</v>
      </c>
      <c r="H620" s="2">
        <v>860000.0</v>
      </c>
      <c r="I620" s="2">
        <v>172000.0</v>
      </c>
      <c r="L620" s="2">
        <v>0.0</v>
      </c>
      <c r="M620" s="2">
        <v>0.0</v>
      </c>
      <c r="N620" s="14">
        <v>0.7465277777777778</v>
      </c>
      <c r="O620" s="2" t="s">
        <v>1113</v>
      </c>
      <c r="P620" s="2">
        <v>1.0</v>
      </c>
      <c r="Q620" s="2">
        <v>2.01507031E8</v>
      </c>
      <c r="R620" s="2">
        <v>3.0</v>
      </c>
      <c r="S620" s="2" t="s">
        <v>1114</v>
      </c>
      <c r="U620" s="2">
        <v>1.0</v>
      </c>
      <c r="V620" s="14">
        <v>0.7472222222222222</v>
      </c>
      <c r="X620" s="2">
        <v>0.0</v>
      </c>
      <c r="Y620" s="2" t="s">
        <v>434</v>
      </c>
      <c r="Z620" s="2" t="s">
        <v>1133</v>
      </c>
      <c r="AA620" s="11">
        <v>42188.78769675926</v>
      </c>
    </row>
    <row r="621" ht="12.75" customHeight="1">
      <c r="A621" s="2">
        <v>2.000003938E9</v>
      </c>
      <c r="B621" s="12" t="str">
        <f t="shared" si="1"/>
        <v>0</v>
      </c>
      <c r="C621" s="2">
        <v>2.000003938E9</v>
      </c>
      <c r="D621" s="13">
        <v>42188.0</v>
      </c>
      <c r="E621" s="2" t="s">
        <v>1153</v>
      </c>
      <c r="F621" s="2">
        <v>102327.0</v>
      </c>
      <c r="G621" s="2">
        <v>2.0</v>
      </c>
      <c r="H621" s="2">
        <v>1106000.0</v>
      </c>
      <c r="I621" s="2">
        <v>221200.0</v>
      </c>
      <c r="L621" s="2">
        <v>0.0</v>
      </c>
      <c r="M621" s="2">
        <v>0.0</v>
      </c>
      <c r="N621" s="14">
        <v>0.748611111111111</v>
      </c>
      <c r="O621" s="2" t="s">
        <v>1113</v>
      </c>
      <c r="P621" s="2">
        <v>1.0</v>
      </c>
      <c r="Q621" s="2">
        <v>2.01507031E8</v>
      </c>
      <c r="R621" s="2">
        <v>3.0</v>
      </c>
      <c r="S621" s="2" t="s">
        <v>1114</v>
      </c>
      <c r="U621" s="2">
        <v>1.0</v>
      </c>
      <c r="V621" s="14">
        <v>0.7506944444444444</v>
      </c>
      <c r="X621" s="2">
        <v>0.0</v>
      </c>
      <c r="Y621" s="2" t="s">
        <v>434</v>
      </c>
      <c r="Z621" s="2" t="s">
        <v>1133</v>
      </c>
      <c r="AA621" s="11">
        <v>42188.78770833334</v>
      </c>
    </row>
    <row r="622" ht="12.75" customHeight="1">
      <c r="A622" s="2">
        <v>2.000003939E9</v>
      </c>
      <c r="B622" s="12" t="str">
        <f t="shared" si="1"/>
        <v>0</v>
      </c>
      <c r="C622" s="2">
        <v>2.000003939E9</v>
      </c>
      <c r="D622" s="13">
        <v>42188.0</v>
      </c>
      <c r="E622" s="2" t="s">
        <v>1154</v>
      </c>
      <c r="F622" s="2">
        <v>102328.0</v>
      </c>
      <c r="G622" s="2">
        <v>2.0</v>
      </c>
      <c r="H622" s="2">
        <v>8565000.0</v>
      </c>
      <c r="I622" s="2">
        <v>1713000.0</v>
      </c>
      <c r="L622" s="2">
        <v>0.0</v>
      </c>
      <c r="M622" s="2">
        <v>0.0</v>
      </c>
      <c r="N622" s="14">
        <v>0.7520833333333333</v>
      </c>
      <c r="O622" s="2" t="s">
        <v>1113</v>
      </c>
      <c r="P622" s="2">
        <v>1.0</v>
      </c>
      <c r="Q622" s="2">
        <v>2.01507031E8</v>
      </c>
      <c r="R622" s="2">
        <v>3.0</v>
      </c>
      <c r="S622" s="2" t="s">
        <v>1114</v>
      </c>
      <c r="U622" s="2">
        <v>1.0</v>
      </c>
      <c r="V622" s="14">
        <v>0.75625</v>
      </c>
      <c r="X622" s="2">
        <v>0.0</v>
      </c>
      <c r="Y622" s="2" t="s">
        <v>434</v>
      </c>
      <c r="Z622" s="2" t="s">
        <v>1133</v>
      </c>
      <c r="AA622" s="11">
        <v>42188.78770833334</v>
      </c>
    </row>
    <row r="623" ht="12.75" customHeight="1">
      <c r="A623" s="2">
        <v>2.00000394E9</v>
      </c>
      <c r="B623" s="12" t="str">
        <f t="shared" si="1"/>
        <v>0</v>
      </c>
      <c r="C623" s="2">
        <v>2.00000394E9</v>
      </c>
      <c r="D623" s="13">
        <v>42188.0</v>
      </c>
      <c r="E623" s="2" t="s">
        <v>1155</v>
      </c>
      <c r="F623" s="2">
        <v>103043.0</v>
      </c>
      <c r="G623" s="2">
        <v>2.0</v>
      </c>
      <c r="H623" s="2">
        <v>1442000.0</v>
      </c>
      <c r="I623" s="2">
        <v>288400.0</v>
      </c>
      <c r="L623" s="2">
        <v>0.0</v>
      </c>
      <c r="M623" s="2">
        <v>0.0</v>
      </c>
      <c r="N623" s="14">
        <v>0.7618055555555556</v>
      </c>
      <c r="O623" s="2" t="s">
        <v>1113</v>
      </c>
      <c r="P623" s="2">
        <v>1.0</v>
      </c>
      <c r="Q623" s="2">
        <v>2.01507031E8</v>
      </c>
      <c r="R623" s="2">
        <v>3.0</v>
      </c>
      <c r="S623" s="2" t="s">
        <v>1114</v>
      </c>
      <c r="U623" s="2">
        <v>1.0</v>
      </c>
      <c r="V623" s="14">
        <v>0.7645833333333334</v>
      </c>
      <c r="X623" s="2">
        <v>0.0</v>
      </c>
      <c r="Y623" s="2" t="s">
        <v>434</v>
      </c>
      <c r="Z623" s="2" t="s">
        <v>1133</v>
      </c>
      <c r="AA623" s="11">
        <v>42188.78778935185</v>
      </c>
    </row>
    <row r="624" ht="12.75" customHeight="1">
      <c r="A624" s="2">
        <v>2.000003941E9</v>
      </c>
      <c r="B624" s="12" t="str">
        <f t="shared" si="1"/>
        <v>0</v>
      </c>
      <c r="C624" s="2">
        <v>2.000003941E9</v>
      </c>
      <c r="D624" s="13">
        <v>42188.0</v>
      </c>
      <c r="E624" s="2" t="s">
        <v>1156</v>
      </c>
      <c r="F624" s="2">
        <v>102330.0</v>
      </c>
      <c r="G624" s="2">
        <v>2.0</v>
      </c>
      <c r="H624" s="2">
        <v>1073000.0</v>
      </c>
      <c r="I624" s="2">
        <v>214600.0</v>
      </c>
      <c r="L624" s="2">
        <v>0.0</v>
      </c>
      <c r="M624" s="2">
        <v>0.0</v>
      </c>
      <c r="N624" s="14">
        <v>0.7659722222222222</v>
      </c>
      <c r="O624" s="2" t="s">
        <v>1113</v>
      </c>
      <c r="P624" s="2">
        <v>1.0</v>
      </c>
      <c r="Q624" s="2">
        <v>2.01507031E8</v>
      </c>
      <c r="R624" s="2">
        <v>3.0</v>
      </c>
      <c r="S624" s="2" t="s">
        <v>1114</v>
      </c>
      <c r="U624" s="2">
        <v>1.0</v>
      </c>
      <c r="V624" s="14">
        <v>0.7680555555555556</v>
      </c>
      <c r="X624" s="2">
        <v>0.0</v>
      </c>
      <c r="Y624" s="2" t="s">
        <v>434</v>
      </c>
      <c r="Z624" s="2" t="s">
        <v>1133</v>
      </c>
      <c r="AA624" s="11">
        <v>42188.7878125</v>
      </c>
    </row>
    <row r="625" ht="12.75" customHeight="1">
      <c r="A625" s="2">
        <v>2.000003942E9</v>
      </c>
      <c r="B625" s="12" t="str">
        <f t="shared" si="1"/>
        <v>0</v>
      </c>
      <c r="C625" s="2">
        <v>2.000003942E9</v>
      </c>
      <c r="D625" s="13">
        <v>42188.0</v>
      </c>
      <c r="E625" s="2" t="s">
        <v>1157</v>
      </c>
      <c r="F625" s="2">
        <v>2.0</v>
      </c>
      <c r="G625" s="2">
        <v>2.0</v>
      </c>
      <c r="H625" s="2">
        <v>635000.0</v>
      </c>
      <c r="I625" s="2">
        <v>0.0</v>
      </c>
      <c r="L625" s="2">
        <v>0.0</v>
      </c>
      <c r="M625" s="2">
        <v>0.0</v>
      </c>
      <c r="N625" s="14">
        <v>0.7756944444444445</v>
      </c>
      <c r="O625" s="2" t="s">
        <v>1132</v>
      </c>
      <c r="P625" s="2">
        <v>1.0</v>
      </c>
      <c r="Q625" s="2">
        <v>2.01507031E8</v>
      </c>
      <c r="R625" s="2">
        <v>3.0</v>
      </c>
      <c r="S625" s="2" t="s">
        <v>1114</v>
      </c>
      <c r="U625" s="2">
        <v>1.0</v>
      </c>
      <c r="V625" s="14">
        <v>0.7756944444444445</v>
      </c>
      <c r="X625" s="2">
        <v>0.0</v>
      </c>
      <c r="Y625" s="2" t="s">
        <v>434</v>
      </c>
      <c r="Z625" s="2" t="s">
        <v>1133</v>
      </c>
      <c r="AA625" s="11">
        <v>42188.7878125</v>
      </c>
    </row>
    <row r="626" ht="12.75" customHeight="1">
      <c r="A626" s="2">
        <v>2.000003944E9</v>
      </c>
      <c r="B626" s="12" t="str">
        <f t="shared" si="1"/>
        <v>0</v>
      </c>
      <c r="C626" s="2">
        <v>2.000003944E9</v>
      </c>
      <c r="D626" s="13">
        <v>42188.0</v>
      </c>
      <c r="E626" s="2" t="s">
        <v>1158</v>
      </c>
      <c r="F626" s="2">
        <v>2.0</v>
      </c>
      <c r="G626" s="2">
        <v>2.0</v>
      </c>
      <c r="H626" s="2">
        <v>1048000.0</v>
      </c>
      <c r="I626" s="2">
        <v>0.0</v>
      </c>
      <c r="L626" s="2">
        <v>0.0</v>
      </c>
      <c r="M626" s="2">
        <v>0.0</v>
      </c>
      <c r="N626" s="14">
        <v>0.8597222222222222</v>
      </c>
      <c r="O626" s="2" t="s">
        <v>1132</v>
      </c>
      <c r="P626" s="2">
        <v>1.0</v>
      </c>
      <c r="Q626" s="2">
        <v>2.01507031E8</v>
      </c>
      <c r="R626" s="2">
        <v>3.0</v>
      </c>
      <c r="S626" s="2" t="s">
        <v>1114</v>
      </c>
      <c r="U626" s="2">
        <v>1.0</v>
      </c>
      <c r="V626" s="14">
        <v>0.8611111111111112</v>
      </c>
      <c r="X626" s="2">
        <v>0.0</v>
      </c>
      <c r="Y626" s="2" t="s">
        <v>434</v>
      </c>
      <c r="Z626" s="2" t="s">
        <v>1133</v>
      </c>
      <c r="AA626" s="11">
        <v>42188.8615625</v>
      </c>
    </row>
    <row r="627" ht="12.75" customHeight="1">
      <c r="A627" s="2">
        <v>2.000003979E9</v>
      </c>
      <c r="B627" s="12" t="str">
        <f t="shared" si="1"/>
        <v>0</v>
      </c>
      <c r="C627" s="2">
        <v>2.000003979E9</v>
      </c>
      <c r="D627" s="13">
        <v>42190.0</v>
      </c>
      <c r="E627" s="2" t="s">
        <v>1159</v>
      </c>
      <c r="F627" s="2">
        <v>2.0</v>
      </c>
      <c r="G627" s="2">
        <v>2.0</v>
      </c>
      <c r="H627" s="2">
        <v>380000.0</v>
      </c>
      <c r="I627" s="2">
        <v>0.0</v>
      </c>
      <c r="L627" s="2">
        <v>0.0</v>
      </c>
      <c r="M627" s="2">
        <v>0.0</v>
      </c>
      <c r="N627" s="14">
        <v>0.4694444444444445</v>
      </c>
      <c r="O627" s="2" t="s">
        <v>1132</v>
      </c>
      <c r="P627" s="2">
        <v>1.0</v>
      </c>
      <c r="Q627" s="2">
        <v>2.01507052E8</v>
      </c>
      <c r="R627" s="2">
        <v>3.0</v>
      </c>
      <c r="S627" s="2" t="s">
        <v>1114</v>
      </c>
      <c r="U627" s="2">
        <v>1.0</v>
      </c>
      <c r="V627" s="14">
        <v>0.47222222222222227</v>
      </c>
      <c r="X627" s="2">
        <v>0.0</v>
      </c>
      <c r="Y627" s="2" t="s">
        <v>434</v>
      </c>
      <c r="Z627" s="2" t="s">
        <v>1133</v>
      </c>
      <c r="AA627" s="11">
        <v>42191.49901620371</v>
      </c>
    </row>
    <row r="628" ht="12.75" customHeight="1">
      <c r="A628" s="2">
        <v>2.00000398E9</v>
      </c>
      <c r="B628" s="12" t="str">
        <f t="shared" si="1"/>
        <v>0</v>
      </c>
      <c r="C628" s="2">
        <v>2.00000398E9</v>
      </c>
      <c r="D628" s="13">
        <v>42190.0</v>
      </c>
      <c r="E628" s="2" t="s">
        <v>1160</v>
      </c>
      <c r="F628" s="2">
        <v>2.0</v>
      </c>
      <c r="G628" s="2">
        <v>2.0</v>
      </c>
      <c r="H628" s="2">
        <v>590000.0</v>
      </c>
      <c r="I628" s="2">
        <v>0.0</v>
      </c>
      <c r="L628" s="2">
        <v>0.0</v>
      </c>
      <c r="M628" s="2">
        <v>0.0</v>
      </c>
      <c r="N628" s="14">
        <v>0.475</v>
      </c>
      <c r="O628" s="2" t="s">
        <v>1132</v>
      </c>
      <c r="P628" s="2">
        <v>1.0</v>
      </c>
      <c r="Q628" s="2">
        <v>2.01507052E8</v>
      </c>
      <c r="R628" s="2">
        <v>3.0</v>
      </c>
      <c r="S628" s="2" t="s">
        <v>1114</v>
      </c>
      <c r="U628" s="2">
        <v>1.0</v>
      </c>
      <c r="V628" s="14">
        <v>0.48125</v>
      </c>
      <c r="X628" s="2">
        <v>0.0</v>
      </c>
      <c r="Y628" s="2" t="s">
        <v>434</v>
      </c>
      <c r="Z628" s="2" t="s">
        <v>1133</v>
      </c>
      <c r="AA628" s="11">
        <v>42191.499027777776</v>
      </c>
    </row>
    <row r="629" ht="12.75" customHeight="1">
      <c r="A629" s="2">
        <v>2.000003982E9</v>
      </c>
      <c r="B629" s="12" t="str">
        <f t="shared" si="1"/>
        <v>0</v>
      </c>
      <c r="C629" s="2">
        <v>2.000003982E9</v>
      </c>
      <c r="D629" s="13">
        <v>42190.0</v>
      </c>
      <c r="E629" s="2" t="s">
        <v>1161</v>
      </c>
      <c r="F629" s="2">
        <v>203004.0</v>
      </c>
      <c r="G629" s="2">
        <v>2.0</v>
      </c>
      <c r="H629" s="2">
        <v>2.2475E7</v>
      </c>
      <c r="I629" s="2">
        <v>4944500.0</v>
      </c>
      <c r="L629" s="2">
        <v>0.0</v>
      </c>
      <c r="M629" s="2">
        <v>0.0</v>
      </c>
      <c r="N629" s="14">
        <v>0.49722222222222223</v>
      </c>
      <c r="O629" s="2" t="s">
        <v>1113</v>
      </c>
      <c r="P629" s="2">
        <v>1.0</v>
      </c>
      <c r="Q629" s="2">
        <v>2.01507052E8</v>
      </c>
      <c r="R629" s="2">
        <v>3.0</v>
      </c>
      <c r="S629" s="2" t="s">
        <v>1114</v>
      </c>
      <c r="U629" s="2">
        <v>1.0</v>
      </c>
      <c r="V629" s="14">
        <v>0.5069444444444444</v>
      </c>
      <c r="X629" s="2">
        <v>0.0</v>
      </c>
      <c r="Y629" s="2" t="s">
        <v>434</v>
      </c>
      <c r="Z629" s="2" t="s">
        <v>1133</v>
      </c>
      <c r="AA629" s="11">
        <v>42191.499074074076</v>
      </c>
    </row>
    <row r="630" ht="12.75" customHeight="1">
      <c r="A630" s="2">
        <v>2.000003987E9</v>
      </c>
      <c r="B630" s="12" t="str">
        <f t="shared" si="1"/>
        <v>0</v>
      </c>
      <c r="C630" s="2">
        <v>2.000003987E9</v>
      </c>
      <c r="D630" s="13">
        <v>42190.0</v>
      </c>
      <c r="E630" s="2" t="s">
        <v>1162</v>
      </c>
      <c r="F630" s="2">
        <v>2.0</v>
      </c>
      <c r="G630" s="2">
        <v>2.0</v>
      </c>
      <c r="H630" s="2">
        <v>595000.0</v>
      </c>
      <c r="I630" s="2">
        <v>0.0</v>
      </c>
      <c r="L630" s="2">
        <v>0.0</v>
      </c>
      <c r="M630" s="2">
        <v>0.0</v>
      </c>
      <c r="N630" s="14">
        <v>0.5625</v>
      </c>
      <c r="O630" s="2" t="s">
        <v>1132</v>
      </c>
      <c r="P630" s="2">
        <v>1.0</v>
      </c>
      <c r="Q630" s="2">
        <v>2.01507052E8</v>
      </c>
      <c r="R630" s="2">
        <v>3.0</v>
      </c>
      <c r="S630" s="2" t="s">
        <v>1114</v>
      </c>
      <c r="U630" s="2">
        <v>1.0</v>
      </c>
      <c r="V630" s="14">
        <v>0.5631944444444444</v>
      </c>
      <c r="X630" s="2">
        <v>0.0</v>
      </c>
      <c r="Y630" s="2" t="s">
        <v>434</v>
      </c>
      <c r="Z630" s="2" t="s">
        <v>1133</v>
      </c>
      <c r="AA630" s="11">
        <v>42191.49916666667</v>
      </c>
    </row>
    <row r="631" ht="12.75" customHeight="1">
      <c r="A631" s="2">
        <v>2.000003988E9</v>
      </c>
      <c r="B631" s="12" t="str">
        <f t="shared" si="1"/>
        <v>0</v>
      </c>
      <c r="C631" s="2">
        <v>2.000003988E9</v>
      </c>
      <c r="D631" s="13">
        <v>42190.0</v>
      </c>
      <c r="E631" s="2" t="s">
        <v>1163</v>
      </c>
      <c r="F631" s="2">
        <v>2.0</v>
      </c>
      <c r="G631" s="2">
        <v>2.0</v>
      </c>
      <c r="H631" s="2">
        <v>560000.0</v>
      </c>
      <c r="I631" s="2">
        <v>0.0</v>
      </c>
      <c r="L631" s="2">
        <v>0.0</v>
      </c>
      <c r="M631" s="2">
        <v>0.0</v>
      </c>
      <c r="N631" s="14">
        <v>0.58125</v>
      </c>
      <c r="O631" s="2" t="s">
        <v>1132</v>
      </c>
      <c r="P631" s="2">
        <v>1.0</v>
      </c>
      <c r="Q631" s="2">
        <v>2.01507052E8</v>
      </c>
      <c r="R631" s="2">
        <v>3.0</v>
      </c>
      <c r="S631" s="2" t="s">
        <v>1114</v>
      </c>
      <c r="U631" s="2">
        <v>1.0</v>
      </c>
      <c r="V631" s="14">
        <v>0.5847222222222223</v>
      </c>
      <c r="X631" s="2">
        <v>0.0</v>
      </c>
      <c r="Y631" s="2" t="s">
        <v>434</v>
      </c>
      <c r="Z631" s="2" t="s">
        <v>1133</v>
      </c>
      <c r="AA631" s="11">
        <v>42191.49917824074</v>
      </c>
    </row>
    <row r="632" ht="12.75" customHeight="1">
      <c r="A632" s="2">
        <v>2.000003989E9</v>
      </c>
      <c r="B632" s="12" t="str">
        <f t="shared" si="1"/>
        <v>0</v>
      </c>
      <c r="C632" s="2">
        <v>2.000003989E9</v>
      </c>
      <c r="D632" s="13">
        <v>42190.0</v>
      </c>
      <c r="E632" s="2" t="s">
        <v>1164</v>
      </c>
      <c r="F632" s="2">
        <v>2.0</v>
      </c>
      <c r="G632" s="2">
        <v>2.0</v>
      </c>
      <c r="H632" s="2">
        <v>475000.0</v>
      </c>
      <c r="I632" s="2">
        <v>0.0</v>
      </c>
      <c r="L632" s="2">
        <v>0.0</v>
      </c>
      <c r="M632" s="2">
        <v>0.0</v>
      </c>
      <c r="N632" s="14">
        <v>0.6006944444444444</v>
      </c>
      <c r="O632" s="2" t="s">
        <v>1132</v>
      </c>
      <c r="P632" s="2">
        <v>1.0</v>
      </c>
      <c r="Q632" s="2">
        <v>2.01507052E8</v>
      </c>
      <c r="R632" s="2">
        <v>3.0</v>
      </c>
      <c r="S632" s="2" t="s">
        <v>1114</v>
      </c>
      <c r="U632" s="2">
        <v>1.0</v>
      </c>
      <c r="V632" s="14">
        <v>0.6027777777777777</v>
      </c>
      <c r="X632" s="2">
        <v>0.0</v>
      </c>
      <c r="Y632" s="2" t="s">
        <v>434</v>
      </c>
      <c r="Z632" s="2" t="s">
        <v>1133</v>
      </c>
      <c r="AA632" s="11">
        <v>42191.49921296296</v>
      </c>
    </row>
    <row r="633" ht="12.75" customHeight="1">
      <c r="A633" s="2">
        <v>2.00000399E9</v>
      </c>
      <c r="B633" s="12" t="str">
        <f t="shared" si="1"/>
        <v>0</v>
      </c>
      <c r="C633" s="2">
        <v>2.00000399E9</v>
      </c>
      <c r="D633" s="13">
        <v>42190.0</v>
      </c>
      <c r="E633" s="2" t="s">
        <v>1165</v>
      </c>
      <c r="F633" s="2">
        <v>2.0</v>
      </c>
      <c r="G633" s="2">
        <v>2.0</v>
      </c>
      <c r="H633" s="2">
        <v>1075000.0</v>
      </c>
      <c r="I633" s="2">
        <v>0.0</v>
      </c>
      <c r="L633" s="2">
        <v>0.0</v>
      </c>
      <c r="M633" s="2">
        <v>0.0</v>
      </c>
      <c r="N633" s="14">
        <v>0.6263888888888889</v>
      </c>
      <c r="O633" s="2" t="s">
        <v>1132</v>
      </c>
      <c r="P633" s="2">
        <v>1.0</v>
      </c>
      <c r="Q633" s="2">
        <v>2.01507052E8</v>
      </c>
      <c r="R633" s="2">
        <v>3.0</v>
      </c>
      <c r="S633" s="2" t="s">
        <v>1114</v>
      </c>
      <c r="U633" s="2">
        <v>1.0</v>
      </c>
      <c r="V633" s="14">
        <v>0.6284722222222222</v>
      </c>
      <c r="X633" s="2">
        <v>0.0</v>
      </c>
      <c r="Y633" s="2" t="s">
        <v>434</v>
      </c>
      <c r="Z633" s="2" t="s">
        <v>1133</v>
      </c>
      <c r="AA633" s="11">
        <v>42191.49921296296</v>
      </c>
    </row>
    <row r="634" ht="12.75" customHeight="1">
      <c r="A634" s="2">
        <v>2.000003993E9</v>
      </c>
      <c r="B634" s="12" t="str">
        <f t="shared" si="1"/>
        <v>0</v>
      </c>
      <c r="C634" s="2">
        <v>2.000003993E9</v>
      </c>
      <c r="D634" s="13">
        <v>42190.0</v>
      </c>
      <c r="E634" s="2" t="s">
        <v>1166</v>
      </c>
      <c r="F634" s="2">
        <v>2.0</v>
      </c>
      <c r="G634" s="2">
        <v>2.0</v>
      </c>
      <c r="H634" s="2">
        <v>430000.0</v>
      </c>
      <c r="I634" s="2">
        <v>0.0</v>
      </c>
      <c r="L634" s="2">
        <v>0.0</v>
      </c>
      <c r="M634" s="2">
        <v>0.0</v>
      </c>
      <c r="N634" s="14">
        <v>0.6402777777777778</v>
      </c>
      <c r="O634" s="2" t="s">
        <v>1132</v>
      </c>
      <c r="P634" s="2">
        <v>1.0</v>
      </c>
      <c r="Q634" s="2">
        <v>2.01507052E8</v>
      </c>
      <c r="R634" s="2">
        <v>3.0</v>
      </c>
      <c r="S634" s="2" t="s">
        <v>1114</v>
      </c>
      <c r="U634" s="2">
        <v>1.0</v>
      </c>
      <c r="V634" s="14">
        <v>0.6409722222222222</v>
      </c>
      <c r="X634" s="2">
        <v>0.0</v>
      </c>
      <c r="Y634" s="2" t="s">
        <v>434</v>
      </c>
      <c r="Z634" s="2" t="s">
        <v>1133</v>
      </c>
      <c r="AA634" s="11">
        <v>42191.49922453704</v>
      </c>
    </row>
    <row r="635" ht="12.75" customHeight="1">
      <c r="A635" s="2">
        <v>2.000003995E9</v>
      </c>
      <c r="B635" s="12" t="str">
        <f t="shared" si="1"/>
        <v>0</v>
      </c>
      <c r="C635" s="2">
        <v>2.000003995E9</v>
      </c>
      <c r="D635" s="13">
        <v>42190.0</v>
      </c>
      <c r="E635" s="2" t="s">
        <v>1167</v>
      </c>
      <c r="F635" s="2">
        <v>2.0</v>
      </c>
      <c r="G635" s="2">
        <v>2.0</v>
      </c>
      <c r="H635" s="2">
        <v>-24000.0</v>
      </c>
      <c r="I635" s="2">
        <v>0.0</v>
      </c>
      <c r="L635" s="2">
        <v>0.0</v>
      </c>
      <c r="M635" s="2">
        <v>0.0</v>
      </c>
      <c r="N635" s="14">
        <v>0.6493055555555556</v>
      </c>
      <c r="O635" s="2" t="s">
        <v>1132</v>
      </c>
      <c r="P635" s="2">
        <v>1.0</v>
      </c>
      <c r="Q635" s="2">
        <v>2.01507052E8</v>
      </c>
      <c r="R635" s="2">
        <v>3.0</v>
      </c>
      <c r="S635" s="2" t="s">
        <v>1114</v>
      </c>
      <c r="U635" s="2">
        <v>1.0</v>
      </c>
      <c r="V635" s="14">
        <v>0.6569444444444444</v>
      </c>
      <c r="X635" s="2">
        <v>0.0</v>
      </c>
      <c r="Y635" s="2" t="s">
        <v>434</v>
      </c>
      <c r="Z635" s="2" t="s">
        <v>1133</v>
      </c>
      <c r="AA635" s="11">
        <v>42191.499236111114</v>
      </c>
    </row>
    <row r="636" ht="12.75" customHeight="1">
      <c r="A636" s="2">
        <v>2.000003997E9</v>
      </c>
      <c r="B636" s="12" t="str">
        <f t="shared" si="1"/>
        <v>0</v>
      </c>
      <c r="C636" s="2">
        <v>2.000003997E9</v>
      </c>
      <c r="D636" s="13">
        <v>42190.0</v>
      </c>
      <c r="E636" s="2" t="s">
        <v>1168</v>
      </c>
      <c r="F636" s="2">
        <v>2.0</v>
      </c>
      <c r="G636" s="2">
        <v>2.0</v>
      </c>
      <c r="H636" s="2">
        <v>335000.0</v>
      </c>
      <c r="I636" s="2">
        <v>0.0</v>
      </c>
      <c r="L636" s="2">
        <v>0.0</v>
      </c>
      <c r="M636" s="2">
        <v>0.0</v>
      </c>
      <c r="N636" s="14">
        <v>0.6645833333333333</v>
      </c>
      <c r="O636" s="2" t="s">
        <v>1132</v>
      </c>
      <c r="P636" s="2">
        <v>1.0</v>
      </c>
      <c r="Q636" s="2">
        <v>2.01507052E8</v>
      </c>
      <c r="R636" s="2">
        <v>3.0</v>
      </c>
      <c r="S636" s="2" t="s">
        <v>1114</v>
      </c>
      <c r="U636" s="2">
        <v>1.0</v>
      </c>
      <c r="V636" s="14">
        <v>0.6680555555555556</v>
      </c>
      <c r="X636" s="2">
        <v>0.0</v>
      </c>
      <c r="Y636" s="2" t="s">
        <v>434</v>
      </c>
      <c r="Z636" s="2" t="s">
        <v>1133</v>
      </c>
      <c r="AA636" s="11">
        <v>42191.499247685184</v>
      </c>
    </row>
    <row r="637" ht="12.75" customHeight="1">
      <c r="A637" s="2">
        <v>2.000003998E9</v>
      </c>
      <c r="B637" s="12" t="str">
        <f t="shared" si="1"/>
        <v>0</v>
      </c>
      <c r="C637" s="2">
        <v>2.000003998E9</v>
      </c>
      <c r="D637" s="13">
        <v>42190.0</v>
      </c>
      <c r="E637" s="2" t="s">
        <v>1169</v>
      </c>
      <c r="F637" s="2">
        <v>2.0</v>
      </c>
      <c r="G637" s="2">
        <v>2.0</v>
      </c>
      <c r="H637" s="2">
        <v>390000.0</v>
      </c>
      <c r="I637" s="2">
        <v>0.0</v>
      </c>
      <c r="L637" s="2">
        <v>0.0</v>
      </c>
      <c r="M637" s="2">
        <v>0.0</v>
      </c>
      <c r="N637" s="14">
        <v>0.675</v>
      </c>
      <c r="O637" s="2" t="s">
        <v>1132</v>
      </c>
      <c r="P637" s="2">
        <v>1.0</v>
      </c>
      <c r="Q637" s="2">
        <v>2.01507052E8</v>
      </c>
      <c r="R637" s="2">
        <v>3.0</v>
      </c>
      <c r="S637" s="2" t="s">
        <v>1114</v>
      </c>
      <c r="U637" s="2">
        <v>1.0</v>
      </c>
      <c r="V637" s="14">
        <v>0.6756944444444444</v>
      </c>
      <c r="X637" s="2">
        <v>0.0</v>
      </c>
      <c r="Y637" s="2" t="s">
        <v>434</v>
      </c>
      <c r="Z637" s="2" t="s">
        <v>1133</v>
      </c>
      <c r="AA637" s="11">
        <v>42191.499247685184</v>
      </c>
    </row>
    <row r="638" ht="12.75" customHeight="1">
      <c r="A638" s="2">
        <v>2.000003999E9</v>
      </c>
      <c r="B638" s="12" t="str">
        <f t="shared" si="1"/>
        <v>0</v>
      </c>
      <c r="C638" s="2">
        <v>2.000003999E9</v>
      </c>
      <c r="D638" s="13">
        <v>42190.0</v>
      </c>
      <c r="E638" s="2" t="s">
        <v>1170</v>
      </c>
      <c r="F638" s="2">
        <v>2.0</v>
      </c>
      <c r="G638" s="2">
        <v>2.0</v>
      </c>
      <c r="H638" s="2">
        <v>250000.0</v>
      </c>
      <c r="I638" s="2">
        <v>0.0</v>
      </c>
      <c r="L638" s="2">
        <v>0.0</v>
      </c>
      <c r="M638" s="2">
        <v>0.0</v>
      </c>
      <c r="N638" s="14">
        <v>0.6756944444444444</v>
      </c>
      <c r="O638" s="2" t="s">
        <v>1132</v>
      </c>
      <c r="P638" s="2">
        <v>1.0</v>
      </c>
      <c r="Q638" s="2">
        <v>2.01507052E8</v>
      </c>
      <c r="R638" s="2">
        <v>3.0</v>
      </c>
      <c r="S638" s="2" t="s">
        <v>1114</v>
      </c>
      <c r="U638" s="2">
        <v>1.0</v>
      </c>
      <c r="V638" s="14">
        <v>0.6756944444444444</v>
      </c>
      <c r="X638" s="2">
        <v>0.0</v>
      </c>
      <c r="Y638" s="2" t="s">
        <v>434</v>
      </c>
      <c r="Z638" s="2" t="s">
        <v>1133</v>
      </c>
      <c r="AA638" s="11">
        <v>42191.49925925926</v>
      </c>
    </row>
    <row r="639" ht="12.75" customHeight="1">
      <c r="A639" s="2">
        <v>2.000004E9</v>
      </c>
      <c r="B639" s="12" t="str">
        <f t="shared" si="1"/>
        <v>0</v>
      </c>
      <c r="C639" s="2">
        <v>2.000004E9</v>
      </c>
      <c r="D639" s="13">
        <v>42190.0</v>
      </c>
      <c r="E639" s="2" t="s">
        <v>1171</v>
      </c>
      <c r="F639" s="2">
        <v>2.0</v>
      </c>
      <c r="G639" s="2">
        <v>2.0</v>
      </c>
      <c r="H639" s="2">
        <v>395000.0</v>
      </c>
      <c r="I639" s="2">
        <v>0.0</v>
      </c>
      <c r="L639" s="2">
        <v>0.0</v>
      </c>
      <c r="M639" s="2">
        <v>0.0</v>
      </c>
      <c r="N639" s="14">
        <v>0.6798611111111111</v>
      </c>
      <c r="O639" s="2" t="s">
        <v>1132</v>
      </c>
      <c r="P639" s="2">
        <v>1.0</v>
      </c>
      <c r="Q639" s="2">
        <v>2.01507052E8</v>
      </c>
      <c r="R639" s="2">
        <v>3.0</v>
      </c>
      <c r="S639" s="2" t="s">
        <v>1114</v>
      </c>
      <c r="U639" s="2">
        <v>1.0</v>
      </c>
      <c r="V639" s="14">
        <v>0.6805555555555555</v>
      </c>
      <c r="X639" s="2">
        <v>0.0</v>
      </c>
      <c r="Y639" s="2" t="s">
        <v>434</v>
      </c>
      <c r="Z639" s="2" t="s">
        <v>1133</v>
      </c>
      <c r="AA639" s="11">
        <v>42191.49927083333</v>
      </c>
    </row>
    <row r="640" ht="12.75" customHeight="1">
      <c r="A640" s="2">
        <v>2.000004001E9</v>
      </c>
      <c r="B640" s="12" t="str">
        <f t="shared" si="1"/>
        <v>0</v>
      </c>
      <c r="C640" s="2">
        <v>2.000004001E9</v>
      </c>
      <c r="D640" s="13">
        <v>42190.0</v>
      </c>
      <c r="E640" s="2" t="s">
        <v>1172</v>
      </c>
      <c r="F640" s="2">
        <v>2.0</v>
      </c>
      <c r="G640" s="2">
        <v>2.0</v>
      </c>
      <c r="H640" s="2">
        <v>810000.0</v>
      </c>
      <c r="I640" s="2">
        <v>0.0</v>
      </c>
      <c r="L640" s="2">
        <v>0.0</v>
      </c>
      <c r="M640" s="2">
        <v>0.0</v>
      </c>
      <c r="N640" s="14">
        <v>0.68125</v>
      </c>
      <c r="O640" s="2" t="s">
        <v>1132</v>
      </c>
      <c r="P640" s="2">
        <v>1.0</v>
      </c>
      <c r="Q640" s="2">
        <v>2.01507052E8</v>
      </c>
      <c r="R640" s="2">
        <v>3.0</v>
      </c>
      <c r="S640" s="2" t="s">
        <v>1114</v>
      </c>
      <c r="U640" s="2">
        <v>1.0</v>
      </c>
      <c r="V640" s="14">
        <v>0.6819444444444445</v>
      </c>
      <c r="X640" s="2">
        <v>0.0</v>
      </c>
      <c r="Y640" s="2" t="s">
        <v>434</v>
      </c>
      <c r="Z640" s="2" t="s">
        <v>1133</v>
      </c>
      <c r="AA640" s="11">
        <v>42191.49927083333</v>
      </c>
    </row>
    <row r="641" ht="12.75" customHeight="1">
      <c r="A641" s="2">
        <v>2.000004002E9</v>
      </c>
      <c r="B641" s="12" t="str">
        <f t="shared" si="1"/>
        <v>0</v>
      </c>
      <c r="C641" s="2">
        <v>2.000004002E9</v>
      </c>
      <c r="D641" s="13">
        <v>42190.0</v>
      </c>
      <c r="E641" s="2" t="s">
        <v>1173</v>
      </c>
      <c r="F641" s="2">
        <v>2.0</v>
      </c>
      <c r="G641" s="2">
        <v>2.0</v>
      </c>
      <c r="H641" s="2">
        <v>810000.0</v>
      </c>
      <c r="I641" s="2">
        <v>0.0</v>
      </c>
      <c r="L641" s="2">
        <v>0.0</v>
      </c>
      <c r="M641" s="2">
        <v>0.0</v>
      </c>
      <c r="N641" s="14">
        <v>0.7006944444444444</v>
      </c>
      <c r="O641" s="2" t="s">
        <v>1132</v>
      </c>
      <c r="P641" s="2">
        <v>1.0</v>
      </c>
      <c r="Q641" s="2">
        <v>2.01507052E8</v>
      </c>
      <c r="R641" s="2">
        <v>3.0</v>
      </c>
      <c r="S641" s="2" t="s">
        <v>1114</v>
      </c>
      <c r="U641" s="2">
        <v>1.0</v>
      </c>
      <c r="V641" s="14">
        <v>0.7013888888888888</v>
      </c>
      <c r="X641" s="2">
        <v>0.0</v>
      </c>
      <c r="Y641" s="2" t="s">
        <v>434</v>
      </c>
      <c r="Z641" s="2" t="s">
        <v>1133</v>
      </c>
      <c r="AA641" s="11">
        <v>42191.499293981484</v>
      </c>
    </row>
    <row r="642" ht="12.75" customHeight="1">
      <c r="A642" s="2">
        <v>2.000004003E9</v>
      </c>
      <c r="B642" s="12" t="str">
        <f t="shared" si="1"/>
        <v>0</v>
      </c>
      <c r="C642" s="2">
        <v>2.000004003E9</v>
      </c>
      <c r="D642" s="13">
        <v>42190.0</v>
      </c>
      <c r="E642" s="2" t="s">
        <v>1174</v>
      </c>
      <c r="F642" s="2">
        <v>2.0</v>
      </c>
      <c r="G642" s="2">
        <v>2.0</v>
      </c>
      <c r="H642" s="2">
        <v>1663000.0</v>
      </c>
      <c r="I642" s="2">
        <v>0.0</v>
      </c>
      <c r="L642" s="2">
        <v>0.0</v>
      </c>
      <c r="M642" s="2">
        <v>0.0</v>
      </c>
      <c r="N642" s="14">
        <v>0.7027777777777778</v>
      </c>
      <c r="O642" s="2" t="s">
        <v>1132</v>
      </c>
      <c r="P642" s="2">
        <v>1.0</v>
      </c>
      <c r="Q642" s="2">
        <v>2.01507052E8</v>
      </c>
      <c r="R642" s="2">
        <v>3.0</v>
      </c>
      <c r="S642" s="2" t="s">
        <v>1114</v>
      </c>
      <c r="U642" s="2">
        <v>1.0</v>
      </c>
      <c r="V642" s="14">
        <v>0.7041666666666666</v>
      </c>
      <c r="X642" s="2">
        <v>0.0</v>
      </c>
      <c r="Y642" s="2" t="s">
        <v>434</v>
      </c>
      <c r="Z642" s="2" t="s">
        <v>1133</v>
      </c>
      <c r="AA642" s="11">
        <v>42191.49930555555</v>
      </c>
    </row>
    <row r="643" ht="12.75" customHeight="1">
      <c r="A643" s="2">
        <v>2.000004004E9</v>
      </c>
      <c r="B643" s="12" t="str">
        <f t="shared" si="1"/>
        <v>0</v>
      </c>
      <c r="C643" s="2">
        <v>2.000004004E9</v>
      </c>
      <c r="D643" s="13">
        <v>42190.0</v>
      </c>
      <c r="E643" s="2" t="s">
        <v>1175</v>
      </c>
      <c r="F643" s="2">
        <v>2.0</v>
      </c>
      <c r="G643" s="2">
        <v>2.0</v>
      </c>
      <c r="H643" s="2">
        <v>365000.0</v>
      </c>
      <c r="I643" s="2">
        <v>0.0</v>
      </c>
      <c r="L643" s="2">
        <v>0.0</v>
      </c>
      <c r="M643" s="2">
        <v>0.0</v>
      </c>
      <c r="N643" s="14">
        <v>0.7048611111111112</v>
      </c>
      <c r="O643" s="2" t="s">
        <v>1132</v>
      </c>
      <c r="P643" s="2">
        <v>1.0</v>
      </c>
      <c r="Q643" s="2">
        <v>2.01507052E8</v>
      </c>
      <c r="R643" s="2">
        <v>3.0</v>
      </c>
      <c r="S643" s="2" t="s">
        <v>1114</v>
      </c>
      <c r="U643" s="2">
        <v>1.0</v>
      </c>
      <c r="V643" s="14">
        <v>0.7048611111111112</v>
      </c>
      <c r="X643" s="2">
        <v>0.0</v>
      </c>
      <c r="Y643" s="2" t="s">
        <v>434</v>
      </c>
      <c r="Z643" s="2" t="s">
        <v>1133</v>
      </c>
      <c r="AA643" s="11">
        <v>42191.499340277776</v>
      </c>
    </row>
    <row r="644" ht="12.75" customHeight="1">
      <c r="A644" s="2">
        <v>2.000004005E9</v>
      </c>
      <c r="B644" s="12" t="str">
        <f t="shared" si="1"/>
        <v>0</v>
      </c>
      <c r="C644" s="2">
        <v>2.000004005E9</v>
      </c>
      <c r="D644" s="13">
        <v>42190.0</v>
      </c>
      <c r="E644" s="2" t="s">
        <v>1176</v>
      </c>
      <c r="F644" s="2">
        <v>2.0</v>
      </c>
      <c r="G644" s="2">
        <v>2.0</v>
      </c>
      <c r="H644" s="2">
        <v>355000.0</v>
      </c>
      <c r="I644" s="2">
        <v>0.0</v>
      </c>
      <c r="L644" s="2">
        <v>0.0</v>
      </c>
      <c r="M644" s="2">
        <v>0.0</v>
      </c>
      <c r="N644" s="14">
        <v>0.7118055555555555</v>
      </c>
      <c r="O644" s="2" t="s">
        <v>1132</v>
      </c>
      <c r="P644" s="2">
        <v>1.0</v>
      </c>
      <c r="Q644" s="2">
        <v>2.01507052E8</v>
      </c>
      <c r="R644" s="2">
        <v>3.0</v>
      </c>
      <c r="S644" s="2" t="s">
        <v>1114</v>
      </c>
      <c r="U644" s="2">
        <v>1.0</v>
      </c>
      <c r="V644" s="14">
        <v>0.7125</v>
      </c>
      <c r="X644" s="2">
        <v>0.0</v>
      </c>
      <c r="Y644" s="2" t="s">
        <v>434</v>
      </c>
      <c r="Z644" s="2" t="s">
        <v>1133</v>
      </c>
      <c r="AA644" s="11">
        <v>42191.49936342592</v>
      </c>
    </row>
    <row r="645" ht="12.75" customHeight="1">
      <c r="A645" s="2">
        <v>2.000004006E9</v>
      </c>
      <c r="B645" s="12" t="str">
        <f t="shared" si="1"/>
        <v>0</v>
      </c>
      <c r="C645" s="2">
        <v>2.000004006E9</v>
      </c>
      <c r="D645" s="13">
        <v>42190.0</v>
      </c>
      <c r="E645" s="2" t="s">
        <v>1177</v>
      </c>
      <c r="F645" s="2">
        <v>2.0</v>
      </c>
      <c r="G645" s="2">
        <v>2.0</v>
      </c>
      <c r="H645" s="2">
        <v>1080000.0</v>
      </c>
      <c r="I645" s="2">
        <v>0.0</v>
      </c>
      <c r="L645" s="2">
        <v>0.0</v>
      </c>
      <c r="M645" s="2">
        <v>0.0</v>
      </c>
      <c r="N645" s="14">
        <v>0.7166666666666667</v>
      </c>
      <c r="O645" s="2" t="s">
        <v>1132</v>
      </c>
      <c r="P645" s="2">
        <v>1.0</v>
      </c>
      <c r="Q645" s="2">
        <v>2.01507052E8</v>
      </c>
      <c r="R645" s="2">
        <v>3.0</v>
      </c>
      <c r="S645" s="2" t="s">
        <v>1114</v>
      </c>
      <c r="U645" s="2">
        <v>1.0</v>
      </c>
      <c r="V645" s="14">
        <v>0.7305555555555556</v>
      </c>
      <c r="X645" s="2">
        <v>0.0</v>
      </c>
      <c r="Y645" s="2" t="s">
        <v>434</v>
      </c>
      <c r="Z645" s="2" t="s">
        <v>1133</v>
      </c>
      <c r="AA645" s="11">
        <v>42191.499375</v>
      </c>
    </row>
    <row r="646" ht="12.75" customHeight="1">
      <c r="A646" s="2">
        <v>2.000004007E9</v>
      </c>
      <c r="B646" s="12" t="str">
        <f t="shared" si="1"/>
        <v>0</v>
      </c>
      <c r="C646" s="2">
        <v>2.000004007E9</v>
      </c>
      <c r="D646" s="13">
        <v>42190.0</v>
      </c>
      <c r="E646" s="2" t="s">
        <v>1178</v>
      </c>
      <c r="F646" s="2">
        <v>2.0</v>
      </c>
      <c r="G646" s="2">
        <v>2.0</v>
      </c>
      <c r="H646" s="2">
        <v>905000.0</v>
      </c>
      <c r="I646" s="2">
        <v>0.0</v>
      </c>
      <c r="L646" s="2">
        <v>0.0</v>
      </c>
      <c r="M646" s="2">
        <v>0.0</v>
      </c>
      <c r="N646" s="14">
        <v>0.7340277777777778</v>
      </c>
      <c r="O646" s="2" t="s">
        <v>1132</v>
      </c>
      <c r="P646" s="2">
        <v>1.0</v>
      </c>
      <c r="Q646" s="2">
        <v>2.01507052E8</v>
      </c>
      <c r="R646" s="2">
        <v>3.0</v>
      </c>
      <c r="S646" s="2" t="s">
        <v>1114</v>
      </c>
      <c r="U646" s="2">
        <v>1.0</v>
      </c>
      <c r="V646" s="14">
        <v>0.7388888888888889</v>
      </c>
      <c r="X646" s="2">
        <v>0.0</v>
      </c>
      <c r="Y646" s="2" t="s">
        <v>434</v>
      </c>
      <c r="Z646" s="2" t="s">
        <v>1133</v>
      </c>
      <c r="AA646" s="11">
        <v>42191.499386574076</v>
      </c>
    </row>
    <row r="647" ht="12.75" customHeight="1">
      <c r="A647" s="2">
        <v>2.000004008E9</v>
      </c>
      <c r="B647" s="12" t="str">
        <f t="shared" si="1"/>
        <v>0</v>
      </c>
      <c r="C647" s="2">
        <v>2.000004008E9</v>
      </c>
      <c r="D647" s="13">
        <v>42190.0</v>
      </c>
      <c r="E647" s="2" t="s">
        <v>1179</v>
      </c>
      <c r="F647" s="2">
        <v>2.0</v>
      </c>
      <c r="G647" s="2">
        <v>2.0</v>
      </c>
      <c r="H647" s="2">
        <v>460000.0</v>
      </c>
      <c r="I647" s="2">
        <v>0.0</v>
      </c>
      <c r="L647" s="2">
        <v>0.0</v>
      </c>
      <c r="M647" s="2">
        <v>0.0</v>
      </c>
      <c r="N647" s="14">
        <v>0.7465277777777778</v>
      </c>
      <c r="O647" s="2" t="s">
        <v>1132</v>
      </c>
      <c r="P647" s="2">
        <v>1.0</v>
      </c>
      <c r="Q647" s="2">
        <v>2.01507052E8</v>
      </c>
      <c r="R647" s="2">
        <v>3.0</v>
      </c>
      <c r="S647" s="2" t="s">
        <v>1114</v>
      </c>
      <c r="U647" s="2">
        <v>1.0</v>
      </c>
      <c r="V647" s="14">
        <v>0.7472222222222222</v>
      </c>
      <c r="X647" s="2">
        <v>0.0</v>
      </c>
      <c r="Y647" s="2" t="s">
        <v>434</v>
      </c>
      <c r="Z647" s="2" t="s">
        <v>1133</v>
      </c>
      <c r="AA647" s="11">
        <v>42191.49947916667</v>
      </c>
    </row>
    <row r="648" ht="12.75" customHeight="1">
      <c r="A648" s="2">
        <v>2.000004009E9</v>
      </c>
      <c r="B648" s="12" t="str">
        <f t="shared" si="1"/>
        <v>0</v>
      </c>
      <c r="C648" s="2">
        <v>2.000004009E9</v>
      </c>
      <c r="D648" s="13">
        <v>42190.0</v>
      </c>
      <c r="E648" s="2" t="s">
        <v>1180</v>
      </c>
      <c r="F648" s="2">
        <v>2.0</v>
      </c>
      <c r="G648" s="2">
        <v>2.0</v>
      </c>
      <c r="H648" s="2">
        <v>2035000.0</v>
      </c>
      <c r="I648" s="2">
        <v>0.0</v>
      </c>
      <c r="L648" s="2">
        <v>0.0</v>
      </c>
      <c r="M648" s="2">
        <v>0.0</v>
      </c>
      <c r="N648" s="14">
        <v>0.7590277777777777</v>
      </c>
      <c r="O648" s="2" t="s">
        <v>1132</v>
      </c>
      <c r="P648" s="2">
        <v>1.0</v>
      </c>
      <c r="Q648" s="2">
        <v>2.01507052E8</v>
      </c>
      <c r="R648" s="2">
        <v>3.0</v>
      </c>
      <c r="S648" s="2" t="s">
        <v>1114</v>
      </c>
      <c r="U648" s="2">
        <v>1.0</v>
      </c>
      <c r="V648" s="14">
        <v>0.7604166666666666</v>
      </c>
      <c r="X648" s="2">
        <v>0.0</v>
      </c>
      <c r="Y648" s="2" t="s">
        <v>434</v>
      </c>
      <c r="Z648" s="2" t="s">
        <v>1133</v>
      </c>
      <c r="AA648" s="11">
        <v>42191.49952546296</v>
      </c>
    </row>
    <row r="649" ht="12.75" customHeight="1">
      <c r="A649" s="2">
        <v>2.00000401E9</v>
      </c>
      <c r="B649" s="12" t="str">
        <f t="shared" si="1"/>
        <v>0</v>
      </c>
      <c r="C649" s="2">
        <v>2.00000401E9</v>
      </c>
      <c r="D649" s="13">
        <v>42190.0</v>
      </c>
      <c r="E649" s="2" t="s">
        <v>1181</v>
      </c>
      <c r="F649" s="2">
        <v>2.0</v>
      </c>
      <c r="G649" s="2">
        <v>2.0</v>
      </c>
      <c r="H649" s="2">
        <v>460000.0</v>
      </c>
      <c r="I649" s="2">
        <v>0.0</v>
      </c>
      <c r="L649" s="2">
        <v>0.0</v>
      </c>
      <c r="M649" s="2">
        <v>0.0</v>
      </c>
      <c r="N649" s="14">
        <v>0.7611111111111111</v>
      </c>
      <c r="O649" s="2" t="s">
        <v>1132</v>
      </c>
      <c r="P649" s="2">
        <v>1.0</v>
      </c>
      <c r="Q649" s="2">
        <v>2.01507052E8</v>
      </c>
      <c r="R649" s="2">
        <v>3.0</v>
      </c>
      <c r="S649" s="2" t="s">
        <v>1114</v>
      </c>
      <c r="U649" s="2">
        <v>1.0</v>
      </c>
      <c r="V649" s="14">
        <v>0.7618055555555556</v>
      </c>
      <c r="X649" s="2">
        <v>0.0</v>
      </c>
      <c r="Y649" s="2" t="s">
        <v>434</v>
      </c>
      <c r="Z649" s="2" t="s">
        <v>1133</v>
      </c>
      <c r="AA649" s="11">
        <v>42191.49957175926</v>
      </c>
    </row>
    <row r="650" ht="12.75" customHeight="1">
      <c r="A650" s="2">
        <v>2.000004012E9</v>
      </c>
      <c r="B650" s="12" t="str">
        <f t="shared" si="1"/>
        <v>0</v>
      </c>
      <c r="C650" s="2">
        <v>2.000004012E9</v>
      </c>
      <c r="D650" s="13">
        <v>42190.0</v>
      </c>
      <c r="E650" s="2" t="s">
        <v>1182</v>
      </c>
      <c r="F650" s="2">
        <v>2.0</v>
      </c>
      <c r="G650" s="2">
        <v>2.0</v>
      </c>
      <c r="H650" s="2">
        <v>1565000.0</v>
      </c>
      <c r="I650" s="2">
        <v>0.0</v>
      </c>
      <c r="L650" s="2">
        <v>0.0</v>
      </c>
      <c r="M650" s="2">
        <v>0.0</v>
      </c>
      <c r="N650" s="14">
        <v>0.7680555555555556</v>
      </c>
      <c r="O650" s="2" t="s">
        <v>1132</v>
      </c>
      <c r="P650" s="2">
        <v>1.0</v>
      </c>
      <c r="Q650" s="2">
        <v>2.01507052E8</v>
      </c>
      <c r="R650" s="2">
        <v>3.0</v>
      </c>
      <c r="S650" s="2" t="s">
        <v>1114</v>
      </c>
      <c r="U650" s="2">
        <v>1.0</v>
      </c>
      <c r="V650" s="14">
        <v>0.76875</v>
      </c>
      <c r="X650" s="2">
        <v>0.0</v>
      </c>
      <c r="Y650" s="2" t="s">
        <v>434</v>
      </c>
      <c r="Z650" s="2" t="s">
        <v>1133</v>
      </c>
      <c r="AA650" s="11">
        <v>42191.49958333333</v>
      </c>
    </row>
    <row r="651" ht="12.75" customHeight="1">
      <c r="A651" s="2">
        <v>2.000004013E9</v>
      </c>
      <c r="B651" s="12" t="str">
        <f t="shared" si="1"/>
        <v>0</v>
      </c>
      <c r="C651" s="2">
        <v>2.000004013E9</v>
      </c>
      <c r="D651" s="13">
        <v>42190.0</v>
      </c>
      <c r="E651" s="2" t="s">
        <v>1183</v>
      </c>
      <c r="F651" s="2">
        <v>2.0</v>
      </c>
      <c r="G651" s="2">
        <v>2.0</v>
      </c>
      <c r="H651" s="2">
        <v>618000.0</v>
      </c>
      <c r="I651" s="2">
        <v>0.0</v>
      </c>
      <c r="L651" s="2">
        <v>0.0</v>
      </c>
      <c r="M651" s="2">
        <v>0.0</v>
      </c>
      <c r="N651" s="14">
        <v>0.76875</v>
      </c>
      <c r="O651" s="2" t="s">
        <v>1132</v>
      </c>
      <c r="P651" s="2">
        <v>1.0</v>
      </c>
      <c r="Q651" s="2">
        <v>2.01507052E8</v>
      </c>
      <c r="R651" s="2">
        <v>3.0</v>
      </c>
      <c r="S651" s="2" t="s">
        <v>1114</v>
      </c>
      <c r="U651" s="2">
        <v>1.0</v>
      </c>
      <c r="V651" s="14">
        <v>0.7694444444444444</v>
      </c>
      <c r="X651" s="2">
        <v>0.0</v>
      </c>
      <c r="Y651" s="2" t="s">
        <v>434</v>
      </c>
      <c r="Z651" s="2" t="s">
        <v>1133</v>
      </c>
      <c r="AA651" s="11">
        <v>42191.49959490741</v>
      </c>
    </row>
    <row r="652" ht="12.75" customHeight="1">
      <c r="A652" s="2">
        <v>2.000004014E9</v>
      </c>
      <c r="B652" s="12" t="str">
        <f t="shared" si="1"/>
        <v>0</v>
      </c>
      <c r="C652" s="2">
        <v>2.000004014E9</v>
      </c>
      <c r="D652" s="13">
        <v>42190.0</v>
      </c>
      <c r="E652" s="2" t="s">
        <v>1184</v>
      </c>
      <c r="F652" s="2">
        <v>2.0</v>
      </c>
      <c r="G652" s="2">
        <v>2.0</v>
      </c>
      <c r="H652" s="2">
        <v>365000.0</v>
      </c>
      <c r="I652" s="2">
        <v>0.0</v>
      </c>
      <c r="L652" s="2">
        <v>0.0</v>
      </c>
      <c r="M652" s="2">
        <v>0.0</v>
      </c>
      <c r="N652" s="14">
        <v>0.7694444444444444</v>
      </c>
      <c r="O652" s="2" t="s">
        <v>1132</v>
      </c>
      <c r="P652" s="2">
        <v>1.0</v>
      </c>
      <c r="Q652" s="2">
        <v>2.01507052E8</v>
      </c>
      <c r="R652" s="2">
        <v>3.0</v>
      </c>
      <c r="S652" s="2" t="s">
        <v>1114</v>
      </c>
      <c r="U652" s="2">
        <v>1.0</v>
      </c>
      <c r="V652" s="14">
        <v>0.7701388888888889</v>
      </c>
      <c r="X652" s="2">
        <v>0.0</v>
      </c>
      <c r="Y652" s="2" t="s">
        <v>434</v>
      </c>
      <c r="Z652" s="2" t="s">
        <v>1133</v>
      </c>
      <c r="AA652" s="11">
        <v>42191.49961805555</v>
      </c>
    </row>
    <row r="653" ht="12.75" customHeight="1">
      <c r="A653" s="2">
        <v>2.000004015E9</v>
      </c>
      <c r="B653" s="12" t="str">
        <f t="shared" si="1"/>
        <v>0</v>
      </c>
      <c r="C653" s="2">
        <v>2.000004015E9</v>
      </c>
      <c r="D653" s="13">
        <v>42190.0</v>
      </c>
      <c r="E653" s="2" t="s">
        <v>1185</v>
      </c>
      <c r="F653" s="2">
        <v>2.0</v>
      </c>
      <c r="G653" s="2">
        <v>2.0</v>
      </c>
      <c r="H653" s="2">
        <v>305000.0</v>
      </c>
      <c r="I653" s="2">
        <v>0.0</v>
      </c>
      <c r="L653" s="2">
        <v>0.0</v>
      </c>
      <c r="M653" s="2">
        <v>0.0</v>
      </c>
      <c r="N653" s="14">
        <v>0.7763888888888889</v>
      </c>
      <c r="O653" s="2" t="s">
        <v>1132</v>
      </c>
      <c r="P653" s="2">
        <v>1.0</v>
      </c>
      <c r="Q653" s="2">
        <v>2.01507052E8</v>
      </c>
      <c r="R653" s="2">
        <v>3.0</v>
      </c>
      <c r="S653" s="2" t="s">
        <v>1114</v>
      </c>
      <c r="U653" s="2">
        <v>1.0</v>
      </c>
      <c r="V653" s="14">
        <v>0.782638888888889</v>
      </c>
      <c r="X653" s="2">
        <v>0.0</v>
      </c>
      <c r="Y653" s="2" t="s">
        <v>434</v>
      </c>
      <c r="Z653" s="2" t="s">
        <v>1133</v>
      </c>
      <c r="AA653" s="11">
        <v>42191.49962962963</v>
      </c>
    </row>
    <row r="654" ht="12.75" customHeight="1">
      <c r="A654" s="2">
        <v>2.000004016E9</v>
      </c>
      <c r="B654" s="12" t="str">
        <f t="shared" si="1"/>
        <v>0</v>
      </c>
      <c r="C654" s="2">
        <v>2.000004016E9</v>
      </c>
      <c r="D654" s="13">
        <v>42190.0</v>
      </c>
      <c r="E654" s="2" t="s">
        <v>1186</v>
      </c>
      <c r="F654" s="2">
        <v>2.0</v>
      </c>
      <c r="G654" s="2">
        <v>2.0</v>
      </c>
      <c r="H654" s="2">
        <v>435000.0</v>
      </c>
      <c r="I654" s="2">
        <v>0.0</v>
      </c>
      <c r="L654" s="2">
        <v>0.0</v>
      </c>
      <c r="M654" s="2">
        <v>0.0</v>
      </c>
      <c r="N654" s="14">
        <v>0.8083333333333332</v>
      </c>
      <c r="O654" s="2" t="s">
        <v>1132</v>
      </c>
      <c r="P654" s="2">
        <v>1.0</v>
      </c>
      <c r="Q654" s="2">
        <v>2.01507052E8</v>
      </c>
      <c r="R654" s="2">
        <v>3.0</v>
      </c>
      <c r="S654" s="2" t="s">
        <v>1114</v>
      </c>
      <c r="U654" s="2">
        <v>1.0</v>
      </c>
      <c r="V654" s="14">
        <v>0.8090277777777778</v>
      </c>
      <c r="X654" s="2">
        <v>0.0</v>
      </c>
      <c r="Y654" s="2" t="s">
        <v>434</v>
      </c>
      <c r="Z654" s="2" t="s">
        <v>1133</v>
      </c>
      <c r="AA654" s="11">
        <v>42191.49964120371</v>
      </c>
    </row>
    <row r="655" ht="12.75" customHeight="1">
      <c r="A655" s="2">
        <v>2.000004017E9</v>
      </c>
      <c r="B655" s="12" t="str">
        <f t="shared" si="1"/>
        <v>0</v>
      </c>
      <c r="C655" s="2">
        <v>2.000004017E9</v>
      </c>
      <c r="D655" s="13">
        <v>42190.0</v>
      </c>
      <c r="E655" s="2" t="s">
        <v>1187</v>
      </c>
      <c r="F655" s="2">
        <v>2.0</v>
      </c>
      <c r="G655" s="2">
        <v>2.0</v>
      </c>
      <c r="H655" s="2">
        <v>610000.0</v>
      </c>
      <c r="I655" s="2">
        <v>0.0</v>
      </c>
      <c r="L655" s="2">
        <v>0.0</v>
      </c>
      <c r="M655" s="2">
        <v>0.0</v>
      </c>
      <c r="N655" s="14">
        <v>0.8319444444444444</v>
      </c>
      <c r="O655" s="2" t="s">
        <v>1132</v>
      </c>
      <c r="P655" s="2">
        <v>1.0</v>
      </c>
      <c r="Q655" s="2">
        <v>2.01507052E8</v>
      </c>
      <c r="R655" s="2">
        <v>3.0</v>
      </c>
      <c r="S655" s="2" t="s">
        <v>1114</v>
      </c>
      <c r="U655" s="2">
        <v>1.0</v>
      </c>
      <c r="V655" s="14">
        <v>0.8340277777777777</v>
      </c>
      <c r="X655" s="2">
        <v>0.0</v>
      </c>
      <c r="Y655" s="2" t="s">
        <v>434</v>
      </c>
      <c r="Z655" s="2" t="s">
        <v>1133</v>
      </c>
      <c r="AA655" s="11">
        <v>42191.49967592592</v>
      </c>
    </row>
    <row r="656" ht="12.75" customHeight="1">
      <c r="A656" s="2">
        <v>2.000004018E9</v>
      </c>
      <c r="B656" s="12" t="str">
        <f t="shared" si="1"/>
        <v>0</v>
      </c>
      <c r="C656" s="2">
        <v>2.000004018E9</v>
      </c>
      <c r="D656" s="13">
        <v>42190.0</v>
      </c>
      <c r="E656" s="2" t="s">
        <v>1188</v>
      </c>
      <c r="F656" s="2">
        <v>2.0</v>
      </c>
      <c r="G656" s="2">
        <v>2.0</v>
      </c>
      <c r="H656" s="2">
        <v>165000.0</v>
      </c>
      <c r="I656" s="2">
        <v>0.0</v>
      </c>
      <c r="L656" s="2">
        <v>0.0</v>
      </c>
      <c r="M656" s="2">
        <v>0.0</v>
      </c>
      <c r="N656" s="14">
        <v>0.8409722222222222</v>
      </c>
      <c r="O656" s="2" t="s">
        <v>1132</v>
      </c>
      <c r="P656" s="2">
        <v>1.0</v>
      </c>
      <c r="Q656" s="2">
        <v>2.01507052E8</v>
      </c>
      <c r="R656" s="2">
        <v>3.0</v>
      </c>
      <c r="S656" s="2" t="s">
        <v>1114</v>
      </c>
      <c r="U656" s="2">
        <v>1.0</v>
      </c>
      <c r="V656" s="14">
        <v>0.8409722222222222</v>
      </c>
      <c r="X656" s="2">
        <v>0.0</v>
      </c>
      <c r="Y656" s="2" t="s">
        <v>434</v>
      </c>
      <c r="Z656" s="2" t="s">
        <v>1133</v>
      </c>
      <c r="AA656" s="11">
        <v>42191.49969907408</v>
      </c>
    </row>
    <row r="657" ht="12.75" customHeight="1">
      <c r="A657" s="2">
        <v>2.000004019E9</v>
      </c>
      <c r="B657" s="12" t="str">
        <f t="shared" si="1"/>
        <v>0</v>
      </c>
      <c r="C657" s="2">
        <v>2.000004019E9</v>
      </c>
      <c r="D657" s="13">
        <v>42190.0</v>
      </c>
      <c r="E657" s="2" t="s">
        <v>1189</v>
      </c>
      <c r="F657" s="2">
        <v>2.0</v>
      </c>
      <c r="G657" s="2">
        <v>2.0</v>
      </c>
      <c r="H657" s="2">
        <v>245000.0</v>
      </c>
      <c r="I657" s="2">
        <v>0.0</v>
      </c>
      <c r="L657" s="2">
        <v>0.0</v>
      </c>
      <c r="M657" s="2">
        <v>0.0</v>
      </c>
      <c r="N657" s="14">
        <v>0.8458333333333333</v>
      </c>
      <c r="O657" s="2" t="s">
        <v>1132</v>
      </c>
      <c r="P657" s="2">
        <v>1.0</v>
      </c>
      <c r="Q657" s="2">
        <v>2.01507052E8</v>
      </c>
      <c r="R657" s="2">
        <v>3.0</v>
      </c>
      <c r="S657" s="2" t="s">
        <v>1114</v>
      </c>
      <c r="U657" s="2">
        <v>1.0</v>
      </c>
      <c r="V657" s="14">
        <v>0.8625</v>
      </c>
      <c r="X657" s="2">
        <v>0.0</v>
      </c>
      <c r="Y657" s="2" t="s">
        <v>434</v>
      </c>
      <c r="Z657" s="2" t="s">
        <v>1133</v>
      </c>
      <c r="AA657" s="11">
        <v>42191.49974537037</v>
      </c>
    </row>
    <row r="658" ht="12.75" customHeight="1">
      <c r="A658" s="2">
        <v>2.00000402E9</v>
      </c>
      <c r="B658" s="12" t="str">
        <f t="shared" si="1"/>
        <v>0</v>
      </c>
      <c r="C658" s="2">
        <v>2.00000402E9</v>
      </c>
      <c r="D658" s="13">
        <v>42190.0</v>
      </c>
      <c r="E658" s="2" t="s">
        <v>1190</v>
      </c>
      <c r="F658" s="2">
        <v>2.0</v>
      </c>
      <c r="G658" s="2">
        <v>2.0</v>
      </c>
      <c r="H658" s="2">
        <v>750000.0</v>
      </c>
      <c r="I658" s="2">
        <v>0.0</v>
      </c>
      <c r="L658" s="2">
        <v>0.0</v>
      </c>
      <c r="M658" s="2">
        <v>0.0</v>
      </c>
      <c r="N658" s="14">
        <v>0.8576388888888888</v>
      </c>
      <c r="O658" s="2" t="s">
        <v>1132</v>
      </c>
      <c r="P658" s="2">
        <v>1.0</v>
      </c>
      <c r="Q658" s="2">
        <v>2.01507052E8</v>
      </c>
      <c r="R658" s="2">
        <v>3.0</v>
      </c>
      <c r="S658" s="2" t="s">
        <v>1114</v>
      </c>
      <c r="U658" s="2">
        <v>1.0</v>
      </c>
      <c r="V658" s="14">
        <v>0.8583333333333334</v>
      </c>
      <c r="X658" s="2">
        <v>0.0</v>
      </c>
      <c r="Y658" s="2" t="s">
        <v>434</v>
      </c>
      <c r="Z658" s="2" t="s">
        <v>1133</v>
      </c>
      <c r="AA658" s="11">
        <v>42191.499710648146</v>
      </c>
    </row>
    <row r="659" ht="12.75" customHeight="1">
      <c r="A659" s="2">
        <v>2.000004021E9</v>
      </c>
      <c r="B659" s="12" t="str">
        <f t="shared" si="1"/>
        <v>0</v>
      </c>
      <c r="C659" s="2">
        <v>2.000004021E9</v>
      </c>
      <c r="D659" s="13">
        <v>42190.0</v>
      </c>
      <c r="E659" s="2" t="s">
        <v>1191</v>
      </c>
      <c r="F659" s="2">
        <v>2.0</v>
      </c>
      <c r="G659" s="2">
        <v>2.0</v>
      </c>
      <c r="H659" s="2">
        <v>365000.0</v>
      </c>
      <c r="I659" s="2">
        <v>0.0</v>
      </c>
      <c r="L659" s="2">
        <v>0.0</v>
      </c>
      <c r="M659" s="2">
        <v>0.0</v>
      </c>
      <c r="N659" s="14">
        <v>0.8583333333333334</v>
      </c>
      <c r="O659" s="2" t="s">
        <v>1132</v>
      </c>
      <c r="P659" s="2">
        <v>1.0</v>
      </c>
      <c r="Q659" s="2">
        <v>2.01507052E8</v>
      </c>
      <c r="R659" s="2">
        <v>3.0</v>
      </c>
      <c r="S659" s="2" t="s">
        <v>1114</v>
      </c>
      <c r="U659" s="2">
        <v>1.0</v>
      </c>
      <c r="V659" s="14">
        <v>0.8590277777777778</v>
      </c>
      <c r="X659" s="2">
        <v>0.0</v>
      </c>
      <c r="Y659" s="2" t="s">
        <v>434</v>
      </c>
      <c r="Z659" s="2" t="s">
        <v>1133</v>
      </c>
      <c r="AA659" s="11">
        <v>42191.4997337963</v>
      </c>
    </row>
    <row r="660" ht="12.75" customHeight="1">
      <c r="A660" s="2">
        <v>2.000004022E9</v>
      </c>
      <c r="B660" s="12" t="str">
        <f t="shared" si="1"/>
        <v>0</v>
      </c>
      <c r="C660" s="2">
        <v>2.000004022E9</v>
      </c>
      <c r="D660" s="13">
        <v>42190.0</v>
      </c>
      <c r="E660" s="2" t="s">
        <v>1192</v>
      </c>
      <c r="F660" s="2">
        <v>2.0</v>
      </c>
      <c r="G660" s="2">
        <v>2.0</v>
      </c>
      <c r="H660" s="2">
        <v>590000.0</v>
      </c>
      <c r="I660" s="2">
        <v>0.0</v>
      </c>
      <c r="L660" s="2">
        <v>0.0</v>
      </c>
      <c r="M660" s="2">
        <v>0.0</v>
      </c>
      <c r="N660" s="14">
        <v>0.8618055555555556</v>
      </c>
      <c r="O660" s="2" t="s">
        <v>1132</v>
      </c>
      <c r="P660" s="2">
        <v>1.0</v>
      </c>
      <c r="Q660" s="2">
        <v>2.01507052E8</v>
      </c>
      <c r="R660" s="2">
        <v>3.0</v>
      </c>
      <c r="S660" s="2" t="s">
        <v>1114</v>
      </c>
      <c r="U660" s="2">
        <v>1.0</v>
      </c>
      <c r="V660" s="14">
        <v>0.8625</v>
      </c>
      <c r="X660" s="2">
        <v>0.0</v>
      </c>
      <c r="Y660" s="2" t="s">
        <v>434</v>
      </c>
      <c r="Z660" s="2" t="s">
        <v>1133</v>
      </c>
      <c r="AA660" s="11">
        <v>42191.4997337963</v>
      </c>
    </row>
    <row r="661" ht="12.75" customHeight="1">
      <c r="A661" s="2">
        <v>2.000004023E9</v>
      </c>
      <c r="B661" s="12" t="str">
        <f t="shared" si="1"/>
        <v>0</v>
      </c>
      <c r="C661" s="2">
        <v>2.000004023E9</v>
      </c>
      <c r="D661" s="13">
        <v>42190.0</v>
      </c>
      <c r="E661" s="2" t="s">
        <v>1193</v>
      </c>
      <c r="F661" s="2">
        <v>2.0</v>
      </c>
      <c r="G661" s="2">
        <v>2.0</v>
      </c>
      <c r="H661" s="2">
        <v>385000.0</v>
      </c>
      <c r="I661" s="2">
        <v>0.0</v>
      </c>
      <c r="L661" s="2">
        <v>0.0</v>
      </c>
      <c r="M661" s="2">
        <v>0.0</v>
      </c>
      <c r="N661" s="14">
        <v>0.8652777777777777</v>
      </c>
      <c r="O661" s="2" t="s">
        <v>1132</v>
      </c>
      <c r="P661" s="2">
        <v>1.0</v>
      </c>
      <c r="Q661" s="2">
        <v>2.01507052E8</v>
      </c>
      <c r="R661" s="2">
        <v>3.0</v>
      </c>
      <c r="S661" s="2" t="s">
        <v>1114</v>
      </c>
      <c r="U661" s="2">
        <v>1.0</v>
      </c>
      <c r="V661" s="14">
        <v>0.8659722222222223</v>
      </c>
      <c r="X661" s="2">
        <v>0.0</v>
      </c>
      <c r="Y661" s="2" t="s">
        <v>434</v>
      </c>
      <c r="Z661" s="2" t="s">
        <v>1133</v>
      </c>
      <c r="AA661" s="11">
        <v>42191.49974537037</v>
      </c>
    </row>
    <row r="662" ht="12.75" customHeight="1">
      <c r="A662" s="2">
        <v>2.000004024E9</v>
      </c>
      <c r="B662" s="12" t="str">
        <f t="shared" si="1"/>
        <v>0</v>
      </c>
      <c r="C662" s="2">
        <v>2.000004024E9</v>
      </c>
      <c r="D662" s="13">
        <v>42190.0</v>
      </c>
      <c r="E662" s="2" t="s">
        <v>1194</v>
      </c>
      <c r="F662" s="2">
        <v>2.0</v>
      </c>
      <c r="G662" s="2">
        <v>2.0</v>
      </c>
      <c r="H662" s="2">
        <v>-95000.0</v>
      </c>
      <c r="I662" s="2">
        <v>0.0</v>
      </c>
      <c r="L662" s="2">
        <v>0.0</v>
      </c>
      <c r="M662" s="2">
        <v>0.0</v>
      </c>
      <c r="N662" s="14">
        <v>0.8694444444444445</v>
      </c>
      <c r="O662" s="2" t="s">
        <v>1132</v>
      </c>
      <c r="P662" s="2">
        <v>1.0</v>
      </c>
      <c r="Q662" s="2">
        <v>2.01507052E8</v>
      </c>
      <c r="R662" s="2">
        <v>3.0</v>
      </c>
      <c r="S662" s="2" t="s">
        <v>1114</v>
      </c>
      <c r="U662" s="2">
        <v>1.0</v>
      </c>
      <c r="V662" s="14">
        <v>0.8694444444444445</v>
      </c>
      <c r="X662" s="2">
        <v>0.0</v>
      </c>
      <c r="Y662" s="2" t="s">
        <v>434</v>
      </c>
      <c r="Z662" s="2" t="s">
        <v>1133</v>
      </c>
      <c r="AA662" s="11">
        <v>42191.499756944446</v>
      </c>
    </row>
    <row r="663" ht="12.75" customHeight="1">
      <c r="A663" s="2">
        <v>2.000004025E9</v>
      </c>
      <c r="B663" s="12" t="str">
        <f t="shared" si="1"/>
        <v>0</v>
      </c>
      <c r="C663" s="2">
        <v>2.000004025E9</v>
      </c>
      <c r="D663" s="13">
        <v>42190.0</v>
      </c>
      <c r="E663" s="2" t="s">
        <v>1195</v>
      </c>
      <c r="F663" s="2">
        <v>2.0</v>
      </c>
      <c r="G663" s="2">
        <v>2.0</v>
      </c>
      <c r="H663" s="2">
        <v>411000.0</v>
      </c>
      <c r="I663" s="2">
        <v>0.0</v>
      </c>
      <c r="L663" s="2">
        <v>0.0</v>
      </c>
      <c r="M663" s="2">
        <v>0.0</v>
      </c>
      <c r="N663" s="14">
        <v>0.8798611111111111</v>
      </c>
      <c r="O663" s="2" t="s">
        <v>1132</v>
      </c>
      <c r="P663" s="2">
        <v>1.0</v>
      </c>
      <c r="Q663" s="2">
        <v>2.01507052E8</v>
      </c>
      <c r="R663" s="2">
        <v>3.0</v>
      </c>
      <c r="S663" s="2" t="s">
        <v>1114</v>
      </c>
      <c r="U663" s="2">
        <v>1.0</v>
      </c>
      <c r="V663" s="14">
        <v>0.8805555555555555</v>
      </c>
      <c r="X663" s="2">
        <v>0.0</v>
      </c>
      <c r="Y663" s="2" t="s">
        <v>434</v>
      </c>
      <c r="Z663" s="2" t="s">
        <v>1133</v>
      </c>
      <c r="AA663" s="11">
        <v>42191.499768518515</v>
      </c>
    </row>
    <row r="664" ht="12.75" customHeight="1">
      <c r="A664" s="2">
        <v>2.000004026E9</v>
      </c>
      <c r="B664" s="12" t="str">
        <f t="shared" si="1"/>
        <v>0</v>
      </c>
      <c r="C664" s="2">
        <v>2.000004026E9</v>
      </c>
      <c r="D664" s="13">
        <v>42191.0</v>
      </c>
      <c r="E664" s="2" t="s">
        <v>1196</v>
      </c>
      <c r="F664" s="2">
        <v>2.0</v>
      </c>
      <c r="G664" s="2">
        <v>2.0</v>
      </c>
      <c r="H664" s="2">
        <v>685000.0</v>
      </c>
      <c r="I664" s="2">
        <v>0.0</v>
      </c>
      <c r="L664" s="2">
        <v>0.0</v>
      </c>
      <c r="M664" s="2">
        <v>0.0</v>
      </c>
      <c r="N664" s="14">
        <v>0.39305555555555555</v>
      </c>
      <c r="O664" s="2" t="s">
        <v>1132</v>
      </c>
      <c r="P664" s="2">
        <v>1.0</v>
      </c>
      <c r="Q664" s="2">
        <v>2.01507061E8</v>
      </c>
      <c r="R664" s="2">
        <v>3.0</v>
      </c>
      <c r="S664" s="2" t="s">
        <v>1114</v>
      </c>
      <c r="U664" s="2">
        <v>1.0</v>
      </c>
      <c r="V664" s="14">
        <v>0.39375</v>
      </c>
      <c r="X664" s="2">
        <v>0.0</v>
      </c>
      <c r="Y664" s="2" t="s">
        <v>434</v>
      </c>
      <c r="Z664" s="2" t="s">
        <v>1133</v>
      </c>
      <c r="AA664" s="11">
        <v>42191.49978009259</v>
      </c>
    </row>
    <row r="665" ht="12.75" customHeight="1">
      <c r="A665" s="2">
        <v>2.000004027E9</v>
      </c>
      <c r="B665" s="12" t="str">
        <f t="shared" si="1"/>
        <v>0</v>
      </c>
      <c r="C665" s="2">
        <v>2.000004027E9</v>
      </c>
      <c r="D665" s="13">
        <v>42191.0</v>
      </c>
      <c r="E665" s="2" t="s">
        <v>1197</v>
      </c>
      <c r="F665" s="2">
        <v>2.0</v>
      </c>
      <c r="G665" s="2">
        <v>2.0</v>
      </c>
      <c r="H665" s="2">
        <v>257000.0</v>
      </c>
      <c r="I665" s="2">
        <v>0.0</v>
      </c>
      <c r="L665" s="2">
        <v>0.0</v>
      </c>
      <c r="M665" s="2">
        <v>0.0</v>
      </c>
      <c r="N665" s="14">
        <v>0.3958333333333333</v>
      </c>
      <c r="O665" s="2" t="s">
        <v>1132</v>
      </c>
      <c r="P665" s="2">
        <v>1.0</v>
      </c>
      <c r="Q665" s="2">
        <v>2.01507061E8</v>
      </c>
      <c r="R665" s="2">
        <v>3.0</v>
      </c>
      <c r="S665" s="2" t="s">
        <v>1114</v>
      </c>
      <c r="U665" s="2">
        <v>1.0</v>
      </c>
      <c r="V665" s="14">
        <v>0.3958333333333333</v>
      </c>
      <c r="X665" s="2">
        <v>0.0</v>
      </c>
      <c r="Y665" s="2" t="s">
        <v>434</v>
      </c>
      <c r="Z665" s="2" t="s">
        <v>1133</v>
      </c>
      <c r="AA665" s="11">
        <v>42191.49979166667</v>
      </c>
    </row>
    <row r="666" ht="12.75" customHeight="1">
      <c r="A666" s="2">
        <v>2.000004028E9</v>
      </c>
      <c r="B666" s="12" t="str">
        <f t="shared" si="1"/>
        <v>0</v>
      </c>
      <c r="C666" s="2">
        <v>2.000004028E9</v>
      </c>
      <c r="D666" s="13">
        <v>42191.0</v>
      </c>
      <c r="E666" s="2" t="s">
        <v>1198</v>
      </c>
      <c r="F666" s="2">
        <v>2.0</v>
      </c>
      <c r="G666" s="2">
        <v>2.0</v>
      </c>
      <c r="H666" s="2">
        <v>288000.0</v>
      </c>
      <c r="I666" s="2">
        <v>0.0</v>
      </c>
      <c r="L666" s="2">
        <v>0.0</v>
      </c>
      <c r="M666" s="2">
        <v>0.0</v>
      </c>
      <c r="N666" s="14">
        <v>0.3972222222222222</v>
      </c>
      <c r="O666" s="2" t="s">
        <v>1132</v>
      </c>
      <c r="P666" s="2">
        <v>1.0</v>
      </c>
      <c r="Q666" s="2">
        <v>2.01507061E8</v>
      </c>
      <c r="R666" s="2">
        <v>3.0</v>
      </c>
      <c r="S666" s="2" t="s">
        <v>1114</v>
      </c>
      <c r="U666" s="2">
        <v>1.0</v>
      </c>
      <c r="V666" s="14">
        <v>0.3972222222222222</v>
      </c>
      <c r="X666" s="2">
        <v>0.0</v>
      </c>
      <c r="Y666" s="2" t="s">
        <v>434</v>
      </c>
      <c r="Z666" s="2" t="s">
        <v>1133</v>
      </c>
      <c r="AA666" s="11">
        <v>42191.49979166667</v>
      </c>
    </row>
    <row r="667" ht="12.75" customHeight="1">
      <c r="A667" s="2">
        <v>2.000004029E9</v>
      </c>
      <c r="B667" s="12" t="str">
        <f t="shared" si="1"/>
        <v>0</v>
      </c>
      <c r="C667" s="2">
        <v>2.000004029E9</v>
      </c>
      <c r="D667" s="13">
        <v>42191.0</v>
      </c>
      <c r="E667" s="2" t="s">
        <v>1199</v>
      </c>
      <c r="F667" s="2">
        <v>2.0</v>
      </c>
      <c r="G667" s="2">
        <v>2.0</v>
      </c>
      <c r="H667" s="2">
        <v>535000.0</v>
      </c>
      <c r="I667" s="2">
        <v>0.0</v>
      </c>
      <c r="L667" s="2">
        <v>0.0</v>
      </c>
      <c r="M667" s="2">
        <v>0.0</v>
      </c>
      <c r="N667" s="14">
        <v>0.4076388888888889</v>
      </c>
      <c r="O667" s="2" t="s">
        <v>1132</v>
      </c>
      <c r="P667" s="2">
        <v>1.0</v>
      </c>
      <c r="Q667" s="2">
        <v>2.01507061E8</v>
      </c>
      <c r="R667" s="2">
        <v>3.0</v>
      </c>
      <c r="S667" s="2" t="s">
        <v>1114</v>
      </c>
      <c r="U667" s="2">
        <v>1.0</v>
      </c>
      <c r="V667" s="14">
        <v>0.4076388888888889</v>
      </c>
      <c r="X667" s="2">
        <v>0.0</v>
      </c>
      <c r="Y667" s="2" t="s">
        <v>434</v>
      </c>
      <c r="Z667" s="2" t="s">
        <v>1133</v>
      </c>
      <c r="AA667" s="11">
        <v>42191.49980324074</v>
      </c>
    </row>
    <row r="668" ht="12.75" customHeight="1">
      <c r="A668" s="2">
        <v>2.00000403E9</v>
      </c>
      <c r="B668" s="12" t="str">
        <f t="shared" si="1"/>
        <v>0</v>
      </c>
      <c r="C668" s="2">
        <v>2.00000403E9</v>
      </c>
      <c r="D668" s="13">
        <v>42191.0</v>
      </c>
      <c r="E668" s="2" t="s">
        <v>1200</v>
      </c>
      <c r="F668" s="2">
        <v>2.0</v>
      </c>
      <c r="G668" s="2">
        <v>2.0</v>
      </c>
      <c r="H668" s="2">
        <v>1030000.0</v>
      </c>
      <c r="I668" s="2">
        <v>0.0</v>
      </c>
      <c r="L668" s="2">
        <v>0.0</v>
      </c>
      <c r="M668" s="2">
        <v>0.0</v>
      </c>
      <c r="N668" s="14">
        <v>0.425</v>
      </c>
      <c r="O668" s="2" t="s">
        <v>1132</v>
      </c>
      <c r="P668" s="2">
        <v>1.0</v>
      </c>
      <c r="Q668" s="2">
        <v>2.01507061E8</v>
      </c>
      <c r="R668" s="2">
        <v>3.0</v>
      </c>
      <c r="S668" s="2" t="s">
        <v>1114</v>
      </c>
      <c r="U668" s="2">
        <v>1.0</v>
      </c>
      <c r="V668" s="14">
        <v>0.4263888888888889</v>
      </c>
      <c r="X668" s="2">
        <v>0.0</v>
      </c>
      <c r="Y668" s="2" t="s">
        <v>434</v>
      </c>
      <c r="Z668" s="2" t="s">
        <v>1133</v>
      </c>
      <c r="AA668" s="11">
        <v>42191.49982638889</v>
      </c>
    </row>
    <row r="669" ht="12.75" customHeight="1">
      <c r="A669" s="2">
        <v>2.000004031E9</v>
      </c>
      <c r="B669" s="12" t="str">
        <f t="shared" si="1"/>
        <v>0</v>
      </c>
      <c r="C669" s="2">
        <v>2.000004031E9</v>
      </c>
      <c r="D669" s="13">
        <v>42191.0</v>
      </c>
      <c r="E669" s="2" t="s">
        <v>1201</v>
      </c>
      <c r="F669" s="2">
        <v>2.0</v>
      </c>
      <c r="G669" s="2">
        <v>2.0</v>
      </c>
      <c r="H669" s="2">
        <v>2892000.0</v>
      </c>
      <c r="I669" s="2">
        <v>289200.0</v>
      </c>
      <c r="L669" s="2">
        <v>0.0</v>
      </c>
      <c r="M669" s="2">
        <v>0.0</v>
      </c>
      <c r="N669" s="14">
        <v>0.4472222222222222</v>
      </c>
      <c r="O669" s="2" t="s">
        <v>1132</v>
      </c>
      <c r="P669" s="2">
        <v>1.0</v>
      </c>
      <c r="Q669" s="2">
        <v>2.01507061E8</v>
      </c>
      <c r="R669" s="2">
        <v>3.0</v>
      </c>
      <c r="S669" s="2" t="s">
        <v>1114</v>
      </c>
      <c r="U669" s="2">
        <v>1.0</v>
      </c>
      <c r="V669" s="14">
        <v>0.4590277777777778</v>
      </c>
      <c r="X669" s="2">
        <v>0.0</v>
      </c>
      <c r="Y669" s="2" t="s">
        <v>434</v>
      </c>
      <c r="Z669" s="2" t="s">
        <v>1133</v>
      </c>
      <c r="AA669" s="11">
        <v>42191.49984953704</v>
      </c>
    </row>
    <row r="670" ht="12.75" customHeight="1">
      <c r="A670" s="2">
        <v>2.000004032E9</v>
      </c>
      <c r="B670" s="12" t="str">
        <f t="shared" si="1"/>
        <v>0</v>
      </c>
      <c r="C670" s="2">
        <v>2.000004032E9</v>
      </c>
      <c r="D670" s="13">
        <v>42191.0</v>
      </c>
      <c r="E670" s="2" t="s">
        <v>1202</v>
      </c>
      <c r="F670" s="2">
        <v>2.0</v>
      </c>
      <c r="G670" s="2">
        <v>2.0</v>
      </c>
      <c r="H670" s="2">
        <v>329000.0</v>
      </c>
      <c r="I670" s="2">
        <v>0.0</v>
      </c>
      <c r="L670" s="2">
        <v>0.0</v>
      </c>
      <c r="M670" s="2">
        <v>0.0</v>
      </c>
      <c r="N670" s="14">
        <v>0.4597222222222222</v>
      </c>
      <c r="O670" s="2" t="s">
        <v>1132</v>
      </c>
      <c r="P670" s="2">
        <v>1.0</v>
      </c>
      <c r="Q670" s="2">
        <v>2.01507061E8</v>
      </c>
      <c r="R670" s="2">
        <v>3.0</v>
      </c>
      <c r="S670" s="2" t="s">
        <v>1114</v>
      </c>
      <c r="U670" s="2">
        <v>1.0</v>
      </c>
      <c r="V670" s="14">
        <v>0.4604166666666667</v>
      </c>
      <c r="X670" s="2">
        <v>0.0</v>
      </c>
      <c r="Y670" s="2" t="s">
        <v>434</v>
      </c>
      <c r="Z670" s="2" t="s">
        <v>1133</v>
      </c>
      <c r="AA670" s="11">
        <v>42191.49988425926</v>
      </c>
    </row>
    <row r="671" ht="12.75" customHeight="1">
      <c r="A671" s="2">
        <v>2.000004033E9</v>
      </c>
      <c r="B671" s="12" t="str">
        <f t="shared" si="1"/>
        <v>0</v>
      </c>
      <c r="C671" s="2">
        <v>2.000004033E9</v>
      </c>
      <c r="D671" s="13">
        <v>42191.0</v>
      </c>
      <c r="E671" s="2" t="s">
        <v>1203</v>
      </c>
      <c r="F671" s="2">
        <v>2.0</v>
      </c>
      <c r="G671" s="2">
        <v>2.0</v>
      </c>
      <c r="H671" s="2">
        <v>430000.0</v>
      </c>
      <c r="I671" s="2">
        <v>0.0</v>
      </c>
      <c r="L671" s="2">
        <v>0.0</v>
      </c>
      <c r="M671" s="2">
        <v>0.0</v>
      </c>
      <c r="N671" s="14">
        <v>0.4618055555555556</v>
      </c>
      <c r="O671" s="2" t="s">
        <v>1132</v>
      </c>
      <c r="P671" s="2">
        <v>1.0</v>
      </c>
      <c r="Q671" s="2">
        <v>2.01507061E8</v>
      </c>
      <c r="R671" s="2">
        <v>3.0</v>
      </c>
      <c r="S671" s="2" t="s">
        <v>1114</v>
      </c>
      <c r="U671" s="2">
        <v>1.0</v>
      </c>
      <c r="V671" s="14">
        <v>0.4625</v>
      </c>
      <c r="X671" s="2">
        <v>0.0</v>
      </c>
      <c r="Y671" s="2" t="s">
        <v>434</v>
      </c>
      <c r="Z671" s="2" t="s">
        <v>1133</v>
      </c>
      <c r="AA671" s="11">
        <v>42191.49989583333</v>
      </c>
    </row>
    <row r="672" ht="12.75" customHeight="1">
      <c r="A672" s="2">
        <v>2.000004036E9</v>
      </c>
      <c r="B672" s="12" t="str">
        <f t="shared" si="1"/>
        <v>0</v>
      </c>
      <c r="C672" s="2">
        <v>2.000004036E9</v>
      </c>
      <c r="D672" s="13">
        <v>42191.0</v>
      </c>
      <c r="E672" s="2" t="s">
        <v>1204</v>
      </c>
      <c r="F672" s="2">
        <v>2.0</v>
      </c>
      <c r="G672" s="2">
        <v>2.0</v>
      </c>
      <c r="H672" s="2">
        <v>1262000.0</v>
      </c>
      <c r="I672" s="2">
        <v>0.0</v>
      </c>
      <c r="L672" s="2">
        <v>0.0</v>
      </c>
      <c r="M672" s="2">
        <v>0.0</v>
      </c>
      <c r="N672" s="14">
        <v>0.6451388888888888</v>
      </c>
      <c r="O672" s="2" t="s">
        <v>1132</v>
      </c>
      <c r="P672" s="2">
        <v>1.0</v>
      </c>
      <c r="Q672" s="2">
        <v>2.01507061E8</v>
      </c>
      <c r="R672" s="2">
        <v>3.0</v>
      </c>
      <c r="S672" s="2" t="s">
        <v>1114</v>
      </c>
      <c r="U672" s="2">
        <v>1.0</v>
      </c>
      <c r="V672" s="14">
        <v>0.6486111111111111</v>
      </c>
      <c r="X672" s="2">
        <v>0.0</v>
      </c>
      <c r="Y672" s="2" t="s">
        <v>434</v>
      </c>
      <c r="Z672" s="2" t="s">
        <v>1133</v>
      </c>
      <c r="AA672" s="11">
        <v>42191.64879629629</v>
      </c>
    </row>
    <row r="673" ht="12.75" customHeight="1">
      <c r="A673" s="2">
        <v>2.000004041E9</v>
      </c>
      <c r="B673" s="12" t="str">
        <f t="shared" si="1"/>
        <v>0</v>
      </c>
      <c r="C673" s="2">
        <v>2.000004041E9</v>
      </c>
      <c r="D673" s="13">
        <v>42191.0</v>
      </c>
      <c r="E673" s="2" t="s">
        <v>1205</v>
      </c>
      <c r="F673" s="2">
        <v>2.0</v>
      </c>
      <c r="G673" s="2">
        <v>2.0</v>
      </c>
      <c r="H673" s="2">
        <v>155000.0</v>
      </c>
      <c r="I673" s="2">
        <v>0.0</v>
      </c>
      <c r="L673" s="2">
        <v>0.0</v>
      </c>
      <c r="M673" s="2">
        <v>0.0</v>
      </c>
      <c r="N673" s="14">
        <v>0.7159722222222222</v>
      </c>
      <c r="O673" s="2" t="s">
        <v>1132</v>
      </c>
      <c r="P673" s="2">
        <v>1.0</v>
      </c>
      <c r="Q673" s="2">
        <v>2.01507061E8</v>
      </c>
      <c r="R673" s="2">
        <v>3.0</v>
      </c>
      <c r="S673" s="2" t="s">
        <v>1114</v>
      </c>
      <c r="U673" s="2">
        <v>1.0</v>
      </c>
      <c r="V673" s="14">
        <v>0.7180555555555556</v>
      </c>
      <c r="X673" s="2">
        <v>0.0</v>
      </c>
      <c r="Y673" s="2" t="s">
        <v>434</v>
      </c>
      <c r="Z673" s="2" t="s">
        <v>1133</v>
      </c>
      <c r="AA673" s="11">
        <v>42191.71847222222</v>
      </c>
    </row>
    <row r="674" ht="12.75" customHeight="1">
      <c r="A674" s="2">
        <v>2.000004042E9</v>
      </c>
      <c r="B674" s="12" t="str">
        <f t="shared" si="1"/>
        <v>0</v>
      </c>
      <c r="C674" s="2">
        <v>2.000004042E9</v>
      </c>
      <c r="D674" s="13">
        <v>42191.0</v>
      </c>
      <c r="E674" s="2" t="s">
        <v>1206</v>
      </c>
      <c r="F674" s="2">
        <v>2.0</v>
      </c>
      <c r="G674" s="2">
        <v>2.0</v>
      </c>
      <c r="H674" s="2">
        <v>419000.0</v>
      </c>
      <c r="I674" s="2">
        <v>0.0</v>
      </c>
      <c r="L674" s="2">
        <v>0.0</v>
      </c>
      <c r="M674" s="2">
        <v>0.0</v>
      </c>
      <c r="N674" s="14">
        <v>0.7208333333333333</v>
      </c>
      <c r="O674" s="2" t="s">
        <v>1132</v>
      </c>
      <c r="P674" s="2">
        <v>1.0</v>
      </c>
      <c r="Q674" s="2">
        <v>2.01507061E8</v>
      </c>
      <c r="R674" s="2">
        <v>3.0</v>
      </c>
      <c r="S674" s="2" t="s">
        <v>1114</v>
      </c>
      <c r="U674" s="2">
        <v>1.0</v>
      </c>
      <c r="V674" s="14">
        <v>0.725</v>
      </c>
      <c r="X674" s="2">
        <v>0.0</v>
      </c>
      <c r="Y674" s="2" t="s">
        <v>434</v>
      </c>
      <c r="Z674" s="2" t="s">
        <v>1133</v>
      </c>
      <c r="AA674" s="11">
        <v>42191.725497685184</v>
      </c>
    </row>
    <row r="675" ht="12.75" customHeight="1">
      <c r="A675" s="2">
        <v>2.000004046E9</v>
      </c>
      <c r="B675" s="12" t="str">
        <f t="shared" si="1"/>
        <v>0</v>
      </c>
      <c r="C675" s="2">
        <v>2.000004046E9</v>
      </c>
      <c r="D675" s="13">
        <v>42191.0</v>
      </c>
      <c r="E675" s="2" t="s">
        <v>1207</v>
      </c>
      <c r="F675" s="2">
        <v>2.0</v>
      </c>
      <c r="G675" s="2">
        <v>2.0</v>
      </c>
      <c r="H675" s="2">
        <v>810000.0</v>
      </c>
      <c r="I675" s="2">
        <v>0.0</v>
      </c>
      <c r="L675" s="2">
        <v>0.0</v>
      </c>
      <c r="M675" s="2">
        <v>0.0</v>
      </c>
      <c r="N675" s="14">
        <v>0.748611111111111</v>
      </c>
      <c r="O675" s="2" t="s">
        <v>1132</v>
      </c>
      <c r="P675" s="2">
        <v>1.0</v>
      </c>
      <c r="Q675" s="2">
        <v>2.01507061E8</v>
      </c>
      <c r="R675" s="2">
        <v>3.0</v>
      </c>
      <c r="S675" s="2" t="s">
        <v>1114</v>
      </c>
      <c r="U675" s="2">
        <v>1.0</v>
      </c>
      <c r="V675" s="14">
        <v>0.7493055555555556</v>
      </c>
      <c r="X675" s="2">
        <v>0.0</v>
      </c>
      <c r="Y675" s="2" t="s">
        <v>434</v>
      </c>
      <c r="Z675" s="2" t="s">
        <v>1133</v>
      </c>
      <c r="AA675" s="11">
        <v>42191.74994212963</v>
      </c>
    </row>
    <row r="676" ht="12.75" customHeight="1">
      <c r="A676" s="2">
        <v>2.000004047E9</v>
      </c>
      <c r="B676" s="12" t="str">
        <f t="shared" si="1"/>
        <v>0</v>
      </c>
      <c r="C676" s="2">
        <v>2.000004047E9</v>
      </c>
      <c r="D676" s="13">
        <v>42191.0</v>
      </c>
      <c r="E676" s="2" t="s">
        <v>1208</v>
      </c>
      <c r="F676" s="2">
        <v>2.0</v>
      </c>
      <c r="G676" s="2">
        <v>2.0</v>
      </c>
      <c r="H676" s="2">
        <v>1516000.0</v>
      </c>
      <c r="I676" s="2">
        <v>151600.0</v>
      </c>
      <c r="L676" s="2">
        <v>0.0</v>
      </c>
      <c r="M676" s="2">
        <v>0.0</v>
      </c>
      <c r="N676" s="14">
        <v>0.7527777777777778</v>
      </c>
      <c r="O676" s="2" t="s">
        <v>1132</v>
      </c>
      <c r="P676" s="2">
        <v>1.0</v>
      </c>
      <c r="Q676" s="2">
        <v>2.01507061E8</v>
      </c>
      <c r="R676" s="2">
        <v>3.0</v>
      </c>
      <c r="S676" s="2" t="s">
        <v>1114</v>
      </c>
      <c r="U676" s="2">
        <v>1.0</v>
      </c>
      <c r="V676" s="14">
        <v>0.7583333333333333</v>
      </c>
      <c r="X676" s="2">
        <v>0.0</v>
      </c>
      <c r="Y676" s="2" t="s">
        <v>434</v>
      </c>
      <c r="Z676" s="2" t="s">
        <v>1133</v>
      </c>
      <c r="AA676" s="11">
        <v>42191.75885416667</v>
      </c>
    </row>
    <row r="677" ht="12.75" customHeight="1">
      <c r="A677" s="2">
        <v>2.000004049E9</v>
      </c>
      <c r="B677" s="12" t="str">
        <f t="shared" si="1"/>
        <v>0</v>
      </c>
      <c r="C677" s="2">
        <v>2.000004049E9</v>
      </c>
      <c r="D677" s="13">
        <v>42191.0</v>
      </c>
      <c r="E677" s="2" t="s">
        <v>1209</v>
      </c>
      <c r="F677" s="2">
        <v>2.0</v>
      </c>
      <c r="G677" s="2">
        <v>2.0</v>
      </c>
      <c r="H677" s="2">
        <v>1954000.0</v>
      </c>
      <c r="I677" s="2">
        <v>0.0</v>
      </c>
      <c r="L677" s="2">
        <v>0.0</v>
      </c>
      <c r="M677" s="2">
        <v>0.0</v>
      </c>
      <c r="N677" s="14">
        <v>0.7645833333333334</v>
      </c>
      <c r="O677" s="2" t="s">
        <v>1132</v>
      </c>
      <c r="P677" s="2">
        <v>1.0</v>
      </c>
      <c r="Q677" s="2">
        <v>2.01507061E8</v>
      </c>
      <c r="R677" s="2">
        <v>3.0</v>
      </c>
      <c r="S677" s="2" t="s">
        <v>1114</v>
      </c>
      <c r="U677" s="2">
        <v>1.0</v>
      </c>
      <c r="V677" s="14">
        <v>0.7673611111111112</v>
      </c>
      <c r="X677" s="2">
        <v>0.0</v>
      </c>
      <c r="Y677" s="2" t="s">
        <v>434</v>
      </c>
      <c r="Z677" s="2" t="s">
        <v>1133</v>
      </c>
      <c r="AA677" s="11">
        <v>42191.767962962964</v>
      </c>
    </row>
    <row r="678" ht="12.75" customHeight="1">
      <c r="A678" s="2">
        <v>2.00000405E9</v>
      </c>
      <c r="B678" s="12" t="str">
        <f t="shared" si="1"/>
        <v>0</v>
      </c>
      <c r="C678" s="2">
        <v>2.00000405E9</v>
      </c>
      <c r="D678" s="13">
        <v>42191.0</v>
      </c>
      <c r="E678" s="2" t="s">
        <v>1210</v>
      </c>
      <c r="F678" s="2">
        <v>2.0</v>
      </c>
      <c r="G678" s="2">
        <v>2.0</v>
      </c>
      <c r="H678" s="2">
        <v>90000.0</v>
      </c>
      <c r="I678" s="2">
        <v>0.0</v>
      </c>
      <c r="L678" s="2">
        <v>0.0</v>
      </c>
      <c r="M678" s="2">
        <v>0.0</v>
      </c>
      <c r="N678" s="14">
        <v>0.76875</v>
      </c>
      <c r="O678" s="2" t="s">
        <v>1132</v>
      </c>
      <c r="P678" s="2">
        <v>1.0</v>
      </c>
      <c r="Q678" s="2">
        <v>2.01507061E8</v>
      </c>
      <c r="R678" s="2">
        <v>3.0</v>
      </c>
      <c r="S678" s="2" t="s">
        <v>1114</v>
      </c>
      <c r="U678" s="2">
        <v>1.0</v>
      </c>
      <c r="V678" s="14">
        <v>0.7708333333333334</v>
      </c>
      <c r="X678" s="2">
        <v>0.0</v>
      </c>
      <c r="Y678" s="2" t="s">
        <v>434</v>
      </c>
      <c r="Z678" s="2" t="s">
        <v>1133</v>
      </c>
      <c r="AA678" s="11">
        <v>42191.77113425926</v>
      </c>
    </row>
    <row r="679" ht="12.75" customHeight="1">
      <c r="A679" s="2">
        <v>2.000004053E9</v>
      </c>
      <c r="B679" s="12" t="str">
        <f t="shared" si="1"/>
        <v>0</v>
      </c>
      <c r="C679" s="2">
        <v>2.000004053E9</v>
      </c>
      <c r="D679" s="13">
        <v>42191.0</v>
      </c>
      <c r="E679" s="2" t="s">
        <v>1211</v>
      </c>
      <c r="F679" s="2">
        <v>2.0</v>
      </c>
      <c r="G679" s="2">
        <v>2.0</v>
      </c>
      <c r="H679" s="2">
        <v>255000.0</v>
      </c>
      <c r="I679" s="2">
        <v>0.0</v>
      </c>
      <c r="L679" s="2">
        <v>0.0</v>
      </c>
      <c r="M679" s="2">
        <v>0.0</v>
      </c>
      <c r="N679" s="14">
        <v>0.8006944444444444</v>
      </c>
      <c r="O679" s="2" t="s">
        <v>1132</v>
      </c>
      <c r="P679" s="2">
        <v>1.0</v>
      </c>
      <c r="Q679" s="2">
        <v>2.01507061E8</v>
      </c>
      <c r="R679" s="2">
        <v>3.0</v>
      </c>
      <c r="S679" s="2" t="s">
        <v>1114</v>
      </c>
      <c r="U679" s="2">
        <v>1.0</v>
      </c>
      <c r="V679" s="14">
        <v>0.8013888888888889</v>
      </c>
      <c r="X679" s="2">
        <v>0.0</v>
      </c>
      <c r="Y679" s="2" t="s">
        <v>434</v>
      </c>
      <c r="Z679" s="2" t="s">
        <v>1133</v>
      </c>
      <c r="AA679" s="11">
        <v>42191.80200231481</v>
      </c>
    </row>
    <row r="680" ht="12.75" customHeight="1">
      <c r="A680" s="2">
        <v>2.000004054E9</v>
      </c>
      <c r="B680" s="12" t="str">
        <f t="shared" si="1"/>
        <v>0</v>
      </c>
      <c r="C680" s="2">
        <v>2.000004054E9</v>
      </c>
      <c r="D680" s="13">
        <v>42191.0</v>
      </c>
      <c r="E680" s="2" t="s">
        <v>1212</v>
      </c>
      <c r="F680" s="2">
        <v>2.0</v>
      </c>
      <c r="G680" s="2">
        <v>2.0</v>
      </c>
      <c r="H680" s="2">
        <v>590000.0</v>
      </c>
      <c r="I680" s="2">
        <v>0.0</v>
      </c>
      <c r="L680" s="2">
        <v>0.0</v>
      </c>
      <c r="M680" s="2">
        <v>0.0</v>
      </c>
      <c r="N680" s="14">
        <v>0.8284722222222222</v>
      </c>
      <c r="O680" s="2" t="s">
        <v>1132</v>
      </c>
      <c r="P680" s="2">
        <v>1.0</v>
      </c>
      <c r="Q680" s="2">
        <v>2.01507061E8</v>
      </c>
      <c r="R680" s="2">
        <v>3.0</v>
      </c>
      <c r="S680" s="2" t="s">
        <v>1114</v>
      </c>
      <c r="U680" s="2">
        <v>1.0</v>
      </c>
      <c r="V680" s="14">
        <v>0.8284722222222222</v>
      </c>
      <c r="X680" s="2">
        <v>0.0</v>
      </c>
      <c r="Y680" s="2" t="s">
        <v>434</v>
      </c>
      <c r="Z680" s="2" t="s">
        <v>1133</v>
      </c>
      <c r="AA680" s="11">
        <v>42191.82863425926</v>
      </c>
    </row>
    <row r="681" ht="12.75" customHeight="1">
      <c r="A681" s="2">
        <v>2.000004055E9</v>
      </c>
      <c r="B681" s="12" t="str">
        <f t="shared" si="1"/>
        <v>0</v>
      </c>
      <c r="C681" s="2">
        <v>2.000004055E9</v>
      </c>
      <c r="D681" s="13">
        <v>42191.0</v>
      </c>
      <c r="E681" s="2" t="s">
        <v>1213</v>
      </c>
      <c r="F681" s="2">
        <v>2.0</v>
      </c>
      <c r="G681" s="2">
        <v>2.0</v>
      </c>
      <c r="H681" s="2">
        <v>458000.0</v>
      </c>
      <c r="I681" s="2">
        <v>0.0</v>
      </c>
      <c r="L681" s="2">
        <v>0.0</v>
      </c>
      <c r="M681" s="2">
        <v>0.0</v>
      </c>
      <c r="N681" s="14">
        <v>0.8368055555555555</v>
      </c>
      <c r="O681" s="2" t="s">
        <v>1132</v>
      </c>
      <c r="P681" s="2">
        <v>1.0</v>
      </c>
      <c r="Q681" s="2">
        <v>2.01507061E8</v>
      </c>
      <c r="R681" s="2">
        <v>3.0</v>
      </c>
      <c r="S681" s="2" t="s">
        <v>1114</v>
      </c>
      <c r="U681" s="2">
        <v>1.0</v>
      </c>
      <c r="V681" s="14">
        <v>0.8402777777777778</v>
      </c>
      <c r="X681" s="2">
        <v>0.0</v>
      </c>
      <c r="Y681" s="2" t="s">
        <v>434</v>
      </c>
      <c r="Z681" s="2" t="s">
        <v>1133</v>
      </c>
      <c r="AA681" s="11">
        <v>42191.84027777778</v>
      </c>
    </row>
    <row r="682" ht="12.75" customHeight="1">
      <c r="A682" s="2">
        <v>2.000004063E9</v>
      </c>
      <c r="B682" s="12" t="str">
        <f t="shared" si="1"/>
        <v>0</v>
      </c>
      <c r="C682" s="2">
        <v>2.000004063E9</v>
      </c>
      <c r="D682" s="13">
        <v>42192.0</v>
      </c>
      <c r="E682" s="2" t="s">
        <v>1214</v>
      </c>
      <c r="F682" s="2">
        <v>2.0</v>
      </c>
      <c r="G682" s="2">
        <v>2.0</v>
      </c>
      <c r="H682" s="2">
        <v>220000.0</v>
      </c>
      <c r="I682" s="2">
        <v>0.0</v>
      </c>
      <c r="L682" s="2">
        <v>0.0</v>
      </c>
      <c r="M682" s="2">
        <v>0.0</v>
      </c>
      <c r="N682" s="14">
        <v>0.37986111111111115</v>
      </c>
      <c r="O682" s="2" t="s">
        <v>1132</v>
      </c>
      <c r="P682" s="2">
        <v>1.0</v>
      </c>
      <c r="Q682" s="2">
        <v>2.01507071E8</v>
      </c>
      <c r="R682" s="2">
        <v>3.0</v>
      </c>
      <c r="S682" s="2" t="s">
        <v>1114</v>
      </c>
      <c r="U682" s="2">
        <v>1.0</v>
      </c>
      <c r="V682" s="14">
        <v>0.37986111111111115</v>
      </c>
      <c r="X682" s="2">
        <v>0.0</v>
      </c>
      <c r="Y682" s="2" t="s">
        <v>434</v>
      </c>
      <c r="Z682" s="2" t="s">
        <v>1133</v>
      </c>
      <c r="AA682" s="11">
        <v>42192.38039351852</v>
      </c>
    </row>
    <row r="683" ht="12.75" customHeight="1">
      <c r="A683" s="2">
        <v>2.000004064E9</v>
      </c>
      <c r="B683" s="12" t="str">
        <f t="shared" si="1"/>
        <v>0</v>
      </c>
      <c r="C683" s="2">
        <v>2.000004064E9</v>
      </c>
      <c r="D683" s="13">
        <v>42192.0</v>
      </c>
      <c r="E683" s="2" t="s">
        <v>1215</v>
      </c>
      <c r="F683" s="2">
        <v>2.0</v>
      </c>
      <c r="G683" s="2">
        <v>2.0</v>
      </c>
      <c r="H683" s="2">
        <v>80000.0</v>
      </c>
      <c r="I683" s="2">
        <v>0.0</v>
      </c>
      <c r="L683" s="2">
        <v>0.0</v>
      </c>
      <c r="M683" s="2">
        <v>0.0</v>
      </c>
      <c r="N683" s="14">
        <v>0.39375</v>
      </c>
      <c r="O683" s="2" t="s">
        <v>1132</v>
      </c>
      <c r="P683" s="2">
        <v>1.0</v>
      </c>
      <c r="Q683" s="2">
        <v>2.01507071E8</v>
      </c>
      <c r="R683" s="2">
        <v>3.0</v>
      </c>
      <c r="S683" s="2" t="s">
        <v>1114</v>
      </c>
      <c r="U683" s="2">
        <v>1.0</v>
      </c>
      <c r="V683" s="14">
        <v>0.39375</v>
      </c>
      <c r="X683" s="2">
        <v>0.0</v>
      </c>
      <c r="Y683" s="2" t="s">
        <v>434</v>
      </c>
      <c r="Z683" s="2" t="s">
        <v>1133</v>
      </c>
      <c r="AA683" s="11">
        <v>42192.39423611111</v>
      </c>
    </row>
    <row r="684" ht="12.75" customHeight="1">
      <c r="A684" s="2">
        <v>2.000004067E9</v>
      </c>
      <c r="B684" s="12" t="str">
        <f t="shared" si="1"/>
        <v>0</v>
      </c>
      <c r="C684" s="2">
        <v>2.000004067E9</v>
      </c>
      <c r="D684" s="13">
        <v>42192.0</v>
      </c>
      <c r="E684" s="2" t="s">
        <v>1216</v>
      </c>
      <c r="F684" s="2">
        <v>2.0</v>
      </c>
      <c r="G684" s="2">
        <v>2.0</v>
      </c>
      <c r="H684" s="2">
        <v>2007000.0</v>
      </c>
      <c r="I684" s="2">
        <v>0.0</v>
      </c>
      <c r="L684" s="2">
        <v>0.0</v>
      </c>
      <c r="M684" s="2">
        <v>0.0</v>
      </c>
      <c r="N684" s="14">
        <v>0.40208333333333335</v>
      </c>
      <c r="O684" s="2" t="s">
        <v>1132</v>
      </c>
      <c r="P684" s="2">
        <v>1.0</v>
      </c>
      <c r="Q684" s="2">
        <v>2.01507071E8</v>
      </c>
      <c r="R684" s="2">
        <v>3.0</v>
      </c>
      <c r="S684" s="2" t="s">
        <v>1114</v>
      </c>
      <c r="U684" s="2">
        <v>1.0</v>
      </c>
      <c r="V684" s="14">
        <v>0.41041666666666665</v>
      </c>
      <c r="X684" s="2">
        <v>0.0</v>
      </c>
      <c r="Y684" s="2" t="s">
        <v>434</v>
      </c>
      <c r="Z684" s="2" t="s">
        <v>1133</v>
      </c>
      <c r="AA684" s="11">
        <v>42192.41105324074</v>
      </c>
    </row>
    <row r="685" ht="12.75" customHeight="1">
      <c r="A685" s="2">
        <v>2.00000407E9</v>
      </c>
      <c r="B685" s="12" t="str">
        <f t="shared" si="1"/>
        <v>0</v>
      </c>
      <c r="C685" s="2">
        <v>2.00000407E9</v>
      </c>
      <c r="D685" s="13">
        <v>42192.0</v>
      </c>
      <c r="E685" s="2" t="s">
        <v>1217</v>
      </c>
      <c r="F685" s="2">
        <v>2.0</v>
      </c>
      <c r="G685" s="2">
        <v>2.0</v>
      </c>
      <c r="H685" s="2">
        <v>1941000.0</v>
      </c>
      <c r="I685" s="2">
        <v>0.0</v>
      </c>
      <c r="L685" s="2">
        <v>0.0</v>
      </c>
      <c r="M685" s="2">
        <v>0.0</v>
      </c>
      <c r="N685" s="14">
        <v>0.4361111111111111</v>
      </c>
      <c r="O685" s="2" t="s">
        <v>1132</v>
      </c>
      <c r="P685" s="2">
        <v>1.0</v>
      </c>
      <c r="Q685" s="2">
        <v>2.01507071E8</v>
      </c>
      <c r="R685" s="2">
        <v>3.0</v>
      </c>
      <c r="S685" s="2" t="s">
        <v>1114</v>
      </c>
      <c r="U685" s="2">
        <v>1.0</v>
      </c>
      <c r="V685" s="14">
        <v>0.4375</v>
      </c>
      <c r="X685" s="2">
        <v>0.0</v>
      </c>
      <c r="Y685" s="2" t="s">
        <v>434</v>
      </c>
      <c r="Z685" s="2" t="s">
        <v>1133</v>
      </c>
      <c r="AA685" s="11">
        <v>42192.437523148146</v>
      </c>
    </row>
    <row r="686" ht="12.75" customHeight="1">
      <c r="A686" s="2">
        <v>2.000004079E9</v>
      </c>
      <c r="B686" s="12" t="str">
        <f t="shared" si="1"/>
        <v>0</v>
      </c>
      <c r="C686" s="2">
        <v>2.000004079E9</v>
      </c>
      <c r="D686" s="13">
        <v>42192.0</v>
      </c>
      <c r="E686" s="2" t="s">
        <v>1218</v>
      </c>
      <c r="F686" s="2">
        <v>2.0</v>
      </c>
      <c r="G686" s="2">
        <v>2.0</v>
      </c>
      <c r="H686" s="2">
        <v>1485000.0</v>
      </c>
      <c r="I686" s="2">
        <v>0.0</v>
      </c>
      <c r="L686" s="2">
        <v>0.0</v>
      </c>
      <c r="M686" s="2">
        <v>0.0</v>
      </c>
      <c r="N686" s="14">
        <v>0.68125</v>
      </c>
      <c r="O686" s="2" t="s">
        <v>1132</v>
      </c>
      <c r="P686" s="2">
        <v>1.0</v>
      </c>
      <c r="Q686" s="2">
        <v>2.01507071E8</v>
      </c>
      <c r="R686" s="2">
        <v>3.0</v>
      </c>
      <c r="S686" s="2" t="s">
        <v>1114</v>
      </c>
      <c r="U686" s="2">
        <v>1.0</v>
      </c>
      <c r="V686" s="14">
        <v>0.6930555555555555</v>
      </c>
      <c r="X686" s="2">
        <v>0.0</v>
      </c>
      <c r="Y686" s="2" t="s">
        <v>434</v>
      </c>
      <c r="Z686" s="2" t="s">
        <v>1133</v>
      </c>
      <c r="AA686" s="11">
        <v>42192.69361111111</v>
      </c>
    </row>
    <row r="687" ht="12.75" customHeight="1">
      <c r="A687" s="2">
        <v>2.000004091E9</v>
      </c>
      <c r="B687" s="12" t="str">
        <f t="shared" si="1"/>
        <v>0</v>
      </c>
      <c r="C687" s="2">
        <v>2.000004091E9</v>
      </c>
      <c r="D687" s="13">
        <v>42192.0</v>
      </c>
      <c r="E687" s="2" t="s">
        <v>1219</v>
      </c>
      <c r="F687" s="2">
        <v>2.0</v>
      </c>
      <c r="G687" s="2">
        <v>2.0</v>
      </c>
      <c r="H687" s="2">
        <v>110000.0</v>
      </c>
      <c r="I687" s="2">
        <v>0.0</v>
      </c>
      <c r="L687" s="2">
        <v>0.0</v>
      </c>
      <c r="M687" s="2">
        <v>0.0</v>
      </c>
      <c r="N687" s="14">
        <v>0.8277777777777778</v>
      </c>
      <c r="O687" s="2" t="s">
        <v>1132</v>
      </c>
      <c r="P687" s="2">
        <v>1.0</v>
      </c>
      <c r="Q687" s="2">
        <v>2.01507071E8</v>
      </c>
      <c r="R687" s="2">
        <v>3.0</v>
      </c>
      <c r="S687" s="2" t="s">
        <v>1114</v>
      </c>
      <c r="U687" s="2">
        <v>1.0</v>
      </c>
      <c r="V687" s="14">
        <v>0.8305555555555556</v>
      </c>
      <c r="X687" s="2">
        <v>0.0</v>
      </c>
      <c r="Y687" s="2" t="s">
        <v>434</v>
      </c>
      <c r="Z687" s="2" t="s">
        <v>1133</v>
      </c>
      <c r="AA687" s="11">
        <v>42192.831041666665</v>
      </c>
    </row>
    <row r="688" ht="12.75" customHeight="1">
      <c r="A688" s="2">
        <v>2.000004092E9</v>
      </c>
      <c r="B688" s="12" t="str">
        <f t="shared" si="1"/>
        <v>0</v>
      </c>
      <c r="C688" s="2">
        <v>2.000004092E9</v>
      </c>
      <c r="D688" s="13">
        <v>42192.0</v>
      </c>
      <c r="E688" s="2" t="s">
        <v>1220</v>
      </c>
      <c r="F688" s="2">
        <v>2.0</v>
      </c>
      <c r="G688" s="2">
        <v>2.0</v>
      </c>
      <c r="H688" s="2">
        <v>1053000.0</v>
      </c>
      <c r="I688" s="2">
        <v>0.0</v>
      </c>
      <c r="L688" s="2">
        <v>0.0</v>
      </c>
      <c r="M688" s="2">
        <v>0.0</v>
      </c>
      <c r="N688" s="14">
        <v>0.85</v>
      </c>
      <c r="O688" s="2" t="s">
        <v>1132</v>
      </c>
      <c r="P688" s="2">
        <v>1.0</v>
      </c>
      <c r="Q688" s="2">
        <v>2.01507071E8</v>
      </c>
      <c r="R688" s="2">
        <v>3.0</v>
      </c>
      <c r="S688" s="2" t="s">
        <v>1114</v>
      </c>
      <c r="U688" s="2">
        <v>1.0</v>
      </c>
      <c r="V688" s="14">
        <v>0.8513888888888889</v>
      </c>
      <c r="X688" s="2">
        <v>0.0</v>
      </c>
      <c r="Y688" s="2" t="s">
        <v>434</v>
      </c>
      <c r="Z688" s="2" t="s">
        <v>1133</v>
      </c>
      <c r="AA688" s="11">
        <v>42192.85141203704</v>
      </c>
    </row>
    <row r="689" ht="12.75" customHeight="1">
      <c r="A689" s="2">
        <v>2.000004101E9</v>
      </c>
      <c r="B689" s="12" t="str">
        <f t="shared" si="1"/>
        <v>0</v>
      </c>
      <c r="C689" s="2">
        <v>2.000004101E9</v>
      </c>
      <c r="D689" s="13">
        <v>42192.0</v>
      </c>
      <c r="E689" s="2" t="s">
        <v>1221</v>
      </c>
      <c r="F689" s="2">
        <v>2.0</v>
      </c>
      <c r="G689" s="2">
        <v>2.0</v>
      </c>
      <c r="H689" s="2">
        <v>-85000.0</v>
      </c>
      <c r="I689" s="2">
        <v>0.0</v>
      </c>
      <c r="L689" s="2">
        <v>0.0</v>
      </c>
      <c r="M689" s="2">
        <v>0.0</v>
      </c>
      <c r="N689" s="14">
        <v>0.8826388888888889</v>
      </c>
      <c r="O689" s="2" t="s">
        <v>1132</v>
      </c>
      <c r="P689" s="2">
        <v>1.0</v>
      </c>
      <c r="Q689" s="2">
        <v>2.01507071E8</v>
      </c>
      <c r="R689" s="2">
        <v>3.0</v>
      </c>
      <c r="S689" s="2" t="s">
        <v>1114</v>
      </c>
      <c r="U689" s="2">
        <v>1.0</v>
      </c>
      <c r="V689" s="14">
        <v>0.8840277777777777</v>
      </c>
      <c r="X689" s="2">
        <v>0.0</v>
      </c>
      <c r="Y689" s="2" t="s">
        <v>434</v>
      </c>
      <c r="Z689" s="2" t="s">
        <v>1133</v>
      </c>
      <c r="AA689" s="11">
        <v>42192.8840162037</v>
      </c>
    </row>
    <row r="690" ht="12.75" customHeight="1">
      <c r="A690" s="2">
        <v>2.000004115E9</v>
      </c>
      <c r="B690" s="12" t="str">
        <f t="shared" si="1"/>
        <v>0</v>
      </c>
      <c r="C690" s="2">
        <v>2.000004115E9</v>
      </c>
      <c r="D690" s="13">
        <v>42193.0</v>
      </c>
      <c r="E690" s="2" t="s">
        <v>1222</v>
      </c>
      <c r="F690" s="2">
        <v>2.0</v>
      </c>
      <c r="G690" s="2">
        <v>2.0</v>
      </c>
      <c r="H690" s="2">
        <v>670000.0</v>
      </c>
      <c r="I690" s="2">
        <v>0.0</v>
      </c>
      <c r="L690" s="2">
        <v>0.0</v>
      </c>
      <c r="M690" s="2">
        <v>0.0</v>
      </c>
      <c r="N690" s="14">
        <v>0.675</v>
      </c>
      <c r="O690" s="2" t="s">
        <v>1132</v>
      </c>
      <c r="P690" s="2">
        <v>1.0</v>
      </c>
      <c r="Q690" s="2">
        <v>2.01507081E8</v>
      </c>
      <c r="R690" s="2">
        <v>3.0</v>
      </c>
      <c r="S690" s="2" t="s">
        <v>1114</v>
      </c>
      <c r="U690" s="2">
        <v>1.0</v>
      </c>
      <c r="V690" s="14">
        <v>0.6756944444444444</v>
      </c>
      <c r="X690" s="2">
        <v>0.0</v>
      </c>
      <c r="Y690" s="2" t="s">
        <v>434</v>
      </c>
      <c r="Z690" s="2" t="s">
        <v>1133</v>
      </c>
      <c r="AA690" s="11">
        <v>42193.67575231481</v>
      </c>
    </row>
    <row r="691" ht="12.75" customHeight="1">
      <c r="A691" s="2">
        <v>2.000004119E9</v>
      </c>
      <c r="B691" s="12" t="str">
        <f t="shared" si="1"/>
        <v>0</v>
      </c>
      <c r="C691" s="2">
        <v>2.000004119E9</v>
      </c>
      <c r="D691" s="13">
        <v>42193.0</v>
      </c>
      <c r="E691" s="2" t="s">
        <v>1223</v>
      </c>
      <c r="F691" s="2">
        <v>2.0</v>
      </c>
      <c r="G691" s="2">
        <v>2.0</v>
      </c>
      <c r="H691" s="2">
        <v>120000.0</v>
      </c>
      <c r="I691" s="2">
        <v>0.0</v>
      </c>
      <c r="L691" s="2">
        <v>0.0</v>
      </c>
      <c r="M691" s="2">
        <v>0.0</v>
      </c>
      <c r="N691" s="14">
        <v>0.7125</v>
      </c>
      <c r="O691" s="2" t="s">
        <v>1132</v>
      </c>
      <c r="P691" s="2">
        <v>1.0</v>
      </c>
      <c r="Q691" s="2">
        <v>2.01507081E8</v>
      </c>
      <c r="R691" s="2">
        <v>3.0</v>
      </c>
      <c r="S691" s="2" t="s">
        <v>1114</v>
      </c>
      <c r="U691" s="2">
        <v>1.0</v>
      </c>
      <c r="V691" s="14">
        <v>0.7131944444444445</v>
      </c>
      <c r="X691" s="2">
        <v>0.0</v>
      </c>
      <c r="Y691" s="2" t="s">
        <v>434</v>
      </c>
      <c r="Z691" s="2" t="s">
        <v>1133</v>
      </c>
      <c r="AA691" s="11">
        <v>42193.71364583333</v>
      </c>
    </row>
    <row r="692" ht="12.75" customHeight="1">
      <c r="A692" s="2">
        <v>2.000004124E9</v>
      </c>
      <c r="B692" s="12" t="str">
        <f t="shared" si="1"/>
        <v>0</v>
      </c>
      <c r="C692" s="2">
        <v>2.000004124E9</v>
      </c>
      <c r="D692" s="13">
        <v>42193.0</v>
      </c>
      <c r="E692" s="2" t="s">
        <v>1224</v>
      </c>
      <c r="F692" s="2">
        <v>2.0</v>
      </c>
      <c r="G692" s="2">
        <v>2.0</v>
      </c>
      <c r="H692" s="2">
        <v>-60000.0</v>
      </c>
      <c r="I692" s="2">
        <v>0.0</v>
      </c>
      <c r="L692" s="2">
        <v>0.0</v>
      </c>
      <c r="M692" s="2">
        <v>0.0</v>
      </c>
      <c r="N692" s="14">
        <v>0.7736111111111111</v>
      </c>
      <c r="O692" s="2" t="s">
        <v>1132</v>
      </c>
      <c r="P692" s="2">
        <v>1.0</v>
      </c>
      <c r="Q692" s="2">
        <v>2.01507081E8</v>
      </c>
      <c r="R692" s="2">
        <v>3.0</v>
      </c>
      <c r="S692" s="2" t="s">
        <v>1114</v>
      </c>
      <c r="U692" s="2">
        <v>1.0</v>
      </c>
      <c r="V692" s="14">
        <v>0.7743055555555555</v>
      </c>
      <c r="X692" s="2">
        <v>0.0</v>
      </c>
      <c r="Y692" s="2" t="s">
        <v>434</v>
      </c>
      <c r="Z692" s="2" t="s">
        <v>1133</v>
      </c>
      <c r="AA692" s="11">
        <v>42193.77446759259</v>
      </c>
    </row>
    <row r="693" ht="12.75" customHeight="1">
      <c r="A693" s="2">
        <v>2.000004129E9</v>
      </c>
      <c r="B693" s="12" t="str">
        <f t="shared" si="1"/>
        <v>0</v>
      </c>
      <c r="C693" s="2">
        <v>2.000004129E9</v>
      </c>
      <c r="D693" s="13">
        <v>42193.0</v>
      </c>
      <c r="E693" s="2" t="s">
        <v>1225</v>
      </c>
      <c r="F693" s="2">
        <v>2.0</v>
      </c>
      <c r="G693" s="2">
        <v>2.0</v>
      </c>
      <c r="H693" s="2">
        <v>220000.0</v>
      </c>
      <c r="I693" s="2">
        <v>0.0</v>
      </c>
      <c r="L693" s="2">
        <v>0.0</v>
      </c>
      <c r="M693" s="2">
        <v>0.0</v>
      </c>
      <c r="N693" s="14">
        <v>0.8493055555555555</v>
      </c>
      <c r="O693" s="2" t="s">
        <v>1132</v>
      </c>
      <c r="P693" s="2">
        <v>1.0</v>
      </c>
      <c r="Q693" s="2">
        <v>2.01507081E8</v>
      </c>
      <c r="R693" s="2">
        <v>3.0</v>
      </c>
      <c r="S693" s="2" t="s">
        <v>1114</v>
      </c>
      <c r="U693" s="2">
        <v>1.0</v>
      </c>
      <c r="V693" s="14">
        <v>0.85</v>
      </c>
      <c r="X693" s="2">
        <v>0.0</v>
      </c>
      <c r="Y693" s="2" t="s">
        <v>434</v>
      </c>
      <c r="Z693" s="2" t="s">
        <v>1133</v>
      </c>
      <c r="AA693" s="11">
        <v>42193.849953703706</v>
      </c>
    </row>
    <row r="694" ht="12.75" customHeight="1">
      <c r="A694" s="2">
        <v>2.00000413E9</v>
      </c>
      <c r="B694" s="12" t="str">
        <f t="shared" si="1"/>
        <v>0</v>
      </c>
      <c r="C694" s="2">
        <v>2.00000413E9</v>
      </c>
      <c r="D694" s="13">
        <v>42193.0</v>
      </c>
      <c r="E694" s="2" t="s">
        <v>1226</v>
      </c>
      <c r="F694" s="2">
        <v>2.0</v>
      </c>
      <c r="G694" s="2">
        <v>2.0</v>
      </c>
      <c r="H694" s="2">
        <v>250000.0</v>
      </c>
      <c r="I694" s="2">
        <v>0.0</v>
      </c>
      <c r="L694" s="2">
        <v>0.0</v>
      </c>
      <c r="M694" s="2">
        <v>0.0</v>
      </c>
      <c r="N694" s="14">
        <v>0.85</v>
      </c>
      <c r="O694" s="2" t="s">
        <v>1132</v>
      </c>
      <c r="P694" s="2">
        <v>1.0</v>
      </c>
      <c r="Q694" s="2">
        <v>2.01507081E8</v>
      </c>
      <c r="R694" s="2">
        <v>3.0</v>
      </c>
      <c r="S694" s="2" t="s">
        <v>1114</v>
      </c>
      <c r="U694" s="2">
        <v>1.0</v>
      </c>
      <c r="V694" s="14">
        <v>0.8506944444444445</v>
      </c>
      <c r="X694" s="2">
        <v>0.0</v>
      </c>
      <c r="Y694" s="2" t="s">
        <v>434</v>
      </c>
      <c r="Z694" s="2" t="s">
        <v>1133</v>
      </c>
      <c r="AA694" s="11">
        <v>42193.85107638889</v>
      </c>
    </row>
    <row r="695" ht="12.75" customHeight="1">
      <c r="A695" s="2">
        <v>2.000004132E9</v>
      </c>
      <c r="B695" s="12" t="str">
        <f t="shared" si="1"/>
        <v>0</v>
      </c>
      <c r="C695" s="2">
        <v>2.000004132E9</v>
      </c>
      <c r="D695" s="13">
        <v>42193.0</v>
      </c>
      <c r="E695" s="2" t="s">
        <v>1227</v>
      </c>
      <c r="F695" s="2">
        <v>2.0</v>
      </c>
      <c r="G695" s="2">
        <v>2.0</v>
      </c>
      <c r="H695" s="2">
        <v>1208000.0</v>
      </c>
      <c r="I695" s="2">
        <v>0.0</v>
      </c>
      <c r="L695" s="2">
        <v>0.0</v>
      </c>
      <c r="M695" s="2">
        <v>0.0</v>
      </c>
      <c r="N695" s="14">
        <v>0.8618055555555556</v>
      </c>
      <c r="O695" s="2" t="s">
        <v>1132</v>
      </c>
      <c r="P695" s="2">
        <v>1.0</v>
      </c>
      <c r="Q695" s="2">
        <v>2.01507081E8</v>
      </c>
      <c r="R695" s="2">
        <v>3.0</v>
      </c>
      <c r="S695" s="2" t="s">
        <v>1114</v>
      </c>
      <c r="U695" s="2">
        <v>1.0</v>
      </c>
      <c r="V695" s="14">
        <v>0.8618055555555556</v>
      </c>
      <c r="X695" s="2">
        <v>0.0</v>
      </c>
      <c r="Y695" s="2" t="s">
        <v>434</v>
      </c>
      <c r="Z695" s="2" t="s">
        <v>1133</v>
      </c>
      <c r="AA695" s="11">
        <v>42193.86241898148</v>
      </c>
    </row>
    <row r="696" ht="12.75" customHeight="1">
      <c r="A696" s="2">
        <v>2.000004133E9</v>
      </c>
      <c r="B696" s="12" t="str">
        <f t="shared" si="1"/>
        <v>0</v>
      </c>
      <c r="C696" s="2">
        <v>2.000004133E9</v>
      </c>
      <c r="D696" s="13">
        <v>42193.0</v>
      </c>
      <c r="E696" s="2" t="s">
        <v>1228</v>
      </c>
      <c r="F696" s="2">
        <v>2.0</v>
      </c>
      <c r="G696" s="2">
        <v>2.0</v>
      </c>
      <c r="H696" s="2">
        <v>785000.0</v>
      </c>
      <c r="I696" s="2">
        <v>0.0</v>
      </c>
      <c r="L696" s="2">
        <v>0.0</v>
      </c>
      <c r="M696" s="2">
        <v>0.0</v>
      </c>
      <c r="N696" s="14">
        <v>0.8694444444444445</v>
      </c>
      <c r="O696" s="2" t="s">
        <v>1132</v>
      </c>
      <c r="P696" s="2">
        <v>1.0</v>
      </c>
      <c r="Q696" s="2">
        <v>2.01507081E8</v>
      </c>
      <c r="R696" s="2">
        <v>3.0</v>
      </c>
      <c r="S696" s="2" t="s">
        <v>1114</v>
      </c>
      <c r="U696" s="2">
        <v>1.0</v>
      </c>
      <c r="V696" s="14">
        <v>0.8701388888888889</v>
      </c>
      <c r="X696" s="2">
        <v>0.0</v>
      </c>
      <c r="Y696" s="2" t="s">
        <v>434</v>
      </c>
      <c r="Z696" s="2" t="s">
        <v>1133</v>
      </c>
      <c r="AA696" s="11">
        <v>42193.870092592595</v>
      </c>
    </row>
    <row r="697" ht="12.75" customHeight="1">
      <c r="A697" s="2">
        <v>2.000004136E9</v>
      </c>
      <c r="B697" s="12" t="str">
        <f t="shared" si="1"/>
        <v>0</v>
      </c>
      <c r="C697" s="2">
        <v>2.000004136E9</v>
      </c>
      <c r="D697" s="13">
        <v>42193.0</v>
      </c>
      <c r="E697" s="2" t="s">
        <v>1229</v>
      </c>
      <c r="F697" s="2">
        <v>2.0</v>
      </c>
      <c r="G697" s="2">
        <v>2.0</v>
      </c>
      <c r="H697" s="2">
        <v>198000.0</v>
      </c>
      <c r="I697" s="2">
        <v>0.0</v>
      </c>
      <c r="L697" s="2">
        <v>0.0</v>
      </c>
      <c r="M697" s="2">
        <v>0.0</v>
      </c>
      <c r="N697" s="14">
        <v>0.8770833333333333</v>
      </c>
      <c r="O697" s="2" t="s">
        <v>1132</v>
      </c>
      <c r="P697" s="2">
        <v>1.0</v>
      </c>
      <c r="Q697" s="2">
        <v>2.01507081E8</v>
      </c>
      <c r="R697" s="2">
        <v>3.0</v>
      </c>
      <c r="S697" s="2" t="s">
        <v>1114</v>
      </c>
      <c r="U697" s="2">
        <v>1.0</v>
      </c>
      <c r="V697" s="14">
        <v>0.8770833333333333</v>
      </c>
      <c r="X697" s="2">
        <v>0.0</v>
      </c>
      <c r="Y697" s="2" t="s">
        <v>434</v>
      </c>
      <c r="Z697" s="2" t="s">
        <v>1133</v>
      </c>
      <c r="AA697" s="11">
        <v>42193.87755787037</v>
      </c>
    </row>
    <row r="698" ht="12.75" customHeight="1">
      <c r="A698" s="2">
        <v>2.000004137E9</v>
      </c>
      <c r="B698" s="12" t="str">
        <f t="shared" si="1"/>
        <v>0</v>
      </c>
      <c r="C698" s="2">
        <v>2.000004137E9</v>
      </c>
      <c r="D698" s="13">
        <v>42193.0</v>
      </c>
      <c r="E698" s="2" t="s">
        <v>1230</v>
      </c>
      <c r="F698" s="2">
        <v>2.0</v>
      </c>
      <c r="G698" s="2">
        <v>2.0</v>
      </c>
      <c r="H698" s="2">
        <v>395000.0</v>
      </c>
      <c r="I698" s="2">
        <v>0.0</v>
      </c>
      <c r="L698" s="2">
        <v>0.0</v>
      </c>
      <c r="M698" s="2">
        <v>0.0</v>
      </c>
      <c r="N698" s="14">
        <v>0.8791666666666668</v>
      </c>
      <c r="O698" s="2" t="s">
        <v>1132</v>
      </c>
      <c r="P698" s="2">
        <v>1.0</v>
      </c>
      <c r="Q698" s="2">
        <v>2.01507081E8</v>
      </c>
      <c r="R698" s="2">
        <v>3.0</v>
      </c>
      <c r="S698" s="2" t="s">
        <v>1114</v>
      </c>
      <c r="U698" s="2">
        <v>1.0</v>
      </c>
      <c r="V698" s="14">
        <v>0.8798611111111111</v>
      </c>
      <c r="X698" s="2">
        <v>0.0</v>
      </c>
      <c r="Y698" s="2" t="s">
        <v>434</v>
      </c>
      <c r="Z698" s="2" t="s">
        <v>1133</v>
      </c>
      <c r="AA698" s="11">
        <v>42193.880277777775</v>
      </c>
    </row>
    <row r="699" ht="12.75" customHeight="1">
      <c r="A699" s="2">
        <v>2.00000416E9</v>
      </c>
      <c r="B699" s="12" t="str">
        <f t="shared" si="1"/>
        <v>0</v>
      </c>
      <c r="C699" s="2">
        <v>2.00000416E9</v>
      </c>
      <c r="D699" s="13">
        <v>42194.0</v>
      </c>
      <c r="E699" s="2" t="s">
        <v>1231</v>
      </c>
      <c r="F699" s="2">
        <v>2.0</v>
      </c>
      <c r="G699" s="2">
        <v>2.0</v>
      </c>
      <c r="H699" s="2">
        <v>395000.0</v>
      </c>
      <c r="I699" s="2">
        <v>0.0</v>
      </c>
      <c r="L699" s="2">
        <v>0.0</v>
      </c>
      <c r="M699" s="2">
        <v>0.0</v>
      </c>
      <c r="N699" s="14">
        <v>0.6395833333333333</v>
      </c>
      <c r="O699" s="2" t="s">
        <v>1132</v>
      </c>
      <c r="P699" s="2">
        <v>1.0</v>
      </c>
      <c r="Q699" s="2">
        <v>2.01507091E8</v>
      </c>
      <c r="R699" s="2">
        <v>3.0</v>
      </c>
      <c r="S699" s="2" t="s">
        <v>1114</v>
      </c>
      <c r="U699" s="2">
        <v>1.0</v>
      </c>
      <c r="V699" s="14">
        <v>0.6395833333333333</v>
      </c>
      <c r="X699" s="2">
        <v>0.0</v>
      </c>
      <c r="Y699" s="2" t="s">
        <v>434</v>
      </c>
      <c r="Z699" s="2" t="s">
        <v>1133</v>
      </c>
      <c r="AA699" s="11">
        <v>42194.639861111114</v>
      </c>
    </row>
    <row r="700" ht="12.75" customHeight="1">
      <c r="A700" s="2">
        <v>2.000004164E9</v>
      </c>
      <c r="B700" s="12" t="str">
        <f t="shared" si="1"/>
        <v>0</v>
      </c>
      <c r="C700" s="2">
        <v>2.000004164E9</v>
      </c>
      <c r="D700" s="13">
        <v>42194.0</v>
      </c>
      <c r="E700" s="2" t="s">
        <v>1232</v>
      </c>
      <c r="F700" s="2">
        <v>2.0</v>
      </c>
      <c r="G700" s="2">
        <v>2.0</v>
      </c>
      <c r="H700" s="2">
        <v>620000.0</v>
      </c>
      <c r="I700" s="2">
        <v>0.0</v>
      </c>
      <c r="L700" s="2">
        <v>0.0</v>
      </c>
      <c r="M700" s="2">
        <v>0.0</v>
      </c>
      <c r="N700" s="14">
        <v>0.7243055555555555</v>
      </c>
      <c r="O700" s="2" t="s">
        <v>1132</v>
      </c>
      <c r="P700" s="2">
        <v>1.0</v>
      </c>
      <c r="Q700" s="2">
        <v>2.01507091E8</v>
      </c>
      <c r="R700" s="2">
        <v>3.0</v>
      </c>
      <c r="S700" s="2" t="s">
        <v>1114</v>
      </c>
      <c r="U700" s="2">
        <v>1.0</v>
      </c>
      <c r="V700" s="14">
        <v>0.7243055555555555</v>
      </c>
      <c r="X700" s="2">
        <v>0.0</v>
      </c>
      <c r="Y700" s="2" t="s">
        <v>434</v>
      </c>
      <c r="Z700" s="2" t="s">
        <v>1133</v>
      </c>
      <c r="AA700" s="11">
        <v>42194.72457175926</v>
      </c>
    </row>
    <row r="701" ht="12.75" customHeight="1">
      <c r="A701" s="2">
        <v>2.000004166E9</v>
      </c>
      <c r="B701" s="12" t="str">
        <f t="shared" si="1"/>
        <v>0</v>
      </c>
      <c r="C701" s="2">
        <v>2.000004166E9</v>
      </c>
      <c r="D701" s="13">
        <v>42194.0</v>
      </c>
      <c r="E701" s="2" t="s">
        <v>1233</v>
      </c>
      <c r="F701" s="2">
        <v>2.0</v>
      </c>
      <c r="G701" s="2">
        <v>2.0</v>
      </c>
      <c r="H701" s="2">
        <v>220000.0</v>
      </c>
      <c r="I701" s="2">
        <v>0.0</v>
      </c>
      <c r="L701" s="2">
        <v>0.0</v>
      </c>
      <c r="M701" s="2">
        <v>0.0</v>
      </c>
      <c r="N701" s="14">
        <v>0.748611111111111</v>
      </c>
      <c r="O701" s="2" t="s">
        <v>1132</v>
      </c>
      <c r="P701" s="2">
        <v>1.0</v>
      </c>
      <c r="Q701" s="2">
        <v>2.01507091E8</v>
      </c>
      <c r="R701" s="2">
        <v>3.0</v>
      </c>
      <c r="S701" s="2" t="s">
        <v>1114</v>
      </c>
      <c r="U701" s="2">
        <v>1.0</v>
      </c>
      <c r="V701" s="14">
        <v>0.7493055555555556</v>
      </c>
      <c r="X701" s="2">
        <v>0.0</v>
      </c>
      <c r="Y701" s="2" t="s">
        <v>434</v>
      </c>
      <c r="Z701" s="2" t="s">
        <v>1133</v>
      </c>
      <c r="AA701" s="11">
        <v>42194.749444444446</v>
      </c>
    </row>
    <row r="702" ht="12.75" customHeight="1">
      <c r="A702" s="2">
        <v>2.000004172E9</v>
      </c>
      <c r="B702" s="12" t="str">
        <f t="shared" si="1"/>
        <v>0</v>
      </c>
      <c r="C702" s="2">
        <v>2.000004172E9</v>
      </c>
      <c r="D702" s="13">
        <v>42194.0</v>
      </c>
      <c r="E702" s="2" t="s">
        <v>1234</v>
      </c>
      <c r="F702" s="2">
        <v>2.0</v>
      </c>
      <c r="G702" s="2">
        <v>2.0</v>
      </c>
      <c r="H702" s="2">
        <v>1185000.0</v>
      </c>
      <c r="I702" s="2">
        <v>0.0</v>
      </c>
      <c r="L702" s="2">
        <v>0.0</v>
      </c>
      <c r="M702" s="2">
        <v>0.0</v>
      </c>
      <c r="N702" s="14">
        <v>0.79375</v>
      </c>
      <c r="O702" s="2" t="s">
        <v>1132</v>
      </c>
      <c r="P702" s="2">
        <v>1.0</v>
      </c>
      <c r="Q702" s="2">
        <v>2.01507091E8</v>
      </c>
      <c r="R702" s="2">
        <v>3.0</v>
      </c>
      <c r="S702" s="2" t="s">
        <v>1114</v>
      </c>
      <c r="U702" s="2">
        <v>1.0</v>
      </c>
      <c r="V702" s="14">
        <v>0.7951388888888888</v>
      </c>
      <c r="X702" s="2">
        <v>0.0</v>
      </c>
      <c r="Y702" s="2" t="s">
        <v>434</v>
      </c>
      <c r="Z702" s="2" t="s">
        <v>1133</v>
      </c>
      <c r="AA702" s="11">
        <v>42194.79537037037</v>
      </c>
    </row>
    <row r="703" ht="12.75" customHeight="1">
      <c r="A703" s="2">
        <v>2.000004175E9</v>
      </c>
      <c r="B703" s="12" t="str">
        <f t="shared" si="1"/>
        <v>0</v>
      </c>
      <c r="C703" s="2">
        <v>2.000004175E9</v>
      </c>
      <c r="D703" s="13">
        <v>42194.0</v>
      </c>
      <c r="E703" s="2" t="s">
        <v>1235</v>
      </c>
      <c r="F703" s="2">
        <v>2.0</v>
      </c>
      <c r="G703" s="2">
        <v>2.0</v>
      </c>
      <c r="H703" s="2">
        <v>1070000.0</v>
      </c>
      <c r="I703" s="2">
        <v>0.0</v>
      </c>
      <c r="L703" s="2">
        <v>0.0</v>
      </c>
      <c r="M703" s="2">
        <v>0.0</v>
      </c>
      <c r="N703" s="14">
        <v>0.8479166666666668</v>
      </c>
      <c r="O703" s="2" t="s">
        <v>1132</v>
      </c>
      <c r="P703" s="2">
        <v>1.0</v>
      </c>
      <c r="Q703" s="2">
        <v>2.01507091E8</v>
      </c>
      <c r="R703" s="2">
        <v>3.0</v>
      </c>
      <c r="S703" s="2" t="s">
        <v>1114</v>
      </c>
      <c r="U703" s="2">
        <v>1.0</v>
      </c>
      <c r="V703" s="14">
        <v>0.8486111111111111</v>
      </c>
      <c r="X703" s="2">
        <v>0.0</v>
      </c>
      <c r="Y703" s="2" t="s">
        <v>434</v>
      </c>
      <c r="Z703" s="2" t="s">
        <v>1133</v>
      </c>
      <c r="AA703" s="11">
        <v>42194.84899305556</v>
      </c>
    </row>
    <row r="704" ht="12.75" customHeight="1">
      <c r="A704" s="2">
        <v>2.000004205E9</v>
      </c>
      <c r="B704" s="12" t="str">
        <f t="shared" si="1"/>
        <v>0</v>
      </c>
      <c r="C704" s="2">
        <v>2.000004205E9</v>
      </c>
      <c r="D704" s="13">
        <v>42195.0</v>
      </c>
      <c r="E704" s="2" t="s">
        <v>1236</v>
      </c>
      <c r="F704" s="2">
        <v>2.0</v>
      </c>
      <c r="G704" s="2">
        <v>2.0</v>
      </c>
      <c r="H704" s="2">
        <v>370000.0</v>
      </c>
      <c r="I704" s="2">
        <v>0.0</v>
      </c>
      <c r="L704" s="2">
        <v>0.0</v>
      </c>
      <c r="M704" s="2">
        <v>0.0</v>
      </c>
      <c r="N704" s="14">
        <v>0.6125</v>
      </c>
      <c r="O704" s="2" t="s">
        <v>1132</v>
      </c>
      <c r="P704" s="2">
        <v>1.0</v>
      </c>
      <c r="Q704" s="2">
        <v>2.01507101E8</v>
      </c>
      <c r="R704" s="2">
        <v>3.0</v>
      </c>
      <c r="S704" s="2" t="s">
        <v>1114</v>
      </c>
      <c r="U704" s="2">
        <v>1.0</v>
      </c>
      <c r="V704" s="14">
        <v>0.6131944444444445</v>
      </c>
      <c r="X704" s="2">
        <v>0.0</v>
      </c>
      <c r="Y704" s="2" t="s">
        <v>434</v>
      </c>
      <c r="Z704" s="2" t="s">
        <v>1133</v>
      </c>
      <c r="AA704" s="11">
        <v>42195.61311342593</v>
      </c>
    </row>
    <row r="705" ht="12.75" customHeight="1">
      <c r="A705" s="2">
        <v>2.000004208E9</v>
      </c>
      <c r="B705" s="12" t="str">
        <f t="shared" si="1"/>
        <v>0</v>
      </c>
      <c r="C705" s="2">
        <v>2.000004208E9</v>
      </c>
      <c r="D705" s="13">
        <v>42195.0</v>
      </c>
      <c r="E705" s="2" t="s">
        <v>1237</v>
      </c>
      <c r="F705" s="2">
        <v>2.0</v>
      </c>
      <c r="G705" s="2">
        <v>2.0</v>
      </c>
      <c r="H705" s="2">
        <v>1170000.0</v>
      </c>
      <c r="I705" s="2">
        <v>0.0</v>
      </c>
      <c r="L705" s="2">
        <v>0.0</v>
      </c>
      <c r="M705" s="2">
        <v>0.0</v>
      </c>
      <c r="N705" s="14">
        <v>0.6277777777777778</v>
      </c>
      <c r="O705" s="2" t="s">
        <v>1132</v>
      </c>
      <c r="P705" s="2">
        <v>1.0</v>
      </c>
      <c r="Q705" s="2">
        <v>2.01507101E8</v>
      </c>
      <c r="R705" s="2">
        <v>3.0</v>
      </c>
      <c r="S705" s="2" t="s">
        <v>1114</v>
      </c>
      <c r="U705" s="2">
        <v>1.0</v>
      </c>
      <c r="V705" s="14">
        <v>0.6277777777777778</v>
      </c>
      <c r="X705" s="2">
        <v>0.0</v>
      </c>
      <c r="Y705" s="2" t="s">
        <v>434</v>
      </c>
      <c r="Z705" s="2" t="s">
        <v>1133</v>
      </c>
      <c r="AA705" s="11">
        <v>42195.628275462965</v>
      </c>
    </row>
    <row r="706" ht="12.75" customHeight="1">
      <c r="A706" s="2">
        <v>2.000004209E9</v>
      </c>
      <c r="B706" s="12" t="str">
        <f t="shared" si="1"/>
        <v>0</v>
      </c>
      <c r="C706" s="2">
        <v>2.000004209E9</v>
      </c>
      <c r="D706" s="13">
        <v>42195.0</v>
      </c>
      <c r="E706" s="2" t="s">
        <v>1238</v>
      </c>
      <c r="F706" s="2">
        <v>2.0</v>
      </c>
      <c r="G706" s="2">
        <v>2.0</v>
      </c>
      <c r="H706" s="2">
        <v>2270000.0</v>
      </c>
      <c r="I706" s="2">
        <v>117000.0</v>
      </c>
      <c r="L706" s="2">
        <v>0.0</v>
      </c>
      <c r="M706" s="2">
        <v>0.0</v>
      </c>
      <c r="N706" s="14">
        <v>0.6486111111111111</v>
      </c>
      <c r="O706" s="2" t="s">
        <v>1132</v>
      </c>
      <c r="P706" s="2">
        <v>1.0</v>
      </c>
      <c r="Q706" s="2">
        <v>2.01507101E8</v>
      </c>
      <c r="R706" s="2">
        <v>3.0</v>
      </c>
      <c r="S706" s="2" t="s">
        <v>1114</v>
      </c>
      <c r="U706" s="2">
        <v>1.0</v>
      </c>
      <c r="V706" s="14">
        <v>0.6493055555555556</v>
      </c>
      <c r="X706" s="2">
        <v>0.0</v>
      </c>
      <c r="Y706" s="2" t="s">
        <v>434</v>
      </c>
      <c r="Z706" s="2" t="s">
        <v>1133</v>
      </c>
      <c r="AA706" s="11">
        <v>42195.649675925924</v>
      </c>
    </row>
    <row r="707" ht="12.75" customHeight="1">
      <c r="A707" s="2">
        <v>2.00000421E9</v>
      </c>
      <c r="B707" s="12" t="str">
        <f t="shared" si="1"/>
        <v>0</v>
      </c>
      <c r="C707" s="2">
        <v>2.00000421E9</v>
      </c>
      <c r="D707" s="13">
        <v>42195.0</v>
      </c>
      <c r="E707" s="2" t="s">
        <v>1239</v>
      </c>
      <c r="F707" s="2">
        <v>2.0</v>
      </c>
      <c r="G707" s="2">
        <v>2.0</v>
      </c>
      <c r="H707" s="2">
        <v>-495000.0</v>
      </c>
      <c r="I707" s="2">
        <v>0.0</v>
      </c>
      <c r="L707" s="2">
        <v>0.0</v>
      </c>
      <c r="M707" s="2">
        <v>0.0</v>
      </c>
      <c r="N707" s="14">
        <v>0.6534722222222222</v>
      </c>
      <c r="O707" s="2" t="s">
        <v>1132</v>
      </c>
      <c r="P707" s="2">
        <v>1.0</v>
      </c>
      <c r="Q707" s="2">
        <v>2.01507101E8</v>
      </c>
      <c r="R707" s="2">
        <v>3.0</v>
      </c>
      <c r="S707" s="2" t="s">
        <v>1114</v>
      </c>
      <c r="U707" s="2">
        <v>1.0</v>
      </c>
      <c r="V707" s="14">
        <v>0.6541666666666667</v>
      </c>
      <c r="X707" s="2">
        <v>0.0</v>
      </c>
      <c r="Y707" s="2" t="s">
        <v>434</v>
      </c>
      <c r="Z707" s="2" t="s">
        <v>1133</v>
      </c>
      <c r="AA707" s="11">
        <v>42195.6540625</v>
      </c>
    </row>
    <row r="708" ht="12.75" customHeight="1">
      <c r="A708" s="2">
        <v>2.000004211E9</v>
      </c>
      <c r="B708" s="12" t="str">
        <f t="shared" si="1"/>
        <v>0</v>
      </c>
      <c r="C708" s="2">
        <v>2.000004211E9</v>
      </c>
      <c r="D708" s="13">
        <v>42195.0</v>
      </c>
      <c r="E708" s="2" t="s">
        <v>1240</v>
      </c>
      <c r="F708" s="2">
        <v>2.0</v>
      </c>
      <c r="G708" s="2">
        <v>2.0</v>
      </c>
      <c r="H708" s="2">
        <v>2010000.0</v>
      </c>
      <c r="I708" s="2">
        <v>60000.0</v>
      </c>
      <c r="L708" s="2">
        <v>0.0</v>
      </c>
      <c r="M708" s="2">
        <v>0.0</v>
      </c>
      <c r="N708" s="14">
        <v>0.6555555555555556</v>
      </c>
      <c r="O708" s="2" t="s">
        <v>1132</v>
      </c>
      <c r="P708" s="2">
        <v>1.0</v>
      </c>
      <c r="Q708" s="2">
        <v>2.01507101E8</v>
      </c>
      <c r="R708" s="2">
        <v>3.0</v>
      </c>
      <c r="S708" s="2" t="s">
        <v>1114</v>
      </c>
      <c r="U708" s="2">
        <v>1.0</v>
      </c>
      <c r="V708" s="14">
        <v>0.6555555555555556</v>
      </c>
      <c r="X708" s="2">
        <v>0.0</v>
      </c>
      <c r="Y708" s="2" t="s">
        <v>434</v>
      </c>
      <c r="Z708" s="2" t="s">
        <v>1133</v>
      </c>
      <c r="AA708" s="11">
        <v>42195.65589120371</v>
      </c>
    </row>
    <row r="709" ht="12.75" customHeight="1">
      <c r="A709" s="2">
        <v>2.000004213E9</v>
      </c>
      <c r="B709" s="12" t="str">
        <f t="shared" si="1"/>
        <v>0</v>
      </c>
      <c r="C709" s="2">
        <v>2.000004213E9</v>
      </c>
      <c r="D709" s="13">
        <v>42195.0</v>
      </c>
      <c r="E709" s="2" t="s">
        <v>1241</v>
      </c>
      <c r="F709" s="2">
        <v>2.0</v>
      </c>
      <c r="G709" s="2">
        <v>2.0</v>
      </c>
      <c r="H709" s="2">
        <v>385000.0</v>
      </c>
      <c r="I709" s="2">
        <v>0.0</v>
      </c>
      <c r="L709" s="2">
        <v>0.0</v>
      </c>
      <c r="M709" s="2">
        <v>0.0</v>
      </c>
      <c r="N709" s="14">
        <v>0.6569444444444444</v>
      </c>
      <c r="O709" s="2" t="s">
        <v>1132</v>
      </c>
      <c r="P709" s="2">
        <v>1.0</v>
      </c>
      <c r="Q709" s="2">
        <v>2.01507101E8</v>
      </c>
      <c r="R709" s="2">
        <v>3.0</v>
      </c>
      <c r="S709" s="2" t="s">
        <v>1114</v>
      </c>
      <c r="U709" s="2">
        <v>1.0</v>
      </c>
      <c r="V709" s="14">
        <v>0.6569444444444444</v>
      </c>
      <c r="X709" s="2">
        <v>0.0</v>
      </c>
      <c r="Y709" s="2" t="s">
        <v>434</v>
      </c>
      <c r="Z709" s="2" t="s">
        <v>1133</v>
      </c>
      <c r="AA709" s="11">
        <v>42195.65725694445</v>
      </c>
    </row>
    <row r="710" ht="12.75" customHeight="1">
      <c r="A710" s="2">
        <v>2.000004214E9</v>
      </c>
      <c r="B710" s="12" t="str">
        <f t="shared" si="1"/>
        <v>0</v>
      </c>
      <c r="C710" s="2">
        <v>2.000004214E9</v>
      </c>
      <c r="D710" s="13">
        <v>42195.0</v>
      </c>
      <c r="E710" s="2" t="s">
        <v>1242</v>
      </c>
      <c r="F710" s="2">
        <v>2.0</v>
      </c>
      <c r="G710" s="2">
        <v>2.0</v>
      </c>
      <c r="H710" s="2">
        <v>235000.0</v>
      </c>
      <c r="I710" s="2">
        <v>0.0</v>
      </c>
      <c r="L710" s="2">
        <v>0.0</v>
      </c>
      <c r="M710" s="2">
        <v>0.0</v>
      </c>
      <c r="N710" s="14">
        <v>0.6569444444444444</v>
      </c>
      <c r="O710" s="2" t="s">
        <v>1132</v>
      </c>
      <c r="P710" s="2">
        <v>1.0</v>
      </c>
      <c r="Q710" s="2">
        <v>2.01507101E8</v>
      </c>
      <c r="R710" s="2">
        <v>3.0</v>
      </c>
      <c r="S710" s="2" t="s">
        <v>1114</v>
      </c>
      <c r="U710" s="2">
        <v>1.0</v>
      </c>
      <c r="V710" s="14">
        <v>0.6576388888888889</v>
      </c>
      <c r="X710" s="2">
        <v>0.0</v>
      </c>
      <c r="Y710" s="2" t="s">
        <v>434</v>
      </c>
      <c r="Z710" s="2" t="s">
        <v>1133</v>
      </c>
      <c r="AA710" s="11">
        <v>42195.65771990741</v>
      </c>
    </row>
    <row r="711" ht="12.75" customHeight="1">
      <c r="A711" s="2">
        <v>2.000004218E9</v>
      </c>
      <c r="B711" s="12" t="str">
        <f t="shared" si="1"/>
        <v>0</v>
      </c>
      <c r="C711" s="2">
        <v>2.000004218E9</v>
      </c>
      <c r="D711" s="13">
        <v>42195.0</v>
      </c>
      <c r="E711" s="2" t="s">
        <v>1243</v>
      </c>
      <c r="F711" s="2">
        <v>2.0</v>
      </c>
      <c r="G711" s="2">
        <v>2.0</v>
      </c>
      <c r="H711" s="2">
        <v>555000.0</v>
      </c>
      <c r="I711" s="2">
        <v>0.0</v>
      </c>
      <c r="L711" s="2">
        <v>0.0</v>
      </c>
      <c r="M711" s="2">
        <v>0.0</v>
      </c>
      <c r="N711" s="14">
        <v>0.6854166666666667</v>
      </c>
      <c r="O711" s="2" t="s">
        <v>1132</v>
      </c>
      <c r="P711" s="2">
        <v>1.0</v>
      </c>
      <c r="Q711" s="2">
        <v>2.01507101E8</v>
      </c>
      <c r="R711" s="2">
        <v>3.0</v>
      </c>
      <c r="S711" s="2" t="s">
        <v>1114</v>
      </c>
      <c r="U711" s="2">
        <v>1.0</v>
      </c>
      <c r="V711" s="14">
        <v>0.686111111111111</v>
      </c>
      <c r="X711" s="2">
        <v>0.0</v>
      </c>
      <c r="Y711" s="2" t="s">
        <v>434</v>
      </c>
      <c r="Z711" s="2" t="s">
        <v>1133</v>
      </c>
      <c r="AA711" s="11">
        <v>42195.68605324074</v>
      </c>
    </row>
    <row r="712" ht="12.75" customHeight="1">
      <c r="A712" s="2">
        <v>2.000004219E9</v>
      </c>
      <c r="B712" s="12" t="str">
        <f t="shared" si="1"/>
        <v>0</v>
      </c>
      <c r="C712" s="2">
        <v>2.000004219E9</v>
      </c>
      <c r="D712" s="13">
        <v>42195.0</v>
      </c>
      <c r="E712" s="2" t="s">
        <v>1244</v>
      </c>
      <c r="F712" s="2">
        <v>2.0</v>
      </c>
      <c r="G712" s="2">
        <v>2.0</v>
      </c>
      <c r="H712" s="2">
        <v>-210000.0</v>
      </c>
      <c r="I712" s="2">
        <v>0.0</v>
      </c>
      <c r="L712" s="2">
        <v>0.0</v>
      </c>
      <c r="M712" s="2">
        <v>0.0</v>
      </c>
      <c r="N712" s="14">
        <v>0.686111111111111</v>
      </c>
      <c r="O712" s="2" t="s">
        <v>1132</v>
      </c>
      <c r="P712" s="2">
        <v>1.0</v>
      </c>
      <c r="Q712" s="2">
        <v>2.01507101E8</v>
      </c>
      <c r="R712" s="2">
        <v>3.0</v>
      </c>
      <c r="S712" s="2" t="s">
        <v>1114</v>
      </c>
      <c r="U712" s="2">
        <v>1.0</v>
      </c>
      <c r="V712" s="14">
        <v>0.686111111111111</v>
      </c>
      <c r="X712" s="2">
        <v>0.0</v>
      </c>
      <c r="Y712" s="2" t="s">
        <v>434</v>
      </c>
      <c r="Z712" s="2" t="s">
        <v>1133</v>
      </c>
      <c r="AA712" s="11">
        <v>42195.686261574076</v>
      </c>
    </row>
    <row r="713" ht="12.75" customHeight="1">
      <c r="A713" s="2">
        <v>2.00000422E9</v>
      </c>
      <c r="B713" s="12" t="str">
        <f t="shared" si="1"/>
        <v>0</v>
      </c>
      <c r="C713" s="2">
        <v>2.00000422E9</v>
      </c>
      <c r="D713" s="13">
        <v>42195.0</v>
      </c>
      <c r="E713" s="2" t="s">
        <v>1245</v>
      </c>
      <c r="F713" s="2">
        <v>2.0</v>
      </c>
      <c r="G713" s="2">
        <v>2.0</v>
      </c>
      <c r="H713" s="2">
        <v>1255000.0</v>
      </c>
      <c r="I713" s="2">
        <v>0.0</v>
      </c>
      <c r="L713" s="2">
        <v>0.0</v>
      </c>
      <c r="M713" s="2">
        <v>0.0</v>
      </c>
      <c r="N713" s="14">
        <v>0.688888888888889</v>
      </c>
      <c r="O713" s="2" t="s">
        <v>1132</v>
      </c>
      <c r="P713" s="2">
        <v>1.0</v>
      </c>
      <c r="Q713" s="2">
        <v>2.01507101E8</v>
      </c>
      <c r="R713" s="2">
        <v>3.0</v>
      </c>
      <c r="S713" s="2" t="s">
        <v>1114</v>
      </c>
      <c r="U713" s="2">
        <v>1.0</v>
      </c>
      <c r="V713" s="14">
        <v>0.7027777777777778</v>
      </c>
      <c r="X713" s="2">
        <v>0.0</v>
      </c>
      <c r="Y713" s="2" t="s">
        <v>434</v>
      </c>
      <c r="Z713" s="2" t="s">
        <v>1133</v>
      </c>
      <c r="AA713" s="11">
        <v>42195.70275462963</v>
      </c>
    </row>
    <row r="714" ht="12.75" customHeight="1">
      <c r="A714" s="2">
        <v>2.000004223E9</v>
      </c>
      <c r="B714" s="12" t="str">
        <f t="shared" si="1"/>
        <v>0</v>
      </c>
      <c r="C714" s="2">
        <v>2.000004223E9</v>
      </c>
      <c r="D714" s="13">
        <v>42195.0</v>
      </c>
      <c r="E714" s="2" t="s">
        <v>1246</v>
      </c>
      <c r="F714" s="2">
        <v>2.0</v>
      </c>
      <c r="G714" s="2">
        <v>2.0</v>
      </c>
      <c r="H714" s="2">
        <v>265000.0</v>
      </c>
      <c r="I714" s="2">
        <v>0.0</v>
      </c>
      <c r="L714" s="2">
        <v>0.0</v>
      </c>
      <c r="M714" s="2">
        <v>0.0</v>
      </c>
      <c r="N714" s="14">
        <v>0.7083333333333334</v>
      </c>
      <c r="O714" s="2" t="s">
        <v>1132</v>
      </c>
      <c r="P714" s="2">
        <v>1.0</v>
      </c>
      <c r="Q714" s="2">
        <v>2.01507101E8</v>
      </c>
      <c r="R714" s="2">
        <v>3.0</v>
      </c>
      <c r="S714" s="2" t="s">
        <v>1114</v>
      </c>
      <c r="U714" s="2">
        <v>1.0</v>
      </c>
      <c r="V714" s="14">
        <v>0.7090277777777777</v>
      </c>
      <c r="X714" s="2">
        <v>0.0</v>
      </c>
      <c r="Y714" s="2" t="s">
        <v>434</v>
      </c>
      <c r="Z714" s="2" t="s">
        <v>1133</v>
      </c>
      <c r="AA714" s="11">
        <v>42195.710810185185</v>
      </c>
    </row>
    <row r="715" ht="12.75" customHeight="1">
      <c r="A715" s="2">
        <v>2.000004229E9</v>
      </c>
      <c r="B715" s="12" t="str">
        <f t="shared" si="1"/>
        <v>0</v>
      </c>
      <c r="C715" s="2">
        <v>2.000004229E9</v>
      </c>
      <c r="D715" s="13">
        <v>42195.0</v>
      </c>
      <c r="E715" s="2" t="s">
        <v>1247</v>
      </c>
      <c r="F715" s="2">
        <v>2.0</v>
      </c>
      <c r="G715" s="2">
        <v>2.0</v>
      </c>
      <c r="H715" s="2">
        <v>39000.0</v>
      </c>
      <c r="I715" s="2">
        <v>0.0</v>
      </c>
      <c r="L715" s="2">
        <v>0.0</v>
      </c>
      <c r="M715" s="2">
        <v>0.0</v>
      </c>
      <c r="N715" s="14">
        <v>0.7534722222222222</v>
      </c>
      <c r="O715" s="2" t="s">
        <v>1132</v>
      </c>
      <c r="P715" s="2">
        <v>1.0</v>
      </c>
      <c r="Q715" s="2">
        <v>2.01507101E8</v>
      </c>
      <c r="R715" s="2">
        <v>3.0</v>
      </c>
      <c r="S715" s="2" t="s">
        <v>1114</v>
      </c>
      <c r="U715" s="2">
        <v>1.0</v>
      </c>
      <c r="V715" s="14">
        <v>0.7541666666666668</v>
      </c>
      <c r="X715" s="2">
        <v>0.0</v>
      </c>
      <c r="Y715" s="2" t="s">
        <v>434</v>
      </c>
      <c r="Z715" s="2" t="s">
        <v>1133</v>
      </c>
      <c r="AA715" s="11">
        <v>42195.754108796296</v>
      </c>
    </row>
    <row r="716" ht="12.75" customHeight="1">
      <c r="A716" s="2">
        <v>2.000004231E9</v>
      </c>
      <c r="B716" s="12" t="str">
        <f t="shared" si="1"/>
        <v>0</v>
      </c>
      <c r="C716" s="2">
        <v>2.000004231E9</v>
      </c>
      <c r="D716" s="13">
        <v>42195.0</v>
      </c>
      <c r="E716" s="2" t="s">
        <v>1248</v>
      </c>
      <c r="F716" s="2">
        <v>2.0</v>
      </c>
      <c r="G716" s="2">
        <v>2.0</v>
      </c>
      <c r="H716" s="2">
        <v>107000.0</v>
      </c>
      <c r="I716" s="2">
        <v>0.0</v>
      </c>
      <c r="L716" s="2">
        <v>0.0</v>
      </c>
      <c r="M716" s="2">
        <v>0.0</v>
      </c>
      <c r="N716" s="14">
        <v>0.7680555555555556</v>
      </c>
      <c r="O716" s="2" t="s">
        <v>1132</v>
      </c>
      <c r="P716" s="2">
        <v>1.0</v>
      </c>
      <c r="Q716" s="2">
        <v>2.01507101E8</v>
      </c>
      <c r="R716" s="2">
        <v>3.0</v>
      </c>
      <c r="S716" s="2" t="s">
        <v>1114</v>
      </c>
      <c r="U716" s="2">
        <v>1.0</v>
      </c>
      <c r="V716" s="14">
        <v>0.7715277777777777</v>
      </c>
      <c r="X716" s="2">
        <v>0.0</v>
      </c>
      <c r="Y716" s="2" t="s">
        <v>434</v>
      </c>
      <c r="Z716" s="2" t="s">
        <v>1133</v>
      </c>
      <c r="AA716" s="11">
        <v>42195.77153935185</v>
      </c>
    </row>
    <row r="717" ht="12.75" customHeight="1">
      <c r="A717" s="2">
        <v>2.000004232E9</v>
      </c>
      <c r="B717" s="12" t="str">
        <f t="shared" si="1"/>
        <v>0</v>
      </c>
      <c r="C717" s="2">
        <v>2.000004232E9</v>
      </c>
      <c r="D717" s="13">
        <v>42195.0</v>
      </c>
      <c r="E717" s="2" t="s">
        <v>1249</v>
      </c>
      <c r="F717" s="2">
        <v>2.0</v>
      </c>
      <c r="G717" s="2">
        <v>2.0</v>
      </c>
      <c r="H717" s="2">
        <v>270000.0</v>
      </c>
      <c r="I717" s="2">
        <v>0.0</v>
      </c>
      <c r="L717" s="2">
        <v>0.0</v>
      </c>
      <c r="M717" s="2">
        <v>0.0</v>
      </c>
      <c r="N717" s="14">
        <v>0.7881944444444445</v>
      </c>
      <c r="O717" s="2" t="s">
        <v>1132</v>
      </c>
      <c r="P717" s="2">
        <v>1.0</v>
      </c>
      <c r="Q717" s="2">
        <v>2.01507101E8</v>
      </c>
      <c r="R717" s="2">
        <v>3.0</v>
      </c>
      <c r="S717" s="2" t="s">
        <v>1114</v>
      </c>
      <c r="U717" s="2">
        <v>1.0</v>
      </c>
      <c r="V717" s="14">
        <v>0.7888888888888889</v>
      </c>
      <c r="X717" s="2">
        <v>0.0</v>
      </c>
      <c r="Y717" s="2" t="s">
        <v>434</v>
      </c>
      <c r="Z717" s="2" t="s">
        <v>1133</v>
      </c>
      <c r="AA717" s="11">
        <v>42195.789143518516</v>
      </c>
    </row>
    <row r="718" ht="12.75" customHeight="1">
      <c r="A718" s="2">
        <v>2.000004236E9</v>
      </c>
      <c r="B718" s="12" t="str">
        <f t="shared" si="1"/>
        <v>0</v>
      </c>
      <c r="C718" s="2">
        <v>2.000004236E9</v>
      </c>
      <c r="D718" s="13">
        <v>42195.0</v>
      </c>
      <c r="E718" s="2" t="s">
        <v>1250</v>
      </c>
      <c r="F718" s="2">
        <v>2.0</v>
      </c>
      <c r="G718" s="2">
        <v>2.0</v>
      </c>
      <c r="H718" s="2">
        <v>618000.0</v>
      </c>
      <c r="I718" s="2">
        <v>0.0</v>
      </c>
      <c r="L718" s="2">
        <v>0.0</v>
      </c>
      <c r="M718" s="2">
        <v>0.0</v>
      </c>
      <c r="N718" s="14">
        <v>0.8590277777777778</v>
      </c>
      <c r="O718" s="2" t="s">
        <v>1132</v>
      </c>
      <c r="P718" s="2">
        <v>1.0</v>
      </c>
      <c r="Q718" s="2">
        <v>2.01507101E8</v>
      </c>
      <c r="R718" s="2">
        <v>3.0</v>
      </c>
      <c r="S718" s="2" t="s">
        <v>1114</v>
      </c>
      <c r="U718" s="2">
        <v>1.0</v>
      </c>
      <c r="V718" s="14">
        <v>0.8597222222222222</v>
      </c>
      <c r="X718" s="2">
        <v>0.0</v>
      </c>
      <c r="Y718" s="2" t="s">
        <v>434</v>
      </c>
      <c r="Z718" s="2" t="s">
        <v>1133</v>
      </c>
      <c r="AA718" s="11">
        <v>42195.85986111111</v>
      </c>
    </row>
    <row r="719" ht="12.75" customHeight="1">
      <c r="A719" s="2">
        <v>2.000004237E9</v>
      </c>
      <c r="B719" s="12" t="str">
        <f t="shared" si="1"/>
        <v>0</v>
      </c>
      <c r="C719" s="2">
        <v>2.000004237E9</v>
      </c>
      <c r="D719" s="13">
        <v>42195.0</v>
      </c>
      <c r="E719" s="2" t="s">
        <v>1251</v>
      </c>
      <c r="F719" s="2">
        <v>2.0</v>
      </c>
      <c r="G719" s="2">
        <v>2.0</v>
      </c>
      <c r="H719" s="2">
        <v>165000.0</v>
      </c>
      <c r="I719" s="2">
        <v>0.0</v>
      </c>
      <c r="L719" s="2">
        <v>0.0</v>
      </c>
      <c r="M719" s="2">
        <v>0.0</v>
      </c>
      <c r="N719" s="14">
        <v>0.8597222222222222</v>
      </c>
      <c r="O719" s="2" t="s">
        <v>1132</v>
      </c>
      <c r="P719" s="2">
        <v>1.0</v>
      </c>
      <c r="Q719" s="2">
        <v>2.01507101E8</v>
      </c>
      <c r="R719" s="2">
        <v>3.0</v>
      </c>
      <c r="S719" s="2" t="s">
        <v>1114</v>
      </c>
      <c r="U719" s="2">
        <v>1.0</v>
      </c>
      <c r="V719" s="14">
        <v>0.8604166666666666</v>
      </c>
      <c r="X719" s="2">
        <v>0.0</v>
      </c>
      <c r="Y719" s="2" t="s">
        <v>434</v>
      </c>
      <c r="Z719" s="2" t="s">
        <v>1133</v>
      </c>
      <c r="AA719" s="11">
        <v>42195.86037037037</v>
      </c>
    </row>
    <row r="720" ht="12.75" customHeight="1">
      <c r="A720" s="2">
        <v>2.000004239E9</v>
      </c>
      <c r="B720" s="12" t="str">
        <f t="shared" si="1"/>
        <v>0</v>
      </c>
      <c r="C720" s="2">
        <v>2.000004239E9</v>
      </c>
      <c r="D720" s="13">
        <v>42195.0</v>
      </c>
      <c r="E720" s="2" t="s">
        <v>1252</v>
      </c>
      <c r="F720" s="2">
        <v>2.0</v>
      </c>
      <c r="G720" s="2">
        <v>2.0</v>
      </c>
      <c r="H720" s="2">
        <v>335000.0</v>
      </c>
      <c r="I720" s="2">
        <v>0.0</v>
      </c>
      <c r="L720" s="2">
        <v>0.0</v>
      </c>
      <c r="M720" s="2">
        <v>0.0</v>
      </c>
      <c r="N720" s="14">
        <v>0.8888888888888888</v>
      </c>
      <c r="O720" s="2" t="s">
        <v>1132</v>
      </c>
      <c r="P720" s="2">
        <v>1.0</v>
      </c>
      <c r="Q720" s="2">
        <v>2.01507101E8</v>
      </c>
      <c r="R720" s="2">
        <v>3.0</v>
      </c>
      <c r="S720" s="2" t="s">
        <v>1114</v>
      </c>
      <c r="U720" s="2">
        <v>1.0</v>
      </c>
      <c r="V720" s="14">
        <v>0.8895833333333334</v>
      </c>
      <c r="X720" s="2">
        <v>0.0</v>
      </c>
      <c r="Y720" s="2" t="s">
        <v>434</v>
      </c>
      <c r="Z720" s="2" t="s">
        <v>1133</v>
      </c>
      <c r="AA720" s="11">
        <v>42195.88946759259</v>
      </c>
    </row>
    <row r="721" ht="12.75" customHeight="1">
      <c r="A721" s="2">
        <v>2.000004283E9</v>
      </c>
      <c r="B721" s="12" t="str">
        <f t="shared" si="1"/>
        <v>0</v>
      </c>
      <c r="C721" s="2">
        <v>2.000004283E9</v>
      </c>
      <c r="D721" s="13">
        <v>42196.0</v>
      </c>
      <c r="E721" s="2" t="s">
        <v>1253</v>
      </c>
      <c r="F721" s="2">
        <v>2.0</v>
      </c>
      <c r="G721" s="2">
        <v>2.0</v>
      </c>
      <c r="H721" s="2">
        <v>295000.0</v>
      </c>
      <c r="I721" s="2">
        <v>0.0</v>
      </c>
      <c r="L721" s="2">
        <v>0.0</v>
      </c>
      <c r="M721" s="2">
        <v>0.0</v>
      </c>
      <c r="N721" s="14">
        <v>0.8354166666666667</v>
      </c>
      <c r="O721" s="2" t="s">
        <v>1132</v>
      </c>
      <c r="P721" s="2">
        <v>1.0</v>
      </c>
      <c r="Q721" s="2">
        <v>2.01507111E8</v>
      </c>
      <c r="R721" s="2">
        <v>3.0</v>
      </c>
      <c r="S721" s="2" t="s">
        <v>1114</v>
      </c>
      <c r="U721" s="2">
        <v>1.0</v>
      </c>
      <c r="V721" s="14">
        <v>0.8354166666666667</v>
      </c>
      <c r="X721" s="2">
        <v>0.0</v>
      </c>
      <c r="Y721" s="2" t="s">
        <v>434</v>
      </c>
      <c r="Z721" s="2" t="s">
        <v>1133</v>
      </c>
      <c r="AA721" s="11">
        <v>42196.83583333333</v>
      </c>
    </row>
    <row r="722" ht="12.75" customHeight="1">
      <c r="A722" s="2">
        <v>2.000004286E9</v>
      </c>
      <c r="B722" s="12" t="str">
        <f t="shared" si="1"/>
        <v>0</v>
      </c>
      <c r="C722" s="2">
        <v>2.000004286E9</v>
      </c>
      <c r="D722" s="13">
        <v>42196.0</v>
      </c>
      <c r="E722" s="2" t="s">
        <v>1254</v>
      </c>
      <c r="F722" s="2">
        <v>2.0</v>
      </c>
      <c r="G722" s="2">
        <v>2.0</v>
      </c>
      <c r="H722" s="2">
        <v>330000.0</v>
      </c>
      <c r="I722" s="2">
        <v>0.0</v>
      </c>
      <c r="L722" s="2">
        <v>0.0</v>
      </c>
      <c r="M722" s="2">
        <v>0.0</v>
      </c>
      <c r="N722" s="14">
        <v>0.8625</v>
      </c>
      <c r="O722" s="2" t="s">
        <v>1132</v>
      </c>
      <c r="P722" s="2">
        <v>1.0</v>
      </c>
      <c r="Q722" s="2">
        <v>2.01507111E8</v>
      </c>
      <c r="R722" s="2">
        <v>3.0</v>
      </c>
      <c r="S722" s="2" t="s">
        <v>1114</v>
      </c>
      <c r="U722" s="2">
        <v>1.0</v>
      </c>
      <c r="V722" s="14">
        <v>0.8625</v>
      </c>
      <c r="X722" s="2">
        <v>0.0</v>
      </c>
      <c r="Y722" s="2" t="s">
        <v>434</v>
      </c>
      <c r="Z722" s="2" t="s">
        <v>1133</v>
      </c>
      <c r="AA722" s="11">
        <v>42196.86261574074</v>
      </c>
    </row>
    <row r="723" ht="12.75" customHeight="1">
      <c r="A723" s="2">
        <v>2.000004462E9</v>
      </c>
      <c r="B723" s="12" t="str">
        <f t="shared" si="1"/>
        <v>0</v>
      </c>
      <c r="C723" s="2">
        <v>2.000004462E9</v>
      </c>
      <c r="D723" s="13">
        <v>42200.0</v>
      </c>
      <c r="E723" s="2" t="s">
        <v>1255</v>
      </c>
      <c r="F723" s="2">
        <v>2.0</v>
      </c>
      <c r="G723" s="2">
        <v>2.0</v>
      </c>
      <c r="H723" s="2">
        <v>760000.0</v>
      </c>
      <c r="I723" s="2">
        <v>0.0</v>
      </c>
      <c r="L723" s="2">
        <v>0.0</v>
      </c>
      <c r="M723" s="2">
        <v>0.0</v>
      </c>
      <c r="N723" s="14">
        <v>0.85</v>
      </c>
      <c r="O723" s="2" t="s">
        <v>1132</v>
      </c>
      <c r="P723" s="2">
        <v>1.0</v>
      </c>
      <c r="Q723" s="2">
        <v>2.01507151E8</v>
      </c>
      <c r="R723" s="2">
        <v>3.0</v>
      </c>
      <c r="S723" s="2" t="s">
        <v>1114</v>
      </c>
      <c r="U723" s="2">
        <v>1.0</v>
      </c>
      <c r="V723" s="14">
        <v>0.8506944444444445</v>
      </c>
      <c r="X723" s="2">
        <v>0.0</v>
      </c>
      <c r="Y723" s="2" t="s">
        <v>434</v>
      </c>
      <c r="Z723" s="2" t="s">
        <v>1133</v>
      </c>
      <c r="AA723" s="11">
        <v>42200.85119212963</v>
      </c>
    </row>
    <row r="724" ht="12.75" customHeight="1">
      <c r="A724" s="2">
        <v>2.500000568E9</v>
      </c>
      <c r="B724" s="12" t="str">
        <f t="shared" si="1"/>
        <v>-35000</v>
      </c>
      <c r="C724" s="2">
        <v>2.500000568E9</v>
      </c>
      <c r="D724" s="13">
        <v>42131.0</v>
      </c>
      <c r="E724" s="2" t="s">
        <v>1256</v>
      </c>
      <c r="F724" s="2">
        <v>2.0</v>
      </c>
      <c r="G724" s="2">
        <v>2.0</v>
      </c>
      <c r="H724" s="2">
        <v>1241000.0</v>
      </c>
      <c r="I724" s="2">
        <v>35000.0</v>
      </c>
      <c r="L724" s="2">
        <v>0.0</v>
      </c>
      <c r="M724" s="2">
        <v>0.0</v>
      </c>
      <c r="N724" s="14">
        <v>0.6722222222222222</v>
      </c>
      <c r="O724" s="2" t="s">
        <v>1132</v>
      </c>
      <c r="P724" s="2">
        <v>1.0</v>
      </c>
      <c r="Q724" s="2">
        <v>2.01505071E8</v>
      </c>
      <c r="R724" s="2">
        <v>3.0</v>
      </c>
      <c r="S724" s="2" t="s">
        <v>1114</v>
      </c>
      <c r="U724" s="2">
        <v>1.0</v>
      </c>
      <c r="V724" s="14">
        <v>0.6770833333333334</v>
      </c>
      <c r="X724" s="2">
        <v>0.0</v>
      </c>
      <c r="Y724" s="2" t="s">
        <v>848</v>
      </c>
      <c r="Z724" s="2" t="s">
        <v>1257</v>
      </c>
      <c r="AA724" s="11">
        <v>42131.677152777775</v>
      </c>
    </row>
    <row r="725" ht="12.75" customHeight="1">
      <c r="A725" s="2">
        <v>2.500000581E9</v>
      </c>
      <c r="B725" s="12" t="str">
        <f t="shared" si="1"/>
        <v>-95000</v>
      </c>
      <c r="C725" s="2">
        <v>2.500000581E9</v>
      </c>
      <c r="D725" s="13">
        <v>42131.0</v>
      </c>
      <c r="E725" s="2" t="s">
        <v>1258</v>
      </c>
      <c r="F725" s="2">
        <v>2.0</v>
      </c>
      <c r="G725" s="2">
        <v>2.0</v>
      </c>
      <c r="H725" s="2">
        <v>895000.0</v>
      </c>
      <c r="I725" s="2">
        <v>0.0</v>
      </c>
      <c r="L725" s="2">
        <v>0.0</v>
      </c>
      <c r="M725" s="2">
        <v>0.0</v>
      </c>
      <c r="N725" s="14">
        <v>0.8055555555555555</v>
      </c>
      <c r="O725" s="2" t="s">
        <v>1132</v>
      </c>
      <c r="P725" s="2">
        <v>1.0</v>
      </c>
      <c r="Q725" s="2">
        <v>2.01505071E8</v>
      </c>
      <c r="R725" s="2">
        <v>3.0</v>
      </c>
      <c r="S725" s="2" t="s">
        <v>1114</v>
      </c>
      <c r="U725" s="2">
        <v>1.0</v>
      </c>
      <c r="V725" s="14">
        <v>0.8076388888888889</v>
      </c>
      <c r="X725" s="2">
        <v>0.0</v>
      </c>
      <c r="Y725" s="2" t="s">
        <v>848</v>
      </c>
      <c r="Z725" s="2" t="s">
        <v>1257</v>
      </c>
      <c r="AA725" s="11">
        <v>42131.80763888889</v>
      </c>
    </row>
    <row r="726" ht="12.75" customHeight="1">
      <c r="A726" s="2">
        <v>2.500000657E9</v>
      </c>
      <c r="B726" s="12" t="str">
        <f t="shared" si="1"/>
        <v>-235000</v>
      </c>
      <c r="C726" s="2">
        <v>2.500000657E9</v>
      </c>
      <c r="D726" s="13">
        <v>42133.0</v>
      </c>
      <c r="E726" s="2" t="s">
        <v>1259</v>
      </c>
      <c r="F726" s="2">
        <v>2.0</v>
      </c>
      <c r="G726" s="2">
        <v>2.0</v>
      </c>
      <c r="H726" s="2">
        <v>30000.0</v>
      </c>
      <c r="I726" s="2">
        <v>600.0</v>
      </c>
      <c r="L726" s="2">
        <v>0.0</v>
      </c>
      <c r="M726" s="2">
        <v>0.0</v>
      </c>
      <c r="N726" s="14">
        <v>0.6715277777777778</v>
      </c>
      <c r="O726" s="2" t="s">
        <v>1132</v>
      </c>
      <c r="P726" s="2">
        <v>1.0</v>
      </c>
      <c r="Q726" s="2">
        <v>2.01505091E8</v>
      </c>
      <c r="R726" s="2">
        <v>3.0</v>
      </c>
      <c r="S726" s="2" t="s">
        <v>1114</v>
      </c>
      <c r="U726" s="2">
        <v>1.0</v>
      </c>
      <c r="V726" s="14">
        <v>0.6729166666666666</v>
      </c>
      <c r="X726" s="2">
        <v>0.0</v>
      </c>
      <c r="Y726" s="2" t="s">
        <v>848</v>
      </c>
      <c r="Z726" s="2" t="s">
        <v>1257</v>
      </c>
      <c r="AA726" s="11">
        <v>42133.673055555555</v>
      </c>
    </row>
    <row r="727" ht="12.75" customHeight="1">
      <c r="A727" s="2">
        <v>2.500000662E9</v>
      </c>
      <c r="B727" s="12" t="str">
        <f t="shared" si="1"/>
        <v>-335000</v>
      </c>
      <c r="C727" s="2">
        <v>2.500000662E9</v>
      </c>
      <c r="D727" s="13">
        <v>42133.0</v>
      </c>
      <c r="E727" s="2" t="s">
        <v>1260</v>
      </c>
      <c r="F727" s="2">
        <v>2.0</v>
      </c>
      <c r="G727" s="2">
        <v>2.0</v>
      </c>
      <c r="H727" s="2">
        <v>705000.0</v>
      </c>
      <c r="I727" s="2">
        <v>0.0</v>
      </c>
      <c r="L727" s="2">
        <v>0.0</v>
      </c>
      <c r="M727" s="2">
        <v>0.0</v>
      </c>
      <c r="N727" s="14">
        <v>0.688888888888889</v>
      </c>
      <c r="O727" s="2" t="s">
        <v>1132</v>
      </c>
      <c r="P727" s="2">
        <v>1.0</v>
      </c>
      <c r="Q727" s="2">
        <v>2.01505091E8</v>
      </c>
      <c r="R727" s="2">
        <v>3.0</v>
      </c>
      <c r="S727" s="2" t="s">
        <v>1114</v>
      </c>
      <c r="U727" s="2">
        <v>1.0</v>
      </c>
      <c r="V727" s="14">
        <v>0.6895833333333333</v>
      </c>
      <c r="X727" s="2">
        <v>0.0</v>
      </c>
      <c r="Y727" s="2" t="s">
        <v>848</v>
      </c>
      <c r="Z727" s="2" t="s">
        <v>1257</v>
      </c>
      <c r="AA727" s="11">
        <v>42133.68991898148</v>
      </c>
    </row>
    <row r="728" ht="12.75" customHeight="1">
      <c r="A728" s="2">
        <v>2.500000668E9</v>
      </c>
      <c r="B728" s="12" t="str">
        <f t="shared" si="1"/>
        <v>-205000</v>
      </c>
      <c r="C728" s="2">
        <v>2.500000668E9</v>
      </c>
      <c r="D728" s="13">
        <v>42133.0</v>
      </c>
      <c r="E728" s="2" t="s">
        <v>1261</v>
      </c>
      <c r="F728" s="2">
        <v>2.0</v>
      </c>
      <c r="G728" s="2">
        <v>2.0</v>
      </c>
      <c r="H728" s="2">
        <v>403000.0</v>
      </c>
      <c r="I728" s="2">
        <v>0.0</v>
      </c>
      <c r="L728" s="2">
        <v>0.0</v>
      </c>
      <c r="M728" s="2">
        <v>0.0</v>
      </c>
      <c r="N728" s="14">
        <v>0.7055555555555556</v>
      </c>
      <c r="O728" s="2" t="s">
        <v>1132</v>
      </c>
      <c r="P728" s="2">
        <v>1.0</v>
      </c>
      <c r="Q728" s="2">
        <v>2.01505091E8</v>
      </c>
      <c r="R728" s="2">
        <v>3.0</v>
      </c>
      <c r="S728" s="2" t="s">
        <v>1114</v>
      </c>
      <c r="U728" s="2">
        <v>1.0</v>
      </c>
      <c r="V728" s="14">
        <v>0.70625</v>
      </c>
      <c r="X728" s="2">
        <v>0.0</v>
      </c>
      <c r="Y728" s="2" t="s">
        <v>848</v>
      </c>
      <c r="Z728" s="2" t="s">
        <v>1257</v>
      </c>
      <c r="AA728" s="11">
        <v>42133.70621527778</v>
      </c>
    </row>
    <row r="729" ht="12.75" customHeight="1">
      <c r="A729" s="2">
        <v>2.500000671E9</v>
      </c>
      <c r="B729" s="12" t="str">
        <f t="shared" si="1"/>
        <v>-350000</v>
      </c>
      <c r="C729" s="2">
        <v>2.500000671E9</v>
      </c>
      <c r="D729" s="13">
        <v>42133.0</v>
      </c>
      <c r="E729" s="2" t="s">
        <v>1262</v>
      </c>
      <c r="F729" s="2">
        <v>2.0</v>
      </c>
      <c r="G729" s="2">
        <v>2.0</v>
      </c>
      <c r="H729" s="2">
        <v>620000.0</v>
      </c>
      <c r="I729" s="2">
        <v>0.0</v>
      </c>
      <c r="L729" s="2">
        <v>0.0</v>
      </c>
      <c r="M729" s="2">
        <v>0.0</v>
      </c>
      <c r="N729" s="14">
        <v>0.7166666666666667</v>
      </c>
      <c r="O729" s="2" t="s">
        <v>1132</v>
      </c>
      <c r="P729" s="2">
        <v>1.0</v>
      </c>
      <c r="Q729" s="2">
        <v>2.01505091E8</v>
      </c>
      <c r="R729" s="2">
        <v>3.0</v>
      </c>
      <c r="S729" s="2" t="s">
        <v>1114</v>
      </c>
      <c r="U729" s="2">
        <v>1.0</v>
      </c>
      <c r="V729" s="14">
        <v>0.7180555555555556</v>
      </c>
      <c r="X729" s="2">
        <v>0.0</v>
      </c>
      <c r="Y729" s="2" t="s">
        <v>848</v>
      </c>
      <c r="Z729" s="2" t="s">
        <v>1257</v>
      </c>
      <c r="AA729" s="11">
        <v>42133.71800925926</v>
      </c>
    </row>
    <row r="730" ht="12.75" customHeight="1">
      <c r="A730" s="2">
        <v>2.500000701E9</v>
      </c>
      <c r="B730" s="12" t="str">
        <f t="shared" si="1"/>
        <v>-478000</v>
      </c>
      <c r="C730" s="2">
        <v>2.500000701E9</v>
      </c>
      <c r="D730" s="13">
        <v>42134.0</v>
      </c>
      <c r="E730" s="2" t="s">
        <v>1263</v>
      </c>
      <c r="F730" s="2">
        <v>2.0</v>
      </c>
      <c r="G730" s="2">
        <v>2.0</v>
      </c>
      <c r="H730" s="2">
        <v>714000.0</v>
      </c>
      <c r="I730" s="2">
        <v>0.0</v>
      </c>
      <c r="L730" s="2">
        <v>0.0</v>
      </c>
      <c r="M730" s="2">
        <v>0.0</v>
      </c>
      <c r="N730" s="14">
        <v>0.44236111111111115</v>
      </c>
      <c r="O730" s="2" t="s">
        <v>1132</v>
      </c>
      <c r="P730" s="2">
        <v>1.0</v>
      </c>
      <c r="Q730" s="2">
        <v>2.01505101E8</v>
      </c>
      <c r="R730" s="2">
        <v>3.0</v>
      </c>
      <c r="S730" s="2" t="s">
        <v>1114</v>
      </c>
      <c r="U730" s="2">
        <v>1.0</v>
      </c>
      <c r="V730" s="14">
        <v>0.4451388888888889</v>
      </c>
      <c r="X730" s="2">
        <v>0.0</v>
      </c>
      <c r="Y730" s="2" t="s">
        <v>848</v>
      </c>
      <c r="Z730" s="2" t="s">
        <v>1257</v>
      </c>
      <c r="AA730" s="11">
        <v>42134.44527777778</v>
      </c>
    </row>
    <row r="731" ht="12.75" customHeight="1">
      <c r="A731" s="2">
        <v>2.50000071E9</v>
      </c>
      <c r="B731" s="12" t="str">
        <f t="shared" si="1"/>
        <v>-469000</v>
      </c>
      <c r="C731" s="2">
        <v>2.50000071E9</v>
      </c>
      <c r="D731" s="13">
        <v>42134.0</v>
      </c>
      <c r="E731" s="2" t="s">
        <v>1264</v>
      </c>
      <c r="F731" s="2">
        <v>2.0</v>
      </c>
      <c r="G731" s="2">
        <v>2.0</v>
      </c>
      <c r="H731" s="2">
        <v>1109000.0</v>
      </c>
      <c r="I731" s="2">
        <v>0.0</v>
      </c>
      <c r="L731" s="2">
        <v>0.0</v>
      </c>
      <c r="M731" s="2">
        <v>0.0</v>
      </c>
      <c r="N731" s="14">
        <v>0.5263888888888889</v>
      </c>
      <c r="O731" s="2" t="s">
        <v>1132</v>
      </c>
      <c r="P731" s="2">
        <v>1.0</v>
      </c>
      <c r="Q731" s="2">
        <v>2.01505101E8</v>
      </c>
      <c r="R731" s="2">
        <v>3.0</v>
      </c>
      <c r="S731" s="2" t="s">
        <v>1114</v>
      </c>
      <c r="U731" s="2">
        <v>1.0</v>
      </c>
      <c r="V731" s="14">
        <v>0.55</v>
      </c>
      <c r="X731" s="2">
        <v>0.0</v>
      </c>
      <c r="Y731" s="2" t="s">
        <v>848</v>
      </c>
      <c r="Z731" s="2" t="s">
        <v>1257</v>
      </c>
      <c r="AA731" s="11">
        <v>42134.55008101852</v>
      </c>
    </row>
    <row r="732" ht="12.75" customHeight="1">
      <c r="A732" s="2">
        <v>2.500000732E9</v>
      </c>
      <c r="B732" s="12" t="str">
        <f t="shared" si="1"/>
        <v>-480000</v>
      </c>
      <c r="C732" s="2">
        <v>2.500000732E9</v>
      </c>
      <c r="D732" s="13">
        <v>42134.0</v>
      </c>
      <c r="E732" s="2" t="s">
        <v>1265</v>
      </c>
      <c r="F732" s="2">
        <v>2.0</v>
      </c>
      <c r="G732" s="2">
        <v>2.0</v>
      </c>
      <c r="H732" s="2">
        <v>896000.0</v>
      </c>
      <c r="I732" s="2">
        <v>0.0</v>
      </c>
      <c r="L732" s="2">
        <v>0.0</v>
      </c>
      <c r="M732" s="2">
        <v>0.0</v>
      </c>
      <c r="N732" s="14">
        <v>0.7631944444444444</v>
      </c>
      <c r="O732" s="2" t="s">
        <v>1132</v>
      </c>
      <c r="P732" s="2">
        <v>1.0</v>
      </c>
      <c r="Q732" s="2">
        <v>2.01505101E8</v>
      </c>
      <c r="R732" s="2">
        <v>3.0</v>
      </c>
      <c r="S732" s="2" t="s">
        <v>1114</v>
      </c>
      <c r="U732" s="2">
        <v>1.0</v>
      </c>
      <c r="V732" s="14">
        <v>0.7652777777777778</v>
      </c>
      <c r="X732" s="2">
        <v>0.0</v>
      </c>
      <c r="Y732" s="2" t="s">
        <v>848</v>
      </c>
      <c r="Z732" s="2" t="s">
        <v>1257</v>
      </c>
      <c r="AA732" s="11">
        <v>42134.765694444446</v>
      </c>
    </row>
    <row r="733" ht="12.75" customHeight="1">
      <c r="A733" s="2">
        <v>2.500000785E9</v>
      </c>
      <c r="B733" s="12" t="str">
        <f t="shared" si="1"/>
        <v>-60000</v>
      </c>
      <c r="C733" s="2">
        <v>2.500000785E9</v>
      </c>
      <c r="D733" s="13">
        <v>42136.0</v>
      </c>
      <c r="E733" s="2" t="s">
        <v>1266</v>
      </c>
      <c r="F733" s="2">
        <v>2.0</v>
      </c>
      <c r="G733" s="2">
        <v>2.0</v>
      </c>
      <c r="H733" s="2">
        <v>539000.0</v>
      </c>
      <c r="I733" s="2">
        <v>0.0</v>
      </c>
      <c r="L733" s="2">
        <v>0.0</v>
      </c>
      <c r="M733" s="2">
        <v>0.0</v>
      </c>
      <c r="N733" s="14">
        <v>0.4270833333333333</v>
      </c>
      <c r="O733" s="2" t="s">
        <v>1132</v>
      </c>
      <c r="P733" s="2">
        <v>1.0</v>
      </c>
      <c r="Q733" s="2">
        <v>2.01505121E8</v>
      </c>
      <c r="R733" s="2">
        <v>3.0</v>
      </c>
      <c r="S733" s="2" t="s">
        <v>1114</v>
      </c>
      <c r="U733" s="2">
        <v>1.0</v>
      </c>
      <c r="V733" s="14">
        <v>0.4291666666666667</v>
      </c>
      <c r="X733" s="2">
        <v>0.0</v>
      </c>
      <c r="Y733" s="2" t="s">
        <v>848</v>
      </c>
      <c r="Z733" s="2" t="s">
        <v>1257</v>
      </c>
      <c r="AA733" s="11">
        <v>42136.42905092592</v>
      </c>
    </row>
    <row r="734" ht="12.75" customHeight="1">
      <c r="A734" s="2">
        <v>2.500000789E9</v>
      </c>
      <c r="B734" s="12" t="str">
        <f t="shared" si="1"/>
        <v>-530000</v>
      </c>
      <c r="C734" s="2">
        <v>2.500000789E9</v>
      </c>
      <c r="D734" s="13">
        <v>42136.0</v>
      </c>
      <c r="E734" s="2" t="s">
        <v>1267</v>
      </c>
      <c r="F734" s="2">
        <v>2.0</v>
      </c>
      <c r="G734" s="2">
        <v>2.0</v>
      </c>
      <c r="H734" s="2">
        <v>1054000.0</v>
      </c>
      <c r="I734" s="2">
        <v>0.0</v>
      </c>
      <c r="L734" s="2">
        <v>0.0</v>
      </c>
      <c r="M734" s="2">
        <v>0.0</v>
      </c>
      <c r="N734" s="14">
        <v>0.4597222222222222</v>
      </c>
      <c r="O734" s="2" t="s">
        <v>1132</v>
      </c>
      <c r="P734" s="2">
        <v>1.0</v>
      </c>
      <c r="Q734" s="2">
        <v>2.01505121E8</v>
      </c>
      <c r="R734" s="2">
        <v>3.0</v>
      </c>
      <c r="S734" s="2" t="s">
        <v>1114</v>
      </c>
      <c r="U734" s="2">
        <v>1.0</v>
      </c>
      <c r="V734" s="14">
        <v>0.475</v>
      </c>
      <c r="X734" s="2">
        <v>0.0</v>
      </c>
      <c r="Y734" s="2" t="s">
        <v>848</v>
      </c>
      <c r="Z734" s="2" t="s">
        <v>1257</v>
      </c>
      <c r="AA734" s="11">
        <v>42136.47534722222</v>
      </c>
    </row>
    <row r="735" ht="12.75" customHeight="1">
      <c r="A735" s="2">
        <v>2.500000823E9</v>
      </c>
      <c r="B735" s="12" t="str">
        <f t="shared" si="1"/>
        <v>-320000</v>
      </c>
      <c r="C735" s="2">
        <v>2.500000823E9</v>
      </c>
      <c r="D735" s="13">
        <v>42137.0</v>
      </c>
      <c r="E735" s="2" t="s">
        <v>1268</v>
      </c>
      <c r="F735" s="2">
        <v>2.0</v>
      </c>
      <c r="G735" s="2">
        <v>2.0</v>
      </c>
      <c r="H735" s="2">
        <v>700000.0</v>
      </c>
      <c r="I735" s="2">
        <v>0.0</v>
      </c>
      <c r="L735" s="2">
        <v>0.0</v>
      </c>
      <c r="M735" s="2">
        <v>0.0</v>
      </c>
      <c r="N735" s="14">
        <v>0.3979166666666667</v>
      </c>
      <c r="O735" s="2" t="s">
        <v>1132</v>
      </c>
      <c r="P735" s="2">
        <v>1.0</v>
      </c>
      <c r="Q735" s="2">
        <v>2.01505131E8</v>
      </c>
      <c r="R735" s="2">
        <v>3.0</v>
      </c>
      <c r="S735" s="2" t="s">
        <v>1114</v>
      </c>
      <c r="U735" s="2">
        <v>1.0</v>
      </c>
      <c r="V735" s="14">
        <v>0.3993055555555556</v>
      </c>
      <c r="X735" s="2">
        <v>0.0</v>
      </c>
      <c r="Y735" s="2" t="s">
        <v>848</v>
      </c>
      <c r="Z735" s="2" t="s">
        <v>1257</v>
      </c>
      <c r="AA735" s="11">
        <v>42137.399826388886</v>
      </c>
    </row>
    <row r="736" ht="12.75" customHeight="1">
      <c r="A736" s="2">
        <v>2.500000825E9</v>
      </c>
      <c r="B736" s="12" t="str">
        <f t="shared" si="1"/>
        <v>-85000</v>
      </c>
      <c r="C736" s="2">
        <v>2.500000825E9</v>
      </c>
      <c r="D736" s="13">
        <v>42137.0</v>
      </c>
      <c r="E736" s="2" t="s">
        <v>1269</v>
      </c>
      <c r="F736" s="2">
        <v>2.0</v>
      </c>
      <c r="G736" s="2">
        <v>2.0</v>
      </c>
      <c r="H736" s="2">
        <v>256000.0</v>
      </c>
      <c r="I736" s="2">
        <v>0.0</v>
      </c>
      <c r="L736" s="2">
        <v>0.0</v>
      </c>
      <c r="M736" s="2">
        <v>0.0</v>
      </c>
      <c r="N736" s="14">
        <v>0.45208333333333334</v>
      </c>
      <c r="O736" s="2" t="s">
        <v>1132</v>
      </c>
      <c r="P736" s="2">
        <v>1.0</v>
      </c>
      <c r="Q736" s="2">
        <v>2.01505131E8</v>
      </c>
      <c r="R736" s="2">
        <v>3.0</v>
      </c>
      <c r="S736" s="2" t="s">
        <v>1114</v>
      </c>
      <c r="U736" s="2">
        <v>1.0</v>
      </c>
      <c r="V736" s="14">
        <v>0.4527777777777778</v>
      </c>
      <c r="X736" s="2">
        <v>0.0</v>
      </c>
      <c r="Y736" s="2" t="s">
        <v>848</v>
      </c>
      <c r="Z736" s="2" t="s">
        <v>1257</v>
      </c>
      <c r="AA736" s="11">
        <v>42137.45261574074</v>
      </c>
    </row>
    <row r="737" ht="12.75" customHeight="1">
      <c r="A737" s="2">
        <v>2.500000826E9</v>
      </c>
      <c r="B737" s="12" t="str">
        <f t="shared" si="1"/>
        <v>-330000</v>
      </c>
      <c r="C737" s="2">
        <v>2.500000826E9</v>
      </c>
      <c r="D737" s="13">
        <v>42137.0</v>
      </c>
      <c r="E737" s="2" t="s">
        <v>1270</v>
      </c>
      <c r="F737" s="2">
        <v>2.0</v>
      </c>
      <c r="G737" s="2">
        <v>2.0</v>
      </c>
      <c r="H737" s="2">
        <v>695000.0</v>
      </c>
      <c r="I737" s="2">
        <v>0.0</v>
      </c>
      <c r="L737" s="2">
        <v>0.0</v>
      </c>
      <c r="M737" s="2">
        <v>0.0</v>
      </c>
      <c r="N737" s="14">
        <v>0.4611111111111111</v>
      </c>
      <c r="O737" s="2" t="s">
        <v>1132</v>
      </c>
      <c r="P737" s="2">
        <v>1.0</v>
      </c>
      <c r="Q737" s="2">
        <v>2.01505131E8</v>
      </c>
      <c r="R737" s="2">
        <v>3.0</v>
      </c>
      <c r="S737" s="2" t="s">
        <v>1114</v>
      </c>
      <c r="U737" s="2">
        <v>1.0</v>
      </c>
      <c r="V737" s="14">
        <v>0.4618055555555556</v>
      </c>
      <c r="X737" s="2">
        <v>0.0</v>
      </c>
      <c r="Y737" s="2" t="s">
        <v>848</v>
      </c>
      <c r="Z737" s="2" t="s">
        <v>1257</v>
      </c>
      <c r="AA737" s="11">
        <v>42137.46177083333</v>
      </c>
    </row>
    <row r="738" ht="12.75" customHeight="1">
      <c r="A738" s="2">
        <v>2.500000839E9</v>
      </c>
      <c r="B738" s="12" t="str">
        <f t="shared" si="1"/>
        <v>-142000</v>
      </c>
      <c r="C738" s="2">
        <v>2.500000839E9</v>
      </c>
      <c r="D738" s="13">
        <v>42137.0</v>
      </c>
      <c r="E738" s="2" t="s">
        <v>1271</v>
      </c>
      <c r="F738" s="2">
        <v>2.0</v>
      </c>
      <c r="G738" s="2">
        <v>2.0</v>
      </c>
      <c r="H738" s="2">
        <v>1715000.0</v>
      </c>
      <c r="I738" s="2">
        <v>0.0</v>
      </c>
      <c r="L738" s="2">
        <v>0.0</v>
      </c>
      <c r="M738" s="2">
        <v>0.0</v>
      </c>
      <c r="N738" s="14">
        <v>0.79375</v>
      </c>
      <c r="O738" s="2" t="s">
        <v>1132</v>
      </c>
      <c r="P738" s="2">
        <v>1.0</v>
      </c>
      <c r="Q738" s="2">
        <v>2.01505131E8</v>
      </c>
      <c r="R738" s="2">
        <v>3.0</v>
      </c>
      <c r="S738" s="2" t="s">
        <v>1114</v>
      </c>
      <c r="U738" s="2">
        <v>1.0</v>
      </c>
      <c r="V738" s="14">
        <v>0.7951388888888888</v>
      </c>
      <c r="X738" s="2">
        <v>0.0</v>
      </c>
      <c r="Y738" s="2" t="s">
        <v>848</v>
      </c>
      <c r="Z738" s="2" t="s">
        <v>1257</v>
      </c>
      <c r="AA738" s="11">
        <v>42137.79530092593</v>
      </c>
    </row>
    <row r="739" ht="12.75" customHeight="1">
      <c r="A739" s="2">
        <v>2.500000849E9</v>
      </c>
      <c r="B739" s="12" t="str">
        <f t="shared" si="1"/>
        <v>-219000</v>
      </c>
      <c r="C739" s="2">
        <v>2.500000849E9</v>
      </c>
      <c r="D739" s="13">
        <v>42138.0</v>
      </c>
      <c r="E739" s="2" t="s">
        <v>1272</v>
      </c>
      <c r="F739" s="2">
        <v>2.0</v>
      </c>
      <c r="G739" s="2">
        <v>2.0</v>
      </c>
      <c r="H739" s="2">
        <v>1284000.0</v>
      </c>
      <c r="I739" s="2">
        <v>0.0</v>
      </c>
      <c r="L739" s="2">
        <v>0.0</v>
      </c>
      <c r="M739" s="2">
        <v>0.0</v>
      </c>
      <c r="N739" s="14">
        <v>0.425</v>
      </c>
      <c r="O739" s="2" t="s">
        <v>1132</v>
      </c>
      <c r="P739" s="2">
        <v>1.0</v>
      </c>
      <c r="Q739" s="2">
        <v>2.01505141E8</v>
      </c>
      <c r="R739" s="2">
        <v>3.0</v>
      </c>
      <c r="S739" s="2" t="s">
        <v>1114</v>
      </c>
      <c r="U739" s="2">
        <v>1.0</v>
      </c>
      <c r="V739" s="14">
        <v>0.43333333333333335</v>
      </c>
      <c r="X739" s="2">
        <v>0.0</v>
      </c>
      <c r="Y739" s="2" t="s">
        <v>848</v>
      </c>
      <c r="Z739" s="2" t="s">
        <v>1257</v>
      </c>
      <c r="AA739" s="11">
        <v>42138.43350694444</v>
      </c>
    </row>
    <row r="740" ht="12.75" customHeight="1">
      <c r="A740" s="2">
        <v>2.500000858E9</v>
      </c>
      <c r="B740" s="12" t="str">
        <f t="shared" si="1"/>
        <v>-385000</v>
      </c>
      <c r="C740" s="2">
        <v>2.500000858E9</v>
      </c>
      <c r="D740" s="13">
        <v>42138.0</v>
      </c>
      <c r="E740" s="2" t="s">
        <v>1273</v>
      </c>
      <c r="F740" s="2">
        <v>2.0</v>
      </c>
      <c r="G740" s="2">
        <v>2.0</v>
      </c>
      <c r="H740" s="2">
        <v>3528000.0</v>
      </c>
      <c r="I740" s="2">
        <v>352800.0</v>
      </c>
      <c r="L740" s="2">
        <v>0.0</v>
      </c>
      <c r="M740" s="2">
        <v>0.0</v>
      </c>
      <c r="N740" s="14">
        <v>0.6472222222222223</v>
      </c>
      <c r="O740" s="2" t="s">
        <v>1132</v>
      </c>
      <c r="P740" s="2">
        <v>1.0</v>
      </c>
      <c r="Q740" s="2">
        <v>2.01505141E8</v>
      </c>
      <c r="R740" s="2">
        <v>3.0</v>
      </c>
      <c r="S740" s="2" t="s">
        <v>1114</v>
      </c>
      <c r="U740" s="2">
        <v>1.0</v>
      </c>
      <c r="V740" s="14">
        <v>0.6534722222222222</v>
      </c>
      <c r="X740" s="2">
        <v>0.0</v>
      </c>
      <c r="Y740" s="2" t="s">
        <v>848</v>
      </c>
      <c r="Z740" s="2" t="s">
        <v>1257</v>
      </c>
      <c r="AA740" s="11">
        <v>42138.65378472222</v>
      </c>
    </row>
    <row r="741" ht="12.75" customHeight="1">
      <c r="A741" s="2">
        <v>2.500000878E9</v>
      </c>
      <c r="B741" s="12" t="str">
        <f t="shared" si="1"/>
        <v>-425000</v>
      </c>
      <c r="C741" s="2">
        <v>2.500000878E9</v>
      </c>
      <c r="D741" s="13">
        <v>42139.0</v>
      </c>
      <c r="E741" s="2" t="s">
        <v>1274</v>
      </c>
      <c r="F741" s="2">
        <v>2.0</v>
      </c>
      <c r="G741" s="2">
        <v>2.0</v>
      </c>
      <c r="H741" s="2">
        <v>0.0</v>
      </c>
      <c r="I741" s="2">
        <v>0.0</v>
      </c>
      <c r="L741" s="2">
        <v>0.0</v>
      </c>
      <c r="M741" s="2">
        <v>0.0</v>
      </c>
      <c r="N741" s="14">
        <v>0.4284722222222222</v>
      </c>
      <c r="O741" s="2" t="s">
        <v>1132</v>
      </c>
      <c r="P741" s="2">
        <v>1.0</v>
      </c>
      <c r="Q741" s="2">
        <v>2.01505151E8</v>
      </c>
      <c r="R741" s="2">
        <v>3.0</v>
      </c>
      <c r="S741" s="2" t="s">
        <v>1114</v>
      </c>
      <c r="U741" s="2">
        <v>1.0</v>
      </c>
      <c r="V741" s="14">
        <v>0.43263888888888885</v>
      </c>
      <c r="X741" s="2">
        <v>0.0</v>
      </c>
      <c r="Y741" s="2" t="s">
        <v>848</v>
      </c>
      <c r="Z741" s="2" t="s">
        <v>1257</v>
      </c>
      <c r="AA741" s="11">
        <v>42139.43284722222</v>
      </c>
    </row>
    <row r="742" ht="12.75" customHeight="1">
      <c r="A742" s="2">
        <v>2.500000896E9</v>
      </c>
      <c r="B742" s="12" t="str">
        <f t="shared" si="1"/>
        <v>-92000</v>
      </c>
      <c r="C742" s="2">
        <v>2.500000896E9</v>
      </c>
      <c r="D742" s="13">
        <v>42139.0</v>
      </c>
      <c r="E742" s="2" t="s">
        <v>1275</v>
      </c>
      <c r="F742" s="2">
        <v>2.0</v>
      </c>
      <c r="G742" s="2">
        <v>2.0</v>
      </c>
      <c r="H742" s="2">
        <v>173000.0</v>
      </c>
      <c r="I742" s="2">
        <v>0.0</v>
      </c>
      <c r="L742" s="2">
        <v>0.0</v>
      </c>
      <c r="M742" s="2">
        <v>0.0</v>
      </c>
      <c r="N742" s="14">
        <v>0.7451388888888889</v>
      </c>
      <c r="O742" s="2" t="s">
        <v>1132</v>
      </c>
      <c r="P742" s="2">
        <v>1.0</v>
      </c>
      <c r="Q742" s="2">
        <v>2.01505151E8</v>
      </c>
      <c r="R742" s="2">
        <v>3.0</v>
      </c>
      <c r="S742" s="2" t="s">
        <v>1114</v>
      </c>
      <c r="U742" s="2">
        <v>1.0</v>
      </c>
      <c r="V742" s="14">
        <v>0.7472222222222222</v>
      </c>
      <c r="X742" s="2">
        <v>0.0</v>
      </c>
      <c r="Y742" s="2" t="s">
        <v>848</v>
      </c>
      <c r="Z742" s="2" t="s">
        <v>1257</v>
      </c>
      <c r="AA742" s="11">
        <v>42139.74726851852</v>
      </c>
    </row>
    <row r="743" ht="12.75" customHeight="1">
      <c r="A743" s="2">
        <v>2.900000002E9</v>
      </c>
      <c r="B743" s="12" t="str">
        <f t="shared" si="1"/>
        <v>0</v>
      </c>
      <c r="C743" s="2">
        <v>2.900000002E9</v>
      </c>
      <c r="D743" s="13">
        <v>42119.0</v>
      </c>
      <c r="E743" s="2" t="s">
        <v>1276</v>
      </c>
      <c r="F743" s="2">
        <v>2.0</v>
      </c>
      <c r="G743" s="2">
        <v>2.0</v>
      </c>
      <c r="H743" s="2">
        <v>719000.0</v>
      </c>
      <c r="I743" s="2">
        <v>0.0</v>
      </c>
      <c r="L743" s="2">
        <v>0.0</v>
      </c>
      <c r="M743" s="2">
        <v>0.0</v>
      </c>
      <c r="N743" s="14">
        <v>0.3201388888888889</v>
      </c>
      <c r="O743" s="2" t="s">
        <v>1132</v>
      </c>
      <c r="P743" s="2">
        <v>1.0</v>
      </c>
      <c r="Q743" s="2">
        <v>2.01504252E8</v>
      </c>
      <c r="R743" s="2">
        <v>3.0</v>
      </c>
      <c r="S743" s="2" t="s">
        <v>1114</v>
      </c>
      <c r="U743" s="2">
        <v>1.0</v>
      </c>
      <c r="V743" s="14">
        <v>0.3229166666666667</v>
      </c>
      <c r="X743" s="2">
        <v>0.0</v>
      </c>
      <c r="Y743" s="2" t="s">
        <v>933</v>
      </c>
      <c r="Z743" s="2" t="s">
        <v>1257</v>
      </c>
      <c r="AA743" s="11">
        <v>42119.32313657407</v>
      </c>
    </row>
    <row r="744" ht="12.75" customHeight="1">
      <c r="A744" s="2">
        <v>2.900000003E9</v>
      </c>
      <c r="B744" s="12" t="str">
        <f t="shared" si="1"/>
        <v>0</v>
      </c>
      <c r="C744" s="2">
        <v>2.900000003E9</v>
      </c>
      <c r="D744" s="13">
        <v>42119.0</v>
      </c>
      <c r="E744" s="2" t="s">
        <v>1277</v>
      </c>
      <c r="F744" s="2">
        <v>2.0</v>
      </c>
      <c r="G744" s="2">
        <v>2.0</v>
      </c>
      <c r="H744" s="2">
        <v>573000.0</v>
      </c>
      <c r="I744" s="2">
        <v>0.0</v>
      </c>
      <c r="L744" s="2">
        <v>0.0</v>
      </c>
      <c r="M744" s="2">
        <v>0.0</v>
      </c>
      <c r="N744" s="14">
        <v>0.3229166666666667</v>
      </c>
      <c r="O744" s="2" t="s">
        <v>1132</v>
      </c>
      <c r="P744" s="2">
        <v>1.0</v>
      </c>
      <c r="Q744" s="2">
        <v>2.01504252E8</v>
      </c>
      <c r="R744" s="2">
        <v>3.0</v>
      </c>
      <c r="S744" s="2" t="s">
        <v>1114</v>
      </c>
      <c r="U744" s="2">
        <v>1.0</v>
      </c>
      <c r="V744" s="14">
        <v>0.325</v>
      </c>
      <c r="X744" s="2">
        <v>0.0</v>
      </c>
      <c r="Y744" s="2" t="s">
        <v>933</v>
      </c>
      <c r="Z744" s="2" t="s">
        <v>1257</v>
      </c>
      <c r="AA744" s="11">
        <v>42119.32524305556</v>
      </c>
    </row>
    <row r="745" ht="12.75" customHeight="1">
      <c r="A745" s="2">
        <v>2.900000004E9</v>
      </c>
      <c r="B745" s="12" t="str">
        <f t="shared" si="1"/>
        <v>0</v>
      </c>
      <c r="C745" s="2">
        <v>2.900000004E9</v>
      </c>
      <c r="D745" s="13">
        <v>42119.0</v>
      </c>
      <c r="E745" s="2" t="s">
        <v>1278</v>
      </c>
      <c r="F745" s="2">
        <v>2.0</v>
      </c>
      <c r="G745" s="2">
        <v>2.0</v>
      </c>
      <c r="H745" s="2">
        <v>1059000.0</v>
      </c>
      <c r="I745" s="2">
        <v>0.0</v>
      </c>
      <c r="L745" s="2">
        <v>0.0</v>
      </c>
      <c r="M745" s="2">
        <v>0.0</v>
      </c>
      <c r="N745" s="14">
        <v>0.3520833333333333</v>
      </c>
      <c r="O745" s="2" t="s">
        <v>1132</v>
      </c>
      <c r="P745" s="2">
        <v>1.0</v>
      </c>
      <c r="Q745" s="2">
        <v>2.01504252E8</v>
      </c>
      <c r="R745" s="2">
        <v>3.0</v>
      </c>
      <c r="S745" s="2" t="s">
        <v>1114</v>
      </c>
      <c r="U745" s="2">
        <v>1.0</v>
      </c>
      <c r="V745" s="14">
        <v>0.3527777777777778</v>
      </c>
      <c r="X745" s="2">
        <v>0.0</v>
      </c>
      <c r="Y745" s="2" t="s">
        <v>933</v>
      </c>
      <c r="Z745" s="2" t="s">
        <v>1257</v>
      </c>
      <c r="AA745" s="11">
        <v>42119.3534375</v>
      </c>
    </row>
    <row r="746" ht="12.75" customHeight="1">
      <c r="A746" s="2">
        <v>2.900000005E9</v>
      </c>
      <c r="B746" s="12" t="str">
        <f t="shared" si="1"/>
        <v>0</v>
      </c>
      <c r="C746" s="2">
        <v>2.900000005E9</v>
      </c>
      <c r="D746" s="13">
        <v>42119.0</v>
      </c>
      <c r="E746" s="2" t="s">
        <v>1279</v>
      </c>
      <c r="F746" s="2">
        <v>2.0</v>
      </c>
      <c r="G746" s="2">
        <v>2.0</v>
      </c>
      <c r="H746" s="2">
        <v>654000.0</v>
      </c>
      <c r="I746" s="2">
        <v>0.0</v>
      </c>
      <c r="L746" s="2">
        <v>0.0</v>
      </c>
      <c r="M746" s="2">
        <v>0.0</v>
      </c>
      <c r="N746" s="14">
        <v>0.3534722222222222</v>
      </c>
      <c r="O746" s="2" t="s">
        <v>1132</v>
      </c>
      <c r="P746" s="2">
        <v>1.0</v>
      </c>
      <c r="Q746" s="2">
        <v>2.01504252E8</v>
      </c>
      <c r="R746" s="2">
        <v>3.0</v>
      </c>
      <c r="S746" s="2" t="s">
        <v>1114</v>
      </c>
      <c r="U746" s="2">
        <v>1.0</v>
      </c>
      <c r="V746" s="14">
        <v>0.3534722222222222</v>
      </c>
      <c r="X746" s="2">
        <v>0.0</v>
      </c>
      <c r="Y746" s="2" t="s">
        <v>933</v>
      </c>
      <c r="Z746" s="2" t="s">
        <v>1257</v>
      </c>
      <c r="AA746" s="11">
        <v>42119.35408564815</v>
      </c>
    </row>
    <row r="747" ht="12.75" customHeight="1">
      <c r="A747" s="2">
        <v>2.900000006E9</v>
      </c>
      <c r="B747" s="12" t="str">
        <f t="shared" si="1"/>
        <v>0</v>
      </c>
      <c r="C747" s="2">
        <v>2.900000006E9</v>
      </c>
      <c r="D747" s="13">
        <v>42119.0</v>
      </c>
      <c r="E747" s="2" t="s">
        <v>1280</v>
      </c>
      <c r="F747" s="2">
        <v>2.0</v>
      </c>
      <c r="G747" s="2">
        <v>2.0</v>
      </c>
      <c r="H747" s="2">
        <v>1095000.0</v>
      </c>
      <c r="I747" s="2">
        <v>0.0</v>
      </c>
      <c r="L747" s="2">
        <v>0.0</v>
      </c>
      <c r="M747" s="2">
        <v>0.0</v>
      </c>
      <c r="N747" s="14">
        <v>0.3541666666666667</v>
      </c>
      <c r="O747" s="2" t="s">
        <v>1132</v>
      </c>
      <c r="P747" s="2">
        <v>1.0</v>
      </c>
      <c r="Q747" s="2">
        <v>2.01504252E8</v>
      </c>
      <c r="R747" s="2">
        <v>3.0</v>
      </c>
      <c r="S747" s="2" t="s">
        <v>1114</v>
      </c>
      <c r="U747" s="2">
        <v>1.0</v>
      </c>
      <c r="V747" s="14">
        <v>0.3541666666666667</v>
      </c>
      <c r="X747" s="2">
        <v>0.0</v>
      </c>
      <c r="Y747" s="2" t="s">
        <v>933</v>
      </c>
      <c r="Z747" s="2" t="s">
        <v>1257</v>
      </c>
      <c r="AA747" s="11">
        <v>42119.35459490741</v>
      </c>
    </row>
    <row r="748" ht="12.75" customHeight="1">
      <c r="A748" s="2">
        <v>2.900000007E9</v>
      </c>
      <c r="B748" s="12" t="str">
        <f t="shared" si="1"/>
        <v>0</v>
      </c>
      <c r="C748" s="2">
        <v>2.900000007E9</v>
      </c>
      <c r="D748" s="13">
        <v>42119.0</v>
      </c>
      <c r="E748" s="2" t="s">
        <v>1281</v>
      </c>
      <c r="F748" s="2">
        <v>2.0</v>
      </c>
      <c r="G748" s="2">
        <v>2.0</v>
      </c>
      <c r="H748" s="2">
        <v>528000.0</v>
      </c>
      <c r="I748" s="2">
        <v>0.0</v>
      </c>
      <c r="L748" s="2">
        <v>0.0</v>
      </c>
      <c r="M748" s="2">
        <v>0.0</v>
      </c>
      <c r="N748" s="14">
        <v>0.3541666666666667</v>
      </c>
      <c r="O748" s="2" t="s">
        <v>1132</v>
      </c>
      <c r="P748" s="2">
        <v>1.0</v>
      </c>
      <c r="Q748" s="2">
        <v>2.01504252E8</v>
      </c>
      <c r="R748" s="2">
        <v>3.0</v>
      </c>
      <c r="S748" s="2" t="s">
        <v>1114</v>
      </c>
      <c r="U748" s="2">
        <v>1.0</v>
      </c>
      <c r="V748" s="14">
        <v>0.3548611111111111</v>
      </c>
      <c r="X748" s="2">
        <v>0.0</v>
      </c>
      <c r="Y748" s="2" t="s">
        <v>933</v>
      </c>
      <c r="Z748" s="2" t="s">
        <v>1257</v>
      </c>
      <c r="AA748" s="11">
        <v>42119.35524305556</v>
      </c>
    </row>
    <row r="749" ht="12.75" customHeight="1">
      <c r="A749" s="2">
        <v>2.900000008E9</v>
      </c>
      <c r="B749" s="12" t="str">
        <f t="shared" si="1"/>
        <v>0</v>
      </c>
      <c r="C749" s="2">
        <v>2.900000008E9</v>
      </c>
      <c r="D749" s="13">
        <v>42119.0</v>
      </c>
      <c r="E749" s="2" t="s">
        <v>1282</v>
      </c>
      <c r="F749" s="2">
        <v>2.0</v>
      </c>
      <c r="G749" s="2">
        <v>2.0</v>
      </c>
      <c r="H749" s="2">
        <v>1122000.0</v>
      </c>
      <c r="I749" s="2">
        <v>22440.0</v>
      </c>
      <c r="L749" s="2">
        <v>0.0</v>
      </c>
      <c r="M749" s="2">
        <v>0.0</v>
      </c>
      <c r="N749" s="14">
        <v>0.3548611111111111</v>
      </c>
      <c r="O749" s="2" t="s">
        <v>1132</v>
      </c>
      <c r="P749" s="2">
        <v>1.0</v>
      </c>
      <c r="Q749" s="2">
        <v>2.01504252E8</v>
      </c>
      <c r="R749" s="2">
        <v>3.0</v>
      </c>
      <c r="S749" s="2" t="s">
        <v>1114</v>
      </c>
      <c r="U749" s="2">
        <v>1.0</v>
      </c>
      <c r="V749" s="14">
        <v>0.35694444444444445</v>
      </c>
      <c r="X749" s="2">
        <v>0.0</v>
      </c>
      <c r="Y749" s="2" t="s">
        <v>933</v>
      </c>
      <c r="Z749" s="2" t="s">
        <v>1257</v>
      </c>
      <c r="AA749" s="11">
        <v>42119.35702546296</v>
      </c>
    </row>
    <row r="750" ht="12.75" customHeight="1">
      <c r="A750" s="2">
        <v>2.900000009E9</v>
      </c>
      <c r="B750" s="12" t="str">
        <f t="shared" si="1"/>
        <v>0</v>
      </c>
      <c r="C750" s="2">
        <v>2.900000009E9</v>
      </c>
      <c r="D750" s="13">
        <v>42119.0</v>
      </c>
      <c r="E750" s="2" t="s">
        <v>1283</v>
      </c>
      <c r="F750" s="2">
        <v>2.0</v>
      </c>
      <c r="G750" s="2">
        <v>2.0</v>
      </c>
      <c r="H750" s="2">
        <v>260000.0</v>
      </c>
      <c r="I750" s="2">
        <v>0.0</v>
      </c>
      <c r="L750" s="2">
        <v>0.0</v>
      </c>
      <c r="M750" s="2">
        <v>0.0</v>
      </c>
      <c r="N750" s="14">
        <v>0.35694444444444445</v>
      </c>
      <c r="O750" s="2" t="s">
        <v>1132</v>
      </c>
      <c r="P750" s="2">
        <v>1.0</v>
      </c>
      <c r="Q750" s="2">
        <v>2.01504252E8</v>
      </c>
      <c r="R750" s="2">
        <v>3.0</v>
      </c>
      <c r="S750" s="2" t="s">
        <v>1114</v>
      </c>
      <c r="U750" s="2">
        <v>1.0</v>
      </c>
      <c r="V750" s="14">
        <v>0.35694444444444445</v>
      </c>
      <c r="X750" s="2">
        <v>0.0</v>
      </c>
      <c r="Y750" s="2" t="s">
        <v>933</v>
      </c>
      <c r="Z750" s="2" t="s">
        <v>1257</v>
      </c>
      <c r="AA750" s="11">
        <v>42119.35736111111</v>
      </c>
    </row>
    <row r="751" ht="12.75" customHeight="1">
      <c r="A751" s="2">
        <v>2.900003144E9</v>
      </c>
      <c r="B751" s="12" t="str">
        <f t="shared" si="1"/>
        <v>0</v>
      </c>
      <c r="C751" s="2">
        <v>2.900003144E9</v>
      </c>
      <c r="D751" s="13">
        <v>42212.0</v>
      </c>
      <c r="E751" s="2" t="s">
        <v>1284</v>
      </c>
      <c r="F751" s="2">
        <v>2.0</v>
      </c>
      <c r="G751" s="2">
        <v>2.0</v>
      </c>
      <c r="H751" s="2">
        <v>786000.0</v>
      </c>
      <c r="I751" s="2">
        <v>0.0</v>
      </c>
      <c r="L751" s="2">
        <v>0.0</v>
      </c>
      <c r="M751" s="2">
        <v>0.0</v>
      </c>
      <c r="N751" s="14">
        <v>0.7256944444444445</v>
      </c>
      <c r="O751" s="2" t="s">
        <v>1132</v>
      </c>
      <c r="P751" s="2">
        <v>1.0</v>
      </c>
      <c r="Q751" s="2">
        <v>2.01507271E8</v>
      </c>
      <c r="R751" s="2">
        <v>3.0</v>
      </c>
      <c r="S751" s="2" t="s">
        <v>1114</v>
      </c>
      <c r="U751" s="2">
        <v>1.0</v>
      </c>
      <c r="V751" s="14">
        <v>0.7284722222222223</v>
      </c>
      <c r="X751" s="2">
        <v>0.0</v>
      </c>
      <c r="Y751" s="2" t="s">
        <v>933</v>
      </c>
      <c r="Z751" s="2" t="s">
        <v>1257</v>
      </c>
      <c r="AA751" s="11">
        <v>42212.72883101852</v>
      </c>
    </row>
    <row r="752" ht="12.75" customHeight="1">
      <c r="A752" s="2">
        <v>2.900003145E9</v>
      </c>
      <c r="B752" s="12" t="str">
        <f t="shared" si="1"/>
        <v>0</v>
      </c>
      <c r="C752" s="2">
        <v>2.900003145E9</v>
      </c>
      <c r="D752" s="13">
        <v>42212.0</v>
      </c>
      <c r="E752" s="2" t="s">
        <v>1285</v>
      </c>
      <c r="F752" s="2">
        <v>2.0</v>
      </c>
      <c r="G752" s="2">
        <v>2.0</v>
      </c>
      <c r="H752" s="2">
        <v>935000.0</v>
      </c>
      <c r="I752" s="2">
        <v>0.0</v>
      </c>
      <c r="L752" s="2">
        <v>0.0</v>
      </c>
      <c r="M752" s="2">
        <v>0.0</v>
      </c>
      <c r="N752" s="14">
        <v>0.7368055555555556</v>
      </c>
      <c r="O752" s="2" t="s">
        <v>1132</v>
      </c>
      <c r="P752" s="2">
        <v>1.0</v>
      </c>
      <c r="Q752" s="2">
        <v>2.01507271E8</v>
      </c>
      <c r="R752" s="2">
        <v>3.0</v>
      </c>
      <c r="S752" s="2" t="s">
        <v>1114</v>
      </c>
      <c r="U752" s="2">
        <v>1.0</v>
      </c>
      <c r="V752" s="14">
        <v>0.7465277777777778</v>
      </c>
      <c r="X752" s="2">
        <v>0.0</v>
      </c>
      <c r="Y752" s="2" t="s">
        <v>933</v>
      </c>
      <c r="Z752" s="2" t="s">
        <v>1257</v>
      </c>
      <c r="AA752" s="11">
        <v>42212.74694444444</v>
      </c>
    </row>
    <row r="753" ht="12.75" customHeight="1">
      <c r="A753" s="2">
        <v>2.900003146E9</v>
      </c>
      <c r="B753" s="12" t="str">
        <f t="shared" si="1"/>
        <v>0</v>
      </c>
      <c r="C753" s="2">
        <v>2.900003146E9</v>
      </c>
      <c r="D753" s="13">
        <v>42212.0</v>
      </c>
      <c r="E753" s="2" t="s">
        <v>1286</v>
      </c>
      <c r="F753" s="2">
        <v>2.0</v>
      </c>
      <c r="G753" s="2">
        <v>2.0</v>
      </c>
      <c r="H753" s="2">
        <v>396000.0</v>
      </c>
      <c r="I753" s="2">
        <v>0.0</v>
      </c>
      <c r="L753" s="2">
        <v>0.0</v>
      </c>
      <c r="M753" s="2">
        <v>0.0</v>
      </c>
      <c r="N753" s="14">
        <v>0.7430555555555555</v>
      </c>
      <c r="O753" s="2" t="s">
        <v>1132</v>
      </c>
      <c r="P753" s="2">
        <v>1.0</v>
      </c>
      <c r="Q753" s="2">
        <v>2.01507271E8</v>
      </c>
      <c r="R753" s="2">
        <v>3.0</v>
      </c>
      <c r="S753" s="2" t="s">
        <v>1114</v>
      </c>
      <c r="U753" s="2">
        <v>1.0</v>
      </c>
      <c r="V753" s="14">
        <v>0.74375</v>
      </c>
      <c r="X753" s="2">
        <v>0.0</v>
      </c>
      <c r="Y753" s="2" t="s">
        <v>933</v>
      </c>
      <c r="Z753" s="2" t="s">
        <v>1257</v>
      </c>
      <c r="AA753" s="11">
        <v>42212.7440162037</v>
      </c>
    </row>
    <row r="754" ht="12.75" customHeight="1">
      <c r="A754" s="2">
        <v>2.900003147E9</v>
      </c>
      <c r="B754" s="12" t="str">
        <f t="shared" si="1"/>
        <v>0</v>
      </c>
      <c r="C754" s="2">
        <v>2.900003147E9</v>
      </c>
      <c r="D754" s="13">
        <v>42212.0</v>
      </c>
      <c r="E754" s="2" t="s">
        <v>1287</v>
      </c>
      <c r="F754" s="2">
        <v>2.0</v>
      </c>
      <c r="G754" s="2">
        <v>2.0</v>
      </c>
      <c r="H754" s="2">
        <v>86000.0</v>
      </c>
      <c r="I754" s="2">
        <v>0.0</v>
      </c>
      <c r="L754" s="2">
        <v>0.0</v>
      </c>
      <c r="M754" s="2">
        <v>0.0</v>
      </c>
      <c r="N754" s="14">
        <v>0.75625</v>
      </c>
      <c r="O754" s="2" t="s">
        <v>1132</v>
      </c>
      <c r="P754" s="2">
        <v>1.0</v>
      </c>
      <c r="Q754" s="2">
        <v>2.01507271E8</v>
      </c>
      <c r="R754" s="2">
        <v>3.0</v>
      </c>
      <c r="S754" s="2" t="s">
        <v>1114</v>
      </c>
      <c r="U754" s="2">
        <v>1.0</v>
      </c>
      <c r="V754" s="14">
        <v>0.75625</v>
      </c>
      <c r="X754" s="2">
        <v>0.0</v>
      </c>
      <c r="Y754" s="2" t="s">
        <v>933</v>
      </c>
      <c r="Z754" s="2" t="s">
        <v>1257</v>
      </c>
      <c r="AA754" s="11">
        <v>42212.75679398148</v>
      </c>
    </row>
    <row r="755" ht="12.75" customHeight="1">
      <c r="A755" s="2">
        <v>2.900003148E9</v>
      </c>
      <c r="B755" s="12" t="str">
        <f t="shared" si="1"/>
        <v>0</v>
      </c>
      <c r="C755" s="2">
        <v>2.900003148E9</v>
      </c>
      <c r="D755" s="13">
        <v>42212.0</v>
      </c>
      <c r="E755" s="2" t="s">
        <v>1288</v>
      </c>
      <c r="F755" s="2">
        <v>2.0</v>
      </c>
      <c r="G755" s="2">
        <v>2.0</v>
      </c>
      <c r="H755" s="2">
        <v>455000.0</v>
      </c>
      <c r="I755" s="2">
        <v>0.0</v>
      </c>
      <c r="L755" s="2">
        <v>0.0</v>
      </c>
      <c r="M755" s="2">
        <v>0.0</v>
      </c>
      <c r="N755" s="14">
        <v>0.7701388888888889</v>
      </c>
      <c r="O755" s="2" t="s">
        <v>1132</v>
      </c>
      <c r="P755" s="2">
        <v>1.0</v>
      </c>
      <c r="Q755" s="2">
        <v>2.01507271E8</v>
      </c>
      <c r="R755" s="2">
        <v>3.0</v>
      </c>
      <c r="S755" s="2" t="s">
        <v>1114</v>
      </c>
      <c r="U755" s="2">
        <v>1.0</v>
      </c>
      <c r="V755" s="14">
        <v>0.81875</v>
      </c>
      <c r="X755" s="2">
        <v>0.0</v>
      </c>
      <c r="Y755" s="2" t="s">
        <v>933</v>
      </c>
      <c r="Z755" s="2" t="s">
        <v>1257</v>
      </c>
      <c r="AA755" s="11">
        <v>42212.81914351852</v>
      </c>
    </row>
    <row r="756" ht="12.75" customHeight="1">
      <c r="A756" s="2">
        <v>2.900003149E9</v>
      </c>
      <c r="B756" s="12" t="str">
        <f t="shared" si="1"/>
        <v>0</v>
      </c>
      <c r="C756" s="2">
        <v>2.900003149E9</v>
      </c>
      <c r="D756" s="13">
        <v>42212.0</v>
      </c>
      <c r="E756" s="2" t="s">
        <v>1289</v>
      </c>
      <c r="F756" s="2">
        <v>2.0</v>
      </c>
      <c r="G756" s="2">
        <v>2.0</v>
      </c>
      <c r="H756" s="2">
        <v>99000.0</v>
      </c>
      <c r="I756" s="2">
        <v>0.0</v>
      </c>
      <c r="L756" s="2">
        <v>0.0</v>
      </c>
      <c r="M756" s="2">
        <v>0.0</v>
      </c>
      <c r="N756" s="14">
        <v>0.8458333333333333</v>
      </c>
      <c r="O756" s="2" t="s">
        <v>1132</v>
      </c>
      <c r="P756" s="2">
        <v>1.0</v>
      </c>
      <c r="Q756" s="2">
        <v>2.01507271E8</v>
      </c>
      <c r="R756" s="2">
        <v>3.0</v>
      </c>
      <c r="S756" s="2" t="s">
        <v>1114</v>
      </c>
      <c r="U756" s="2">
        <v>1.0</v>
      </c>
      <c r="V756" s="14">
        <v>0.8465277777777778</v>
      </c>
      <c r="X756" s="2">
        <v>0.0</v>
      </c>
      <c r="Y756" s="2" t="s">
        <v>933</v>
      </c>
      <c r="Z756" s="2" t="s">
        <v>1257</v>
      </c>
      <c r="AA756" s="11">
        <v>42212.84684027778</v>
      </c>
    </row>
    <row r="757" ht="12.75" customHeight="1">
      <c r="A757" s="2">
        <v>2.90000315E9</v>
      </c>
      <c r="B757" s="12" t="str">
        <f t="shared" si="1"/>
        <v>0</v>
      </c>
      <c r="C757" s="2">
        <v>2.90000315E9</v>
      </c>
      <c r="D757" s="13">
        <v>42212.0</v>
      </c>
      <c r="E757" s="2" t="s">
        <v>1290</v>
      </c>
      <c r="F757" s="2">
        <v>2.0</v>
      </c>
      <c r="G757" s="2">
        <v>2.0</v>
      </c>
      <c r="H757" s="2">
        <v>245000.0</v>
      </c>
      <c r="I757" s="2">
        <v>0.0</v>
      </c>
      <c r="L757" s="2">
        <v>0.0</v>
      </c>
      <c r="M757" s="2">
        <v>0.0</v>
      </c>
      <c r="N757" s="14">
        <v>0.8548611111111111</v>
      </c>
      <c r="O757" s="2" t="s">
        <v>1132</v>
      </c>
      <c r="P757" s="2">
        <v>1.0</v>
      </c>
      <c r="Q757" s="2">
        <v>2.01507271E8</v>
      </c>
      <c r="R757" s="2">
        <v>3.0</v>
      </c>
      <c r="S757" s="2" t="s">
        <v>1114</v>
      </c>
      <c r="U757" s="2">
        <v>1.0</v>
      </c>
      <c r="V757" s="14">
        <v>0.8611111111111112</v>
      </c>
      <c r="X757" s="2">
        <v>0.0</v>
      </c>
      <c r="Y757" s="2" t="s">
        <v>933</v>
      </c>
      <c r="Z757" s="2" t="s">
        <v>1257</v>
      </c>
      <c r="AA757" s="11">
        <v>42212.861666666664</v>
      </c>
    </row>
    <row r="758" ht="12.75" customHeight="1">
      <c r="A758" s="2">
        <v>2.900003151E9</v>
      </c>
      <c r="B758" s="12" t="str">
        <f t="shared" si="1"/>
        <v>0</v>
      </c>
      <c r="C758" s="2">
        <v>2.900003151E9</v>
      </c>
      <c r="D758" s="13">
        <v>42213.0</v>
      </c>
      <c r="E758" s="2" t="s">
        <v>1291</v>
      </c>
      <c r="F758" s="2">
        <v>2.0</v>
      </c>
      <c r="G758" s="2">
        <v>2.0</v>
      </c>
      <c r="H758" s="2">
        <v>99000.0</v>
      </c>
      <c r="I758" s="2">
        <v>0.0</v>
      </c>
      <c r="L758" s="2">
        <v>0.0</v>
      </c>
      <c r="M758" s="2">
        <v>0.0</v>
      </c>
      <c r="N758" s="14">
        <v>0.33819444444444446</v>
      </c>
      <c r="O758" s="2" t="s">
        <v>1132</v>
      </c>
      <c r="P758" s="2">
        <v>1.0</v>
      </c>
      <c r="Q758" s="2">
        <v>2.01507281E8</v>
      </c>
      <c r="R758" s="2">
        <v>3.0</v>
      </c>
      <c r="S758" s="2" t="s">
        <v>1114</v>
      </c>
      <c r="U758" s="2">
        <v>1.0</v>
      </c>
      <c r="V758" s="14">
        <v>0.33888888888888885</v>
      </c>
      <c r="X758" s="2">
        <v>0.0</v>
      </c>
      <c r="Y758" s="2" t="s">
        <v>933</v>
      </c>
      <c r="Z758" s="2" t="s">
        <v>1257</v>
      </c>
      <c r="AA758" s="11">
        <v>42213.33896990741</v>
      </c>
    </row>
    <row r="759" ht="12.75" customHeight="1">
      <c r="A759" s="2">
        <v>2.900003152E9</v>
      </c>
      <c r="B759" s="12" t="str">
        <f t="shared" si="1"/>
        <v>0</v>
      </c>
      <c r="C759" s="2">
        <v>2.900003152E9</v>
      </c>
      <c r="D759" s="13">
        <v>42213.0</v>
      </c>
      <c r="E759" s="2" t="s">
        <v>1292</v>
      </c>
      <c r="F759" s="2">
        <v>2.0</v>
      </c>
      <c r="G759" s="2">
        <v>2.0</v>
      </c>
      <c r="H759" s="2">
        <v>285000.0</v>
      </c>
      <c r="I759" s="2">
        <v>0.0</v>
      </c>
      <c r="L759" s="2">
        <v>0.0</v>
      </c>
      <c r="M759" s="2">
        <v>0.0</v>
      </c>
      <c r="N759" s="14">
        <v>0.34861111111111115</v>
      </c>
      <c r="O759" s="2" t="s">
        <v>1132</v>
      </c>
      <c r="P759" s="2">
        <v>1.0</v>
      </c>
      <c r="Q759" s="2">
        <v>2.01507281E8</v>
      </c>
      <c r="R759" s="2">
        <v>3.0</v>
      </c>
      <c r="S759" s="2" t="s">
        <v>1114</v>
      </c>
      <c r="U759" s="2">
        <v>1.0</v>
      </c>
      <c r="V759" s="14">
        <v>0.3597222222222222</v>
      </c>
      <c r="X759" s="2">
        <v>0.0</v>
      </c>
      <c r="Y759" s="2" t="s">
        <v>933</v>
      </c>
      <c r="Z759" s="2" t="s">
        <v>1257</v>
      </c>
      <c r="AA759" s="11">
        <v>42213.35984953704</v>
      </c>
    </row>
    <row r="760" ht="12.75" customHeight="1">
      <c r="A760" s="2">
        <v>2.900003153E9</v>
      </c>
      <c r="B760" s="12" t="str">
        <f t="shared" si="1"/>
        <v>0</v>
      </c>
      <c r="C760" s="2">
        <v>2.900003153E9</v>
      </c>
      <c r="D760" s="13">
        <v>42213.0</v>
      </c>
      <c r="E760" s="2" t="s">
        <v>1293</v>
      </c>
      <c r="F760" s="2">
        <v>2.0</v>
      </c>
      <c r="G760" s="2">
        <v>2.0</v>
      </c>
      <c r="H760" s="2">
        <v>225000.0</v>
      </c>
      <c r="I760" s="2">
        <v>0.0</v>
      </c>
      <c r="L760" s="2">
        <v>0.0</v>
      </c>
      <c r="M760" s="2">
        <v>0.0</v>
      </c>
      <c r="N760" s="14">
        <v>0.3597222222222222</v>
      </c>
      <c r="O760" s="2" t="s">
        <v>1132</v>
      </c>
      <c r="P760" s="2">
        <v>1.0</v>
      </c>
      <c r="Q760" s="2">
        <v>2.01507281E8</v>
      </c>
      <c r="R760" s="2">
        <v>3.0</v>
      </c>
      <c r="S760" s="2" t="s">
        <v>1114</v>
      </c>
      <c r="U760" s="2">
        <v>1.0</v>
      </c>
      <c r="V760" s="14">
        <v>0.3652777777777778</v>
      </c>
      <c r="X760" s="2">
        <v>0.0</v>
      </c>
      <c r="Y760" s="2" t="s">
        <v>933</v>
      </c>
      <c r="Z760" s="2" t="s">
        <v>1257</v>
      </c>
      <c r="AA760" s="11">
        <v>42213.36574074074</v>
      </c>
    </row>
    <row r="761" ht="12.75" customHeight="1">
      <c r="A761" s="2">
        <v>2.900003154E9</v>
      </c>
      <c r="B761" s="12" t="str">
        <f t="shared" si="1"/>
        <v>0</v>
      </c>
      <c r="C761" s="2">
        <v>2.900003154E9</v>
      </c>
      <c r="D761" s="13">
        <v>42213.0</v>
      </c>
      <c r="E761" s="2" t="s">
        <v>1294</v>
      </c>
      <c r="F761" s="2">
        <v>2.0</v>
      </c>
      <c r="G761" s="2">
        <v>2.0</v>
      </c>
      <c r="H761" s="2">
        <v>181000.0</v>
      </c>
      <c r="I761" s="2">
        <v>0.0</v>
      </c>
      <c r="L761" s="2">
        <v>0.0</v>
      </c>
      <c r="M761" s="2">
        <v>0.0</v>
      </c>
      <c r="N761" s="14">
        <v>0.3840277777777778</v>
      </c>
      <c r="O761" s="2" t="s">
        <v>1132</v>
      </c>
      <c r="P761" s="2">
        <v>1.0</v>
      </c>
      <c r="Q761" s="2">
        <v>2.01507281E8</v>
      </c>
      <c r="R761" s="2">
        <v>3.0</v>
      </c>
      <c r="S761" s="2" t="s">
        <v>1114</v>
      </c>
      <c r="U761" s="2">
        <v>1.0</v>
      </c>
      <c r="V761" s="14">
        <v>0.3840277777777778</v>
      </c>
      <c r="X761" s="2">
        <v>0.0</v>
      </c>
      <c r="Y761" s="2" t="s">
        <v>933</v>
      </c>
      <c r="Z761" s="2" t="s">
        <v>1257</v>
      </c>
      <c r="AA761" s="11">
        <v>42213.384618055556</v>
      </c>
    </row>
    <row r="762" ht="12.75" customHeight="1">
      <c r="A762" s="2">
        <v>2.900003155E9</v>
      </c>
      <c r="B762" s="12" t="str">
        <f t="shared" si="1"/>
        <v>0</v>
      </c>
      <c r="C762" s="2">
        <v>2.900003155E9</v>
      </c>
      <c r="D762" s="13">
        <v>42213.0</v>
      </c>
      <c r="E762" s="2" t="s">
        <v>1295</v>
      </c>
      <c r="F762" s="2">
        <v>2.0</v>
      </c>
      <c r="G762" s="2">
        <v>2.0</v>
      </c>
      <c r="H762" s="2">
        <v>530000.0</v>
      </c>
      <c r="I762" s="2">
        <v>0.0</v>
      </c>
      <c r="L762" s="2">
        <v>0.0</v>
      </c>
      <c r="M762" s="2">
        <v>0.0</v>
      </c>
      <c r="N762" s="14">
        <v>0.4055555555555555</v>
      </c>
      <c r="O762" s="2" t="s">
        <v>1132</v>
      </c>
      <c r="P762" s="2">
        <v>1.0</v>
      </c>
      <c r="Q762" s="2">
        <v>2.01507281E8</v>
      </c>
      <c r="R762" s="2">
        <v>3.0</v>
      </c>
      <c r="S762" s="2" t="s">
        <v>1114</v>
      </c>
      <c r="U762" s="2">
        <v>1.0</v>
      </c>
      <c r="V762" s="14">
        <v>0.4055555555555555</v>
      </c>
      <c r="X762" s="2">
        <v>0.0</v>
      </c>
      <c r="Y762" s="2" t="s">
        <v>933</v>
      </c>
      <c r="Z762" s="2" t="s">
        <v>1257</v>
      </c>
      <c r="AA762" s="11">
        <v>42213.40603009259</v>
      </c>
    </row>
    <row r="763" ht="12.75" customHeight="1">
      <c r="A763" s="2">
        <v>2.900003156E9</v>
      </c>
      <c r="B763" s="12" t="str">
        <f t="shared" si="1"/>
        <v>0</v>
      </c>
      <c r="C763" s="2">
        <v>2.900003156E9</v>
      </c>
      <c r="D763" s="13">
        <v>42213.0</v>
      </c>
      <c r="E763" s="2" t="s">
        <v>1296</v>
      </c>
      <c r="F763" s="2">
        <v>2.0</v>
      </c>
      <c r="G763" s="2">
        <v>2.0</v>
      </c>
      <c r="H763" s="2">
        <v>-239000.0</v>
      </c>
      <c r="I763" s="2">
        <v>0.0</v>
      </c>
      <c r="L763" s="2">
        <v>0.0</v>
      </c>
      <c r="M763" s="2">
        <v>0.0</v>
      </c>
      <c r="N763" s="14">
        <v>0.45625</v>
      </c>
      <c r="O763" s="2" t="s">
        <v>1132</v>
      </c>
      <c r="P763" s="2">
        <v>1.0</v>
      </c>
      <c r="Q763" s="2">
        <v>2.01507281E8</v>
      </c>
      <c r="R763" s="2">
        <v>3.0</v>
      </c>
      <c r="S763" s="2" t="s">
        <v>1114</v>
      </c>
      <c r="U763" s="2">
        <v>1.0</v>
      </c>
      <c r="V763" s="14">
        <v>0.45625</v>
      </c>
      <c r="X763" s="2">
        <v>0.0</v>
      </c>
      <c r="Y763" s="2" t="s">
        <v>933</v>
      </c>
      <c r="Z763" s="2" t="s">
        <v>1257</v>
      </c>
      <c r="AA763" s="11">
        <v>42213.45670138889</v>
      </c>
    </row>
    <row r="764" ht="12.75" customHeight="1">
      <c r="A764" s="2">
        <v>2.900003157E9</v>
      </c>
      <c r="B764" s="12" t="str">
        <f t="shared" si="1"/>
        <v>0</v>
      </c>
      <c r="C764" s="2">
        <v>2.900003157E9</v>
      </c>
      <c r="D764" s="13">
        <v>42213.0</v>
      </c>
      <c r="E764" s="2" t="s">
        <v>1297</v>
      </c>
      <c r="F764" s="2">
        <v>2.0</v>
      </c>
      <c r="G764" s="2">
        <v>2.0</v>
      </c>
      <c r="H764" s="2">
        <v>783000.0</v>
      </c>
      <c r="I764" s="2">
        <v>0.0</v>
      </c>
      <c r="L764" s="2">
        <v>0.0</v>
      </c>
      <c r="M764" s="2">
        <v>0.0</v>
      </c>
      <c r="N764" s="14">
        <v>0.475</v>
      </c>
      <c r="O764" s="2" t="s">
        <v>1132</v>
      </c>
      <c r="P764" s="2">
        <v>1.0</v>
      </c>
      <c r="Q764" s="2">
        <v>2.01507281E8</v>
      </c>
      <c r="R764" s="2">
        <v>3.0</v>
      </c>
      <c r="S764" s="2" t="s">
        <v>1114</v>
      </c>
      <c r="U764" s="2">
        <v>1.0</v>
      </c>
      <c r="V764" s="14">
        <v>0.475</v>
      </c>
      <c r="X764" s="2">
        <v>0.0</v>
      </c>
      <c r="Y764" s="2" t="s">
        <v>933</v>
      </c>
      <c r="Z764" s="2" t="s">
        <v>1257</v>
      </c>
      <c r="AA764" s="11">
        <v>42213.4756712963</v>
      </c>
    </row>
    <row r="765" ht="12.75" customHeight="1">
      <c r="A765" s="2">
        <v>2.900003158E9</v>
      </c>
      <c r="B765" s="12" t="str">
        <f t="shared" si="1"/>
        <v>0</v>
      </c>
      <c r="C765" s="2">
        <v>2.900003158E9</v>
      </c>
      <c r="D765" s="13">
        <v>42213.0</v>
      </c>
      <c r="E765" s="2" t="s">
        <v>1298</v>
      </c>
      <c r="F765" s="2">
        <v>2.0</v>
      </c>
      <c r="G765" s="2">
        <v>2.0</v>
      </c>
      <c r="H765" s="2">
        <v>655000.0</v>
      </c>
      <c r="I765" s="2">
        <v>0.0</v>
      </c>
      <c r="L765" s="2">
        <v>0.0</v>
      </c>
      <c r="M765" s="2">
        <v>0.0</v>
      </c>
      <c r="N765" s="14">
        <v>0.4756944444444444</v>
      </c>
      <c r="O765" s="2" t="s">
        <v>1132</v>
      </c>
      <c r="P765" s="2">
        <v>1.0</v>
      </c>
      <c r="Q765" s="2">
        <v>2.01507281E8</v>
      </c>
      <c r="R765" s="2">
        <v>3.0</v>
      </c>
      <c r="S765" s="2" t="s">
        <v>1114</v>
      </c>
      <c r="U765" s="2">
        <v>1.0</v>
      </c>
      <c r="V765" s="14">
        <v>0.5326388888888889</v>
      </c>
      <c r="X765" s="2">
        <v>0.0</v>
      </c>
      <c r="Y765" s="2" t="s">
        <v>933</v>
      </c>
      <c r="Z765" s="2" t="s">
        <v>1257</v>
      </c>
      <c r="AA765" s="11">
        <v>42213.533009259256</v>
      </c>
    </row>
    <row r="766" ht="12.75" customHeight="1">
      <c r="A766" s="2">
        <v>2.900003159E9</v>
      </c>
      <c r="B766" s="12" t="str">
        <f t="shared" si="1"/>
        <v>0</v>
      </c>
      <c r="C766" s="2">
        <v>2.900003159E9</v>
      </c>
      <c r="D766" s="13">
        <v>42213.0</v>
      </c>
      <c r="E766" s="2" t="s">
        <v>1299</v>
      </c>
      <c r="F766" s="2">
        <v>2.0</v>
      </c>
      <c r="G766" s="2">
        <v>2.0</v>
      </c>
      <c r="H766" s="2">
        <v>330000.0</v>
      </c>
      <c r="I766" s="2">
        <v>0.0</v>
      </c>
      <c r="L766" s="2">
        <v>0.0</v>
      </c>
      <c r="M766" s="2">
        <v>0.0</v>
      </c>
      <c r="N766" s="14">
        <v>0.5847222222222223</v>
      </c>
      <c r="O766" s="2" t="s">
        <v>1132</v>
      </c>
      <c r="P766" s="2">
        <v>1.0</v>
      </c>
      <c r="Q766" s="2">
        <v>2.01507281E8</v>
      </c>
      <c r="R766" s="2">
        <v>3.0</v>
      </c>
      <c r="S766" s="2" t="s">
        <v>1114</v>
      </c>
      <c r="U766" s="2">
        <v>1.0</v>
      </c>
      <c r="V766" s="14">
        <v>0.5847222222222223</v>
      </c>
      <c r="X766" s="2">
        <v>0.0</v>
      </c>
      <c r="Y766" s="2" t="s">
        <v>933</v>
      </c>
      <c r="Z766" s="2" t="s">
        <v>1257</v>
      </c>
      <c r="AA766" s="11">
        <v>42213.585381944446</v>
      </c>
    </row>
    <row r="767" ht="12.75" customHeight="1">
      <c r="A767" s="2">
        <v>2.90000316E9</v>
      </c>
      <c r="B767" s="12" t="str">
        <f t="shared" si="1"/>
        <v>0</v>
      </c>
      <c r="C767" s="2">
        <v>2.90000316E9</v>
      </c>
      <c r="D767" s="13">
        <v>42213.0</v>
      </c>
      <c r="E767" s="2" t="s">
        <v>1300</v>
      </c>
      <c r="F767" s="2">
        <v>2.0</v>
      </c>
      <c r="G767" s="2">
        <v>2.0</v>
      </c>
      <c r="H767" s="2">
        <v>295000.0</v>
      </c>
      <c r="I767" s="2">
        <v>0.0</v>
      </c>
      <c r="L767" s="2">
        <v>0.0</v>
      </c>
      <c r="M767" s="2">
        <v>0.0</v>
      </c>
      <c r="N767" s="14">
        <v>0.6166666666666667</v>
      </c>
      <c r="O767" s="2" t="s">
        <v>1132</v>
      </c>
      <c r="P767" s="2">
        <v>1.0</v>
      </c>
      <c r="Q767" s="2">
        <v>2.01507281E8</v>
      </c>
      <c r="R767" s="2">
        <v>3.0</v>
      </c>
      <c r="S767" s="2" t="s">
        <v>1114</v>
      </c>
      <c r="U767" s="2">
        <v>1.0</v>
      </c>
      <c r="V767" s="14">
        <v>0.6166666666666667</v>
      </c>
      <c r="X767" s="2">
        <v>0.0</v>
      </c>
      <c r="Y767" s="2" t="s">
        <v>933</v>
      </c>
      <c r="Z767" s="2" t="s">
        <v>1257</v>
      </c>
      <c r="AA767" s="11">
        <v>42213.61709490741</v>
      </c>
    </row>
    <row r="768" ht="12.75" customHeight="1">
      <c r="A768" s="2">
        <v>2.900003161E9</v>
      </c>
      <c r="B768" s="12" t="str">
        <f t="shared" si="1"/>
        <v>0</v>
      </c>
      <c r="C768" s="2">
        <v>2.900003161E9</v>
      </c>
      <c r="D768" s="13">
        <v>42213.0</v>
      </c>
      <c r="E768" s="2" t="s">
        <v>1301</v>
      </c>
      <c r="F768" s="2">
        <v>2.0</v>
      </c>
      <c r="G768" s="2">
        <v>2.0</v>
      </c>
      <c r="H768" s="2">
        <v>517000.0</v>
      </c>
      <c r="I768" s="2">
        <v>0.0</v>
      </c>
      <c r="L768" s="2">
        <v>0.0</v>
      </c>
      <c r="M768" s="2">
        <v>0.0</v>
      </c>
      <c r="N768" s="14">
        <v>0.6402777777777778</v>
      </c>
      <c r="O768" s="2" t="s">
        <v>1132</v>
      </c>
      <c r="P768" s="2">
        <v>1.0</v>
      </c>
      <c r="Q768" s="2">
        <v>2.01507281E8</v>
      </c>
      <c r="R768" s="2">
        <v>3.0</v>
      </c>
      <c r="S768" s="2" t="s">
        <v>1114</v>
      </c>
      <c r="U768" s="2">
        <v>1.0</v>
      </c>
      <c r="V768" s="14">
        <v>0.6465277777777778</v>
      </c>
      <c r="X768" s="2">
        <v>0.0</v>
      </c>
      <c r="Y768" s="2" t="s">
        <v>933</v>
      </c>
      <c r="Z768" s="2" t="s">
        <v>1257</v>
      </c>
      <c r="AA768" s="11">
        <v>42213.64685185185</v>
      </c>
    </row>
    <row r="769" ht="12.75" customHeight="1">
      <c r="A769" s="2">
        <v>2.900003162E9</v>
      </c>
      <c r="B769" s="12" t="str">
        <f t="shared" si="1"/>
        <v>0</v>
      </c>
      <c r="C769" s="2">
        <v>2.900003162E9</v>
      </c>
      <c r="D769" s="13">
        <v>42213.0</v>
      </c>
      <c r="E769" s="2" t="s">
        <v>1302</v>
      </c>
      <c r="F769" s="2">
        <v>2.0</v>
      </c>
      <c r="G769" s="2">
        <v>2.0</v>
      </c>
      <c r="H769" s="2">
        <v>435000.0</v>
      </c>
      <c r="I769" s="2">
        <v>0.0</v>
      </c>
      <c r="L769" s="2">
        <v>0.0</v>
      </c>
      <c r="M769" s="2">
        <v>0.0</v>
      </c>
      <c r="N769" s="14">
        <v>0.6673611111111111</v>
      </c>
      <c r="O769" s="2" t="s">
        <v>1132</v>
      </c>
      <c r="P769" s="2">
        <v>1.0</v>
      </c>
      <c r="Q769" s="2">
        <v>2.01507281E8</v>
      </c>
      <c r="R769" s="2">
        <v>3.0</v>
      </c>
      <c r="S769" s="2" t="s">
        <v>1114</v>
      </c>
      <c r="U769" s="2">
        <v>1.0</v>
      </c>
      <c r="V769" s="14">
        <v>0.6680555555555556</v>
      </c>
      <c r="X769" s="2">
        <v>0.0</v>
      </c>
      <c r="Y769" s="2" t="s">
        <v>933</v>
      </c>
      <c r="Z769" s="2" t="s">
        <v>1257</v>
      </c>
      <c r="AA769" s="11">
        <v>42213.66824074074</v>
      </c>
    </row>
    <row r="770" ht="12.75" customHeight="1">
      <c r="A770" s="2">
        <v>2.900003163E9</v>
      </c>
      <c r="B770" s="12" t="str">
        <f t="shared" si="1"/>
        <v>0</v>
      </c>
      <c r="C770" s="2">
        <v>2.900003163E9</v>
      </c>
      <c r="D770" s="13">
        <v>42213.0</v>
      </c>
      <c r="E770" s="2" t="s">
        <v>1303</v>
      </c>
      <c r="F770" s="2">
        <v>2.0</v>
      </c>
      <c r="G770" s="2">
        <v>2.0</v>
      </c>
      <c r="H770" s="2">
        <v>387000.0</v>
      </c>
      <c r="I770" s="2">
        <v>0.0</v>
      </c>
      <c r="L770" s="2">
        <v>0.0</v>
      </c>
      <c r="M770" s="2">
        <v>0.0</v>
      </c>
      <c r="N770" s="14">
        <v>0.6680555555555556</v>
      </c>
      <c r="O770" s="2" t="s">
        <v>1132</v>
      </c>
      <c r="P770" s="2">
        <v>1.0</v>
      </c>
      <c r="Q770" s="2">
        <v>2.01507281E8</v>
      </c>
      <c r="R770" s="2">
        <v>3.0</v>
      </c>
      <c r="S770" s="2" t="s">
        <v>1114</v>
      </c>
      <c r="U770" s="2">
        <v>1.0</v>
      </c>
      <c r="V770" s="14">
        <v>0.6680555555555556</v>
      </c>
      <c r="X770" s="2">
        <v>0.0</v>
      </c>
      <c r="Y770" s="2" t="s">
        <v>933</v>
      </c>
      <c r="Z770" s="2" t="s">
        <v>1257</v>
      </c>
      <c r="AA770" s="11">
        <v>42213.66841435185</v>
      </c>
    </row>
    <row r="771" ht="12.75" customHeight="1">
      <c r="A771" s="2">
        <v>2.900003164E9</v>
      </c>
      <c r="B771" s="12" t="str">
        <f t="shared" si="1"/>
        <v>0</v>
      </c>
      <c r="C771" s="2">
        <v>2.900003164E9</v>
      </c>
      <c r="D771" s="13">
        <v>42213.0</v>
      </c>
      <c r="E771" s="2" t="s">
        <v>1304</v>
      </c>
      <c r="F771" s="2">
        <v>2.0</v>
      </c>
      <c r="G771" s="2">
        <v>2.0</v>
      </c>
      <c r="H771" s="2">
        <v>766000.0</v>
      </c>
      <c r="I771" s="2">
        <v>0.0</v>
      </c>
      <c r="L771" s="2">
        <v>0.0</v>
      </c>
      <c r="M771" s="2">
        <v>0.0</v>
      </c>
      <c r="N771" s="14">
        <v>0.6986111111111111</v>
      </c>
      <c r="O771" s="2" t="s">
        <v>1132</v>
      </c>
      <c r="P771" s="2">
        <v>1.0</v>
      </c>
      <c r="Q771" s="2">
        <v>2.01507281E8</v>
      </c>
      <c r="R771" s="2">
        <v>3.0</v>
      </c>
      <c r="S771" s="2" t="s">
        <v>1114</v>
      </c>
      <c r="U771" s="2">
        <v>1.0</v>
      </c>
      <c r="V771" s="14">
        <v>0.7083333333333334</v>
      </c>
      <c r="X771" s="2">
        <v>0.0</v>
      </c>
      <c r="Y771" s="2" t="s">
        <v>933</v>
      </c>
      <c r="Z771" s="2" t="s">
        <v>1257</v>
      </c>
      <c r="AA771" s="11">
        <v>42213.86398148148</v>
      </c>
    </row>
    <row r="772" ht="12.75" customHeight="1">
      <c r="A772" s="2">
        <v>2.900003165E9</v>
      </c>
      <c r="B772" s="12" t="str">
        <f t="shared" si="1"/>
        <v>0</v>
      </c>
      <c r="C772" s="2">
        <v>2.900003165E9</v>
      </c>
      <c r="D772" s="13">
        <v>42213.0</v>
      </c>
      <c r="E772" s="2" t="s">
        <v>1305</v>
      </c>
      <c r="F772" s="2">
        <v>2.0</v>
      </c>
      <c r="G772" s="2">
        <v>2.0</v>
      </c>
      <c r="H772" s="2">
        <v>436000.0</v>
      </c>
      <c r="I772" s="2">
        <v>0.0</v>
      </c>
      <c r="L772" s="2">
        <v>0.0</v>
      </c>
      <c r="M772" s="2">
        <v>0.0</v>
      </c>
      <c r="N772" s="14">
        <v>0.8645833333333334</v>
      </c>
      <c r="O772" s="2" t="s">
        <v>1132</v>
      </c>
      <c r="P772" s="2">
        <v>1.0</v>
      </c>
      <c r="Q772" s="2">
        <v>2.01507281E8</v>
      </c>
      <c r="R772" s="2">
        <v>3.0</v>
      </c>
      <c r="S772" s="2" t="s">
        <v>1114</v>
      </c>
      <c r="U772" s="2">
        <v>1.0</v>
      </c>
      <c r="V772" s="14">
        <v>0.8673611111111111</v>
      </c>
      <c r="X772" s="2">
        <v>0.0</v>
      </c>
      <c r="Y772" s="2" t="s">
        <v>933</v>
      </c>
      <c r="Z772" s="2" t="s">
        <v>1257</v>
      </c>
      <c r="AA772" s="11">
        <v>42213.86798611111</v>
      </c>
    </row>
    <row r="773" ht="12.75" customHeight="1">
      <c r="A773" s="2">
        <v>2.900003166E9</v>
      </c>
      <c r="B773" s="12" t="str">
        <f t="shared" si="1"/>
        <v>0</v>
      </c>
      <c r="C773" s="2">
        <v>2.900003166E9</v>
      </c>
      <c r="D773" s="13">
        <v>42213.0</v>
      </c>
      <c r="E773" s="2" t="s">
        <v>1306</v>
      </c>
      <c r="F773" s="2">
        <v>2.0</v>
      </c>
      <c r="G773" s="2">
        <v>2.0</v>
      </c>
      <c r="H773" s="2">
        <v>828000.0</v>
      </c>
      <c r="I773" s="2">
        <v>0.0</v>
      </c>
      <c r="L773" s="2">
        <v>0.0</v>
      </c>
      <c r="M773" s="2">
        <v>0.0</v>
      </c>
      <c r="N773" s="14">
        <v>0.8680555555555555</v>
      </c>
      <c r="O773" s="2" t="s">
        <v>1132</v>
      </c>
      <c r="P773" s="2">
        <v>1.0</v>
      </c>
      <c r="Q773" s="2">
        <v>2.01507281E8</v>
      </c>
      <c r="R773" s="2">
        <v>3.0</v>
      </c>
      <c r="S773" s="2" t="s">
        <v>1114</v>
      </c>
      <c r="U773" s="2">
        <v>1.0</v>
      </c>
      <c r="V773" s="14">
        <v>0.86875</v>
      </c>
      <c r="X773" s="2">
        <v>0.0</v>
      </c>
      <c r="Y773" s="2" t="s">
        <v>933</v>
      </c>
      <c r="Z773" s="2" t="s">
        <v>1257</v>
      </c>
      <c r="AA773" s="11">
        <v>42213.86886574074</v>
      </c>
    </row>
    <row r="774" ht="12.75" customHeight="1">
      <c r="A774" s="2">
        <v>2.900003167E9</v>
      </c>
      <c r="B774" s="12" t="str">
        <f t="shared" si="1"/>
        <v>0</v>
      </c>
      <c r="C774" s="2">
        <v>2.900003167E9</v>
      </c>
      <c r="D774" s="13">
        <v>42213.0</v>
      </c>
      <c r="E774" s="2" t="s">
        <v>1307</v>
      </c>
      <c r="F774" s="2">
        <v>2.0</v>
      </c>
      <c r="G774" s="2">
        <v>2.0</v>
      </c>
      <c r="H774" s="2">
        <v>658000.0</v>
      </c>
      <c r="I774" s="2">
        <v>0.0</v>
      </c>
      <c r="L774" s="2">
        <v>0.0</v>
      </c>
      <c r="M774" s="2">
        <v>0.0</v>
      </c>
      <c r="N774" s="14">
        <v>0.86875</v>
      </c>
      <c r="O774" s="2" t="s">
        <v>1132</v>
      </c>
      <c r="P774" s="2">
        <v>1.0</v>
      </c>
      <c r="Q774" s="2">
        <v>2.01507281E8</v>
      </c>
      <c r="R774" s="2">
        <v>3.0</v>
      </c>
      <c r="S774" s="2" t="s">
        <v>1114</v>
      </c>
      <c r="U774" s="2">
        <v>1.0</v>
      </c>
      <c r="V774" s="14">
        <v>0.8694444444444445</v>
      </c>
      <c r="X774" s="2">
        <v>0.0</v>
      </c>
      <c r="Y774" s="2" t="s">
        <v>933</v>
      </c>
      <c r="Z774" s="2" t="s">
        <v>1257</v>
      </c>
      <c r="AA774" s="11">
        <v>42213.86974537037</v>
      </c>
    </row>
    <row r="775" ht="12.75" customHeight="1">
      <c r="A775" s="2">
        <v>2.900003168E9</v>
      </c>
      <c r="B775" s="12" t="str">
        <f t="shared" si="1"/>
        <v>0</v>
      </c>
      <c r="C775" s="2">
        <v>2.900003168E9</v>
      </c>
      <c r="D775" s="13">
        <v>42213.0</v>
      </c>
      <c r="E775" s="2" t="s">
        <v>1308</v>
      </c>
      <c r="F775" s="2">
        <v>2.0</v>
      </c>
      <c r="G775" s="2">
        <v>2.0</v>
      </c>
      <c r="H775" s="2">
        <v>1055000.0</v>
      </c>
      <c r="I775" s="2">
        <v>0.0</v>
      </c>
      <c r="L775" s="2">
        <v>0.0</v>
      </c>
      <c r="M775" s="2">
        <v>0.0</v>
      </c>
      <c r="N775" s="14">
        <v>0.8694444444444445</v>
      </c>
      <c r="O775" s="2" t="s">
        <v>1132</v>
      </c>
      <c r="P775" s="2">
        <v>1.0</v>
      </c>
      <c r="Q775" s="2">
        <v>2.01507281E8</v>
      </c>
      <c r="R775" s="2">
        <v>3.0</v>
      </c>
      <c r="S775" s="2" t="s">
        <v>1114</v>
      </c>
      <c r="U775" s="2">
        <v>1.0</v>
      </c>
      <c r="V775" s="14">
        <v>0.8715277777777778</v>
      </c>
      <c r="X775" s="2">
        <v>0.0</v>
      </c>
      <c r="Y775" s="2" t="s">
        <v>933</v>
      </c>
      <c r="Z775" s="2" t="s">
        <v>1257</v>
      </c>
      <c r="AA775" s="11">
        <v>42213.8715625</v>
      </c>
    </row>
    <row r="776" ht="12.75" customHeight="1">
      <c r="A776" s="2">
        <v>2.900003169E9</v>
      </c>
      <c r="B776" s="12" t="str">
        <f t="shared" si="1"/>
        <v>0</v>
      </c>
      <c r="C776" s="2">
        <v>2.900003169E9</v>
      </c>
      <c r="D776" s="13">
        <v>42213.0</v>
      </c>
      <c r="E776" s="2" t="s">
        <v>1309</v>
      </c>
      <c r="F776" s="2">
        <v>2.0</v>
      </c>
      <c r="G776" s="2">
        <v>2.0</v>
      </c>
      <c r="H776" s="2">
        <v>1515000.0</v>
      </c>
      <c r="I776" s="2">
        <v>0.0</v>
      </c>
      <c r="L776" s="2">
        <v>0.0</v>
      </c>
      <c r="M776" s="2">
        <v>0.0</v>
      </c>
      <c r="N776" s="14">
        <v>0.8715277777777778</v>
      </c>
      <c r="O776" s="2" t="s">
        <v>1132</v>
      </c>
      <c r="P776" s="2">
        <v>1.0</v>
      </c>
      <c r="Q776" s="2">
        <v>2.01507281E8</v>
      </c>
      <c r="R776" s="2">
        <v>3.0</v>
      </c>
      <c r="S776" s="2" t="s">
        <v>1114</v>
      </c>
      <c r="U776" s="2">
        <v>1.0</v>
      </c>
      <c r="V776" s="14">
        <v>0.8722222222222222</v>
      </c>
      <c r="X776" s="2">
        <v>0.0</v>
      </c>
      <c r="Y776" s="2" t="s">
        <v>933</v>
      </c>
      <c r="Z776" s="2" t="s">
        <v>1257</v>
      </c>
      <c r="AA776" s="11">
        <v>42213.87284722222</v>
      </c>
    </row>
    <row r="777" ht="12.75" customHeight="1">
      <c r="A777" s="2">
        <v>2.90000317E9</v>
      </c>
      <c r="B777" s="12" t="str">
        <f t="shared" si="1"/>
        <v>0</v>
      </c>
      <c r="C777" s="2">
        <v>2.90000317E9</v>
      </c>
      <c r="D777" s="13">
        <v>42213.0</v>
      </c>
      <c r="E777" s="2" t="s">
        <v>1310</v>
      </c>
      <c r="F777" s="2">
        <v>2.0</v>
      </c>
      <c r="G777" s="2">
        <v>2.0</v>
      </c>
      <c r="H777" s="2">
        <v>136000.0</v>
      </c>
      <c r="I777" s="2">
        <v>0.0</v>
      </c>
      <c r="L777" s="2">
        <v>0.0</v>
      </c>
      <c r="M777" s="2">
        <v>0.0</v>
      </c>
      <c r="N777" s="14">
        <v>0.8756944444444444</v>
      </c>
      <c r="O777" s="2" t="s">
        <v>1132</v>
      </c>
      <c r="P777" s="2">
        <v>1.0</v>
      </c>
      <c r="Q777" s="2">
        <v>2.01507281E8</v>
      </c>
      <c r="R777" s="2">
        <v>3.0</v>
      </c>
      <c r="S777" s="2" t="s">
        <v>1114</v>
      </c>
      <c r="U777" s="2">
        <v>1.0</v>
      </c>
      <c r="V777" s="14">
        <v>0.8756944444444444</v>
      </c>
      <c r="X777" s="2">
        <v>0.0</v>
      </c>
      <c r="Y777" s="2" t="s">
        <v>933</v>
      </c>
      <c r="Z777" s="2" t="s">
        <v>1257</v>
      </c>
      <c r="AA777" s="11">
        <v>42213.87582175926</v>
      </c>
    </row>
    <row r="778" ht="12.75" customHeight="1">
      <c r="A778" s="2">
        <v>2.900003172E9</v>
      </c>
      <c r="B778" s="12" t="str">
        <f t="shared" si="1"/>
        <v>0</v>
      </c>
      <c r="C778" s="2">
        <v>2.900003172E9</v>
      </c>
      <c r="D778" s="13">
        <v>42214.0</v>
      </c>
      <c r="E778" s="2" t="s">
        <v>1311</v>
      </c>
      <c r="F778" s="2">
        <v>2.0</v>
      </c>
      <c r="G778" s="2">
        <v>2.0</v>
      </c>
      <c r="H778" s="2">
        <v>875000.0</v>
      </c>
      <c r="I778" s="2">
        <v>0.0</v>
      </c>
      <c r="L778" s="2">
        <v>0.0</v>
      </c>
      <c r="M778" s="2">
        <v>0.0</v>
      </c>
      <c r="N778" s="14">
        <v>0.49444444444444446</v>
      </c>
      <c r="O778" s="2" t="s">
        <v>1132</v>
      </c>
      <c r="P778" s="2">
        <v>1.0</v>
      </c>
      <c r="Q778" s="2">
        <v>2.01507291E8</v>
      </c>
      <c r="R778" s="2">
        <v>3.0</v>
      </c>
      <c r="S778" s="2" t="s">
        <v>1114</v>
      </c>
      <c r="U778" s="2">
        <v>1.0</v>
      </c>
      <c r="V778" s="14">
        <v>0.49513888888888885</v>
      </c>
      <c r="X778" s="2">
        <v>0.0</v>
      </c>
      <c r="Y778" s="2" t="s">
        <v>933</v>
      </c>
      <c r="Z778" s="2" t="s">
        <v>1257</v>
      </c>
      <c r="AA778" s="11">
        <v>42214.4955787037</v>
      </c>
    </row>
    <row r="779" ht="12.75" customHeight="1">
      <c r="A779" s="2">
        <v>2.900003174E9</v>
      </c>
      <c r="B779" s="12" t="str">
        <f t="shared" si="1"/>
        <v>0</v>
      </c>
      <c r="C779" s="2">
        <v>2.900003174E9</v>
      </c>
      <c r="D779" s="13">
        <v>42214.0</v>
      </c>
      <c r="E779" s="2" t="s">
        <v>1312</v>
      </c>
      <c r="F779" s="2">
        <v>2.0</v>
      </c>
      <c r="G779" s="2">
        <v>2.0</v>
      </c>
      <c r="H779" s="2">
        <v>710000.0</v>
      </c>
      <c r="I779" s="2">
        <v>0.0</v>
      </c>
      <c r="L779" s="2">
        <v>0.0</v>
      </c>
      <c r="M779" s="2">
        <v>0.0</v>
      </c>
      <c r="N779" s="14">
        <v>0.5055555555555555</v>
      </c>
      <c r="O779" s="2" t="s">
        <v>1132</v>
      </c>
      <c r="P779" s="2">
        <v>1.0</v>
      </c>
      <c r="Q779" s="2">
        <v>2.01507291E8</v>
      </c>
      <c r="R779" s="2">
        <v>3.0</v>
      </c>
      <c r="S779" s="2" t="s">
        <v>1114</v>
      </c>
      <c r="U779" s="2">
        <v>1.0</v>
      </c>
      <c r="V779" s="14">
        <v>0.50625</v>
      </c>
      <c r="X779" s="2">
        <v>0.0</v>
      </c>
      <c r="Y779" s="2" t="s">
        <v>933</v>
      </c>
      <c r="Z779" s="2" t="s">
        <v>1257</v>
      </c>
      <c r="AA779" s="11">
        <v>42214.506840277776</v>
      </c>
    </row>
    <row r="780" ht="12.75" customHeight="1">
      <c r="A780" s="2">
        <v>2.900003175E9</v>
      </c>
      <c r="B780" s="12" t="str">
        <f t="shared" si="1"/>
        <v>0</v>
      </c>
      <c r="C780" s="2">
        <v>2.900003175E9</v>
      </c>
      <c r="D780" s="13">
        <v>42214.0</v>
      </c>
      <c r="E780" s="2" t="s">
        <v>1313</v>
      </c>
      <c r="F780" s="2">
        <v>2.0</v>
      </c>
      <c r="G780" s="2">
        <v>2.0</v>
      </c>
      <c r="H780" s="2">
        <v>683000.0</v>
      </c>
      <c r="I780" s="2">
        <v>0.0</v>
      </c>
      <c r="L780" s="2">
        <v>0.0</v>
      </c>
      <c r="M780" s="2">
        <v>0.0</v>
      </c>
      <c r="N780" s="14">
        <v>0.5423611111111112</v>
      </c>
      <c r="O780" s="2" t="s">
        <v>1132</v>
      </c>
      <c r="P780" s="2">
        <v>1.0</v>
      </c>
      <c r="Q780" s="2">
        <v>2.01507291E8</v>
      </c>
      <c r="R780" s="2">
        <v>3.0</v>
      </c>
      <c r="S780" s="2" t="s">
        <v>1114</v>
      </c>
      <c r="U780" s="2">
        <v>1.0</v>
      </c>
      <c r="V780" s="14">
        <v>0.54375</v>
      </c>
      <c r="X780" s="2">
        <v>0.0</v>
      </c>
      <c r="Y780" s="2" t="s">
        <v>933</v>
      </c>
      <c r="Z780" s="2" t="s">
        <v>1257</v>
      </c>
      <c r="AA780" s="11">
        <v>42214.544074074074</v>
      </c>
    </row>
    <row r="781" ht="12.75" customHeight="1">
      <c r="A781" s="2">
        <v>2.900003176E9</v>
      </c>
      <c r="B781" s="12" t="str">
        <f t="shared" si="1"/>
        <v>0</v>
      </c>
      <c r="C781" s="2">
        <v>2.900003176E9</v>
      </c>
      <c r="D781" s="13">
        <v>42214.0</v>
      </c>
      <c r="E781" s="2" t="s">
        <v>1314</v>
      </c>
      <c r="F781" s="2">
        <v>2.0</v>
      </c>
      <c r="G781" s="2">
        <v>2.0</v>
      </c>
      <c r="H781" s="2">
        <v>443000.0</v>
      </c>
      <c r="I781" s="2">
        <v>0.0</v>
      </c>
      <c r="L781" s="2">
        <v>0.0</v>
      </c>
      <c r="M781" s="2">
        <v>0.0</v>
      </c>
      <c r="N781" s="14">
        <v>0.6875</v>
      </c>
      <c r="O781" s="2" t="s">
        <v>1132</v>
      </c>
      <c r="P781" s="2">
        <v>1.0</v>
      </c>
      <c r="Q781" s="2">
        <v>2.01507291E8</v>
      </c>
      <c r="R781" s="2">
        <v>3.0</v>
      </c>
      <c r="S781" s="2" t="s">
        <v>1114</v>
      </c>
      <c r="U781" s="2">
        <v>1.0</v>
      </c>
      <c r="V781" s="14">
        <v>0.6951388888888889</v>
      </c>
      <c r="X781" s="2">
        <v>0.0</v>
      </c>
      <c r="Y781" s="2" t="s">
        <v>933</v>
      </c>
      <c r="Z781" s="2" t="s">
        <v>1257</v>
      </c>
      <c r="AA781" s="11">
        <v>42214.696226851855</v>
      </c>
    </row>
    <row r="782" ht="12.75" customHeight="1">
      <c r="A782" s="2">
        <v>2.900003203E9</v>
      </c>
      <c r="B782" s="12" t="str">
        <f t="shared" si="1"/>
        <v>0</v>
      </c>
      <c r="C782" s="2">
        <v>2.900003203E9</v>
      </c>
      <c r="D782" s="13">
        <v>42221.0</v>
      </c>
      <c r="E782" s="2" t="s">
        <v>1315</v>
      </c>
      <c r="F782" s="2">
        <v>2.0</v>
      </c>
      <c r="G782" s="2">
        <v>2.0</v>
      </c>
      <c r="H782" s="2">
        <v>261500.0</v>
      </c>
      <c r="I782" s="2">
        <v>0.0</v>
      </c>
      <c r="L782" s="2">
        <v>0.0</v>
      </c>
      <c r="M782" s="2">
        <v>0.0</v>
      </c>
      <c r="N782" s="14">
        <v>0.6368055555555555</v>
      </c>
      <c r="O782" s="2" t="s">
        <v>1132</v>
      </c>
      <c r="P782" s="2">
        <v>1.0</v>
      </c>
      <c r="Q782" s="2">
        <v>2.01508051E8</v>
      </c>
      <c r="R782" s="2">
        <v>3.0</v>
      </c>
      <c r="S782" s="2" t="s">
        <v>1114</v>
      </c>
      <c r="U782" s="2">
        <v>1.0</v>
      </c>
      <c r="V782" s="14">
        <v>0.6381944444444444</v>
      </c>
      <c r="X782" s="2">
        <v>0.0</v>
      </c>
      <c r="Y782" s="2" t="s">
        <v>933</v>
      </c>
      <c r="Z782" s="2" t="s">
        <v>1257</v>
      </c>
      <c r="AA782" s="11">
        <v>42221.63853009259</v>
      </c>
    </row>
    <row r="783" ht="12.75" customHeight="1">
      <c r="A783" s="2">
        <v>2.900003205E9</v>
      </c>
      <c r="B783" s="12" t="str">
        <f t="shared" si="1"/>
        <v>0</v>
      </c>
      <c r="C783" s="2">
        <v>2.900003205E9</v>
      </c>
      <c r="D783" s="13">
        <v>42221.0</v>
      </c>
      <c r="E783" s="2" t="s">
        <v>1316</v>
      </c>
      <c r="F783" s="2">
        <v>2.0</v>
      </c>
      <c r="G783" s="2">
        <v>2.0</v>
      </c>
      <c r="H783" s="2">
        <v>525000.0</v>
      </c>
      <c r="I783" s="2">
        <v>0.0</v>
      </c>
      <c r="L783" s="2">
        <v>0.0</v>
      </c>
      <c r="M783" s="2">
        <v>0.0</v>
      </c>
      <c r="N783" s="14">
        <v>0.6458333333333334</v>
      </c>
      <c r="O783" s="2" t="s">
        <v>1132</v>
      </c>
      <c r="P783" s="2">
        <v>1.0</v>
      </c>
      <c r="Q783" s="2">
        <v>2.01508051E8</v>
      </c>
      <c r="R783" s="2">
        <v>3.0</v>
      </c>
      <c r="S783" s="2" t="s">
        <v>1114</v>
      </c>
      <c r="U783" s="2">
        <v>1.0</v>
      </c>
      <c r="V783" s="14">
        <v>0.6534722222222222</v>
      </c>
      <c r="X783" s="2">
        <v>0.0</v>
      </c>
      <c r="Y783" s="2" t="s">
        <v>933</v>
      </c>
      <c r="Z783" s="2" t="s">
        <v>1257</v>
      </c>
      <c r="AA783" s="11">
        <v>42221.65394675926</v>
      </c>
    </row>
    <row r="784" ht="12.75" customHeight="1">
      <c r="A784" s="2">
        <v>2.900003206E9</v>
      </c>
      <c r="B784" s="12" t="str">
        <f t="shared" si="1"/>
        <v>0</v>
      </c>
      <c r="C784" s="2">
        <v>2.900003206E9</v>
      </c>
      <c r="D784" s="13">
        <v>42221.0</v>
      </c>
      <c r="E784" s="2" t="s">
        <v>1317</v>
      </c>
      <c r="F784" s="2">
        <v>2.0</v>
      </c>
      <c r="G784" s="2">
        <v>2.0</v>
      </c>
      <c r="H784" s="2">
        <v>124000.0</v>
      </c>
      <c r="I784" s="2">
        <v>0.0</v>
      </c>
      <c r="L784" s="2">
        <v>0.0</v>
      </c>
      <c r="M784" s="2">
        <v>0.0</v>
      </c>
      <c r="N784" s="14">
        <v>0.6534722222222222</v>
      </c>
      <c r="O784" s="2" t="s">
        <v>1132</v>
      </c>
      <c r="P784" s="2">
        <v>1.0</v>
      </c>
      <c r="Q784" s="2">
        <v>2.01508051E8</v>
      </c>
      <c r="R784" s="2">
        <v>3.0</v>
      </c>
      <c r="S784" s="2" t="s">
        <v>1114</v>
      </c>
      <c r="U784" s="2">
        <v>1.0</v>
      </c>
      <c r="V784" s="14">
        <v>0.6541666666666667</v>
      </c>
      <c r="X784" s="2">
        <v>0.0</v>
      </c>
      <c r="Y784" s="2" t="s">
        <v>933</v>
      </c>
      <c r="Z784" s="2" t="s">
        <v>1257</v>
      </c>
      <c r="AA784" s="11">
        <v>42221.65429398148</v>
      </c>
    </row>
    <row r="785" ht="12.75" customHeight="1">
      <c r="A785" s="2">
        <v>2.900003208E9</v>
      </c>
      <c r="B785" s="12" t="str">
        <f t="shared" si="1"/>
        <v>0</v>
      </c>
      <c r="C785" s="2">
        <v>2.900003208E9</v>
      </c>
      <c r="D785" s="13">
        <v>42221.0</v>
      </c>
      <c r="E785" s="2" t="s">
        <v>1318</v>
      </c>
      <c r="F785" s="2">
        <v>2.0</v>
      </c>
      <c r="G785" s="2">
        <v>2.0</v>
      </c>
      <c r="H785" s="2">
        <v>99000.0</v>
      </c>
      <c r="I785" s="2">
        <v>0.0</v>
      </c>
      <c r="L785" s="2">
        <v>0.0</v>
      </c>
      <c r="M785" s="2">
        <v>0.0</v>
      </c>
      <c r="N785" s="14">
        <v>0.6666666666666666</v>
      </c>
      <c r="O785" s="2" t="s">
        <v>1132</v>
      </c>
      <c r="P785" s="2">
        <v>1.0</v>
      </c>
      <c r="Q785" s="2">
        <v>2.01508051E8</v>
      </c>
      <c r="R785" s="2">
        <v>3.0</v>
      </c>
      <c r="S785" s="2" t="s">
        <v>1114</v>
      </c>
      <c r="U785" s="2">
        <v>1.0</v>
      </c>
      <c r="V785" s="14">
        <v>0.6666666666666666</v>
      </c>
      <c r="X785" s="2">
        <v>0.0</v>
      </c>
      <c r="Y785" s="2" t="s">
        <v>933</v>
      </c>
      <c r="Z785" s="2" t="s">
        <v>1257</v>
      </c>
      <c r="AA785" s="11">
        <v>42221.66695601852</v>
      </c>
    </row>
    <row r="786" ht="12.75" customHeight="1">
      <c r="A786" s="2">
        <v>3.100000004E9</v>
      </c>
      <c r="B786" s="12" t="str">
        <f t="shared" si="1"/>
        <v>3823000</v>
      </c>
      <c r="C786" s="2">
        <v>3.100000004E9</v>
      </c>
      <c r="D786" s="13">
        <v>42119.0</v>
      </c>
      <c r="E786" s="2" t="s">
        <v>1278</v>
      </c>
      <c r="F786" s="2">
        <v>2.0</v>
      </c>
      <c r="G786" s="2">
        <v>2.0</v>
      </c>
      <c r="H786" s="2">
        <v>-1265000.0</v>
      </c>
      <c r="I786" s="2">
        <v>0.0</v>
      </c>
      <c r="L786" s="2">
        <v>0.0</v>
      </c>
      <c r="M786" s="2">
        <v>0.0</v>
      </c>
      <c r="N786" s="14">
        <v>0.39375</v>
      </c>
      <c r="O786" s="2" t="s">
        <v>1132</v>
      </c>
      <c r="P786" s="2">
        <v>1.0</v>
      </c>
      <c r="Q786" s="2">
        <v>2.01504251E8</v>
      </c>
      <c r="R786" s="2">
        <v>3.0</v>
      </c>
      <c r="S786" s="2" t="s">
        <v>1114</v>
      </c>
      <c r="U786" s="2">
        <v>1.0</v>
      </c>
      <c r="V786" s="14">
        <v>0.7</v>
      </c>
      <c r="X786" s="2">
        <v>0.0</v>
      </c>
      <c r="Y786" s="2" t="s">
        <v>1101</v>
      </c>
      <c r="Z786" s="2" t="s">
        <v>1257</v>
      </c>
      <c r="AA786" s="11">
        <v>42119.70034722222</v>
      </c>
    </row>
    <row r="787" ht="12.75" customHeight="1">
      <c r="A787" s="2"/>
      <c r="C787" s="2"/>
      <c r="D787" s="2"/>
      <c r="E787" s="2"/>
      <c r="Q787" s="2"/>
    </row>
    <row r="788" ht="12.75" customHeight="1">
      <c r="A788" s="2"/>
      <c r="C788" s="2"/>
      <c r="D788" s="2"/>
      <c r="E788" s="2"/>
      <c r="Q788" s="2"/>
    </row>
    <row r="789" ht="12.75" customHeight="1">
      <c r="A789" s="2"/>
      <c r="C789" s="2"/>
      <c r="D789" s="2"/>
      <c r="E789" s="2"/>
      <c r="Q789" s="2"/>
    </row>
    <row r="790" ht="12.75" customHeight="1">
      <c r="A790" s="2"/>
      <c r="C790" s="2"/>
      <c r="D790" s="2"/>
      <c r="E790" s="2"/>
      <c r="Q790" s="2"/>
    </row>
    <row r="791" ht="12.75" customHeight="1">
      <c r="A791" s="2"/>
      <c r="C791" s="2"/>
      <c r="D791" s="2"/>
      <c r="E791" s="2"/>
      <c r="Q791" s="2"/>
    </row>
    <row r="792" ht="12.75" customHeight="1">
      <c r="A792" s="2"/>
      <c r="C792" s="2"/>
      <c r="D792" s="2"/>
      <c r="E792" s="2"/>
      <c r="Q792" s="2"/>
    </row>
    <row r="793" ht="12.75" customHeight="1">
      <c r="A793" s="2"/>
      <c r="C793" s="2"/>
      <c r="D793" s="2"/>
      <c r="E793" s="2"/>
      <c r="Q793" s="2"/>
    </row>
    <row r="794" ht="12.75" customHeight="1">
      <c r="A794" s="2"/>
      <c r="C794" s="2"/>
      <c r="D794" s="2"/>
      <c r="E794" s="2"/>
      <c r="Q794" s="2"/>
    </row>
    <row r="795" ht="12.75" customHeight="1">
      <c r="A795" s="2"/>
      <c r="C795" s="2"/>
      <c r="D795" s="2"/>
      <c r="E795" s="2"/>
      <c r="Q795" s="2"/>
    </row>
    <row r="796" ht="12.75" customHeight="1">
      <c r="A796" s="2"/>
      <c r="C796" s="2"/>
      <c r="D796" s="2"/>
      <c r="E796" s="2"/>
      <c r="Q796" s="2"/>
    </row>
    <row r="797" ht="12.75" customHeight="1">
      <c r="A797" s="2"/>
      <c r="C797" s="2"/>
      <c r="D797" s="2"/>
      <c r="E797" s="2"/>
      <c r="Q797" s="2"/>
    </row>
    <row r="798" ht="12.75" customHeight="1">
      <c r="A798" s="2"/>
      <c r="C798" s="2"/>
      <c r="D798" s="2"/>
      <c r="E798" s="2"/>
      <c r="Q798" s="2"/>
    </row>
    <row r="799" ht="12.75" customHeight="1">
      <c r="A799" s="2"/>
      <c r="C799" s="2"/>
      <c r="D799" s="2"/>
      <c r="E799" s="2"/>
      <c r="Q799" s="2"/>
    </row>
    <row r="800" ht="12.75" customHeight="1">
      <c r="A800" s="2"/>
      <c r="C800" s="2"/>
      <c r="D800" s="2"/>
      <c r="E800" s="2"/>
      <c r="Q800" s="2"/>
    </row>
    <row r="801" ht="12.75" customHeight="1">
      <c r="A801" s="2"/>
      <c r="C801" s="2"/>
      <c r="D801" s="2"/>
      <c r="E801" s="2"/>
      <c r="Q801" s="2"/>
    </row>
    <row r="802" ht="12.75" customHeight="1">
      <c r="A802" s="2"/>
      <c r="C802" s="2"/>
      <c r="D802" s="2"/>
      <c r="E802" s="2"/>
      <c r="Q802" s="2"/>
    </row>
    <row r="803" ht="12.75" customHeight="1">
      <c r="A803" s="2"/>
      <c r="C803" s="2"/>
      <c r="D803" s="2"/>
      <c r="E803" s="2"/>
      <c r="Q803" s="2"/>
    </row>
    <row r="804" ht="12.75" customHeight="1">
      <c r="A804" s="2"/>
      <c r="C804" s="2"/>
      <c r="D804" s="2"/>
      <c r="E804" s="2"/>
      <c r="Q804" s="2"/>
    </row>
    <row r="805" ht="12.75" customHeight="1">
      <c r="A805" s="2"/>
      <c r="C805" s="2"/>
      <c r="D805" s="2"/>
      <c r="E805" s="2"/>
      <c r="Q805" s="2"/>
    </row>
    <row r="806" ht="12.75" customHeight="1">
      <c r="A806" s="2"/>
      <c r="C806" s="2"/>
      <c r="D806" s="2"/>
      <c r="E806" s="2"/>
      <c r="Q806" s="2"/>
    </row>
    <row r="807" ht="12.75" customHeight="1">
      <c r="A807" s="2"/>
      <c r="C807" s="2"/>
      <c r="D807" s="2"/>
      <c r="E807" s="2"/>
      <c r="Q807" s="2"/>
    </row>
    <row r="808" ht="12.75" customHeight="1">
      <c r="A808" s="2"/>
      <c r="C808" s="2"/>
      <c r="D808" s="2"/>
      <c r="E808" s="2"/>
      <c r="Q808" s="2"/>
    </row>
    <row r="809" ht="12.75" customHeight="1">
      <c r="A809" s="2"/>
      <c r="C809" s="2"/>
      <c r="D809" s="2"/>
      <c r="E809" s="2"/>
      <c r="Q809" s="2"/>
    </row>
    <row r="810" ht="12.75" customHeight="1">
      <c r="A810" s="2"/>
      <c r="C810" s="2"/>
      <c r="D810" s="2"/>
      <c r="E810" s="2"/>
      <c r="Q810" s="2"/>
    </row>
    <row r="811" ht="12.75" customHeight="1">
      <c r="A811" s="2"/>
      <c r="C811" s="2"/>
      <c r="D811" s="2"/>
      <c r="E811" s="2"/>
      <c r="Q811" s="2"/>
    </row>
    <row r="812" ht="12.75" customHeight="1">
      <c r="A812" s="2"/>
      <c r="C812" s="2"/>
      <c r="D812" s="2"/>
      <c r="E812" s="2"/>
      <c r="Q812" s="2"/>
    </row>
    <row r="813" ht="12.75" customHeight="1">
      <c r="A813" s="2"/>
      <c r="C813" s="2"/>
      <c r="D813" s="2"/>
      <c r="E813" s="2"/>
      <c r="Q813" s="2"/>
    </row>
    <row r="814" ht="12.75" customHeight="1">
      <c r="A814" s="2"/>
      <c r="C814" s="2"/>
      <c r="D814" s="2"/>
      <c r="E814" s="2"/>
      <c r="Q814" s="2"/>
    </row>
    <row r="815" ht="12.75" customHeight="1">
      <c r="A815" s="2"/>
      <c r="C815" s="2"/>
      <c r="D815" s="2"/>
      <c r="E815" s="2"/>
      <c r="Q815" s="2"/>
    </row>
    <row r="816" ht="12.75" customHeight="1">
      <c r="A816" s="2"/>
      <c r="C816" s="2"/>
      <c r="D816" s="2"/>
      <c r="E816" s="2"/>
      <c r="Q816" s="2"/>
    </row>
    <row r="817" ht="12.75" customHeight="1">
      <c r="A817" s="2"/>
      <c r="C817" s="2"/>
      <c r="D817" s="2"/>
      <c r="E817" s="2"/>
      <c r="Q817" s="2"/>
    </row>
    <row r="818" ht="12.75" customHeight="1">
      <c r="A818" s="2"/>
      <c r="C818" s="2"/>
      <c r="D818" s="2"/>
      <c r="E818" s="2"/>
      <c r="Q818" s="2"/>
    </row>
    <row r="819" ht="12.75" customHeight="1">
      <c r="A819" s="2"/>
      <c r="C819" s="2"/>
      <c r="D819" s="2"/>
      <c r="E819" s="2"/>
      <c r="Q819" s="2"/>
    </row>
    <row r="820" ht="12.75" customHeight="1">
      <c r="A820" s="2"/>
      <c r="C820" s="2"/>
      <c r="D820" s="2"/>
      <c r="E820" s="2"/>
      <c r="Q820" s="2"/>
    </row>
    <row r="821" ht="12.75" customHeight="1">
      <c r="A821" s="2"/>
      <c r="C821" s="2"/>
      <c r="D821" s="2"/>
      <c r="E821" s="2"/>
      <c r="Q821" s="2"/>
    </row>
    <row r="822" ht="12.75" customHeight="1">
      <c r="A822" s="2"/>
      <c r="C822" s="2"/>
      <c r="D822" s="2"/>
      <c r="E822" s="2"/>
      <c r="Q822" s="2"/>
    </row>
    <row r="823" ht="12.75" customHeight="1">
      <c r="A823" s="2"/>
      <c r="C823" s="2"/>
      <c r="D823" s="2"/>
      <c r="E823" s="2"/>
      <c r="Q823" s="2"/>
    </row>
    <row r="824" ht="12.75" customHeight="1">
      <c r="A824" s="2"/>
      <c r="C824" s="2"/>
      <c r="D824" s="2"/>
      <c r="E824" s="2"/>
      <c r="Q824" s="2"/>
    </row>
    <row r="825" ht="12.75" customHeight="1">
      <c r="A825" s="2"/>
      <c r="C825" s="2"/>
      <c r="D825" s="2"/>
      <c r="E825" s="2"/>
      <c r="Q825" s="2"/>
    </row>
    <row r="826" ht="12.75" customHeight="1">
      <c r="A826" s="2"/>
      <c r="C826" s="2"/>
      <c r="D826" s="2"/>
      <c r="E826" s="2"/>
      <c r="Q826" s="2"/>
    </row>
    <row r="827" ht="12.75" customHeight="1">
      <c r="A827" s="2"/>
      <c r="C827" s="2"/>
      <c r="D827" s="2"/>
      <c r="E827" s="2"/>
      <c r="Q827" s="2"/>
    </row>
    <row r="828" ht="12.75" customHeight="1">
      <c r="A828" s="2"/>
      <c r="C828" s="2"/>
      <c r="D828" s="2"/>
      <c r="E828" s="2"/>
      <c r="Q828" s="2"/>
    </row>
    <row r="829" ht="12.75" customHeight="1">
      <c r="A829" s="2"/>
      <c r="C829" s="2"/>
      <c r="D829" s="2"/>
      <c r="E829" s="2"/>
      <c r="Q829" s="2"/>
    </row>
    <row r="830" ht="12.75" customHeight="1">
      <c r="A830" s="2"/>
      <c r="C830" s="2"/>
      <c r="D830" s="2"/>
      <c r="E830" s="2"/>
      <c r="Q830" s="2"/>
    </row>
    <row r="831" ht="12.75" customHeight="1">
      <c r="A831" s="2"/>
      <c r="C831" s="2"/>
      <c r="D831" s="2"/>
      <c r="E831" s="2"/>
      <c r="Q831" s="2"/>
    </row>
    <row r="832" ht="12.75" customHeight="1">
      <c r="A832" s="2"/>
      <c r="C832" s="2"/>
      <c r="D832" s="2"/>
      <c r="E832" s="2"/>
      <c r="Q832" s="2"/>
    </row>
    <row r="833" ht="12.75" customHeight="1">
      <c r="A833" s="2"/>
      <c r="C833" s="2"/>
      <c r="D833" s="2"/>
      <c r="E833" s="2"/>
      <c r="Q833" s="2"/>
    </row>
    <row r="834" ht="12.75" customHeight="1">
      <c r="A834" s="2"/>
      <c r="C834" s="2"/>
      <c r="D834" s="2"/>
      <c r="E834" s="2"/>
      <c r="Q834" s="2"/>
    </row>
    <row r="835" ht="12.75" customHeight="1">
      <c r="A835" s="2"/>
      <c r="C835" s="2"/>
      <c r="D835" s="2"/>
      <c r="E835" s="2"/>
      <c r="Q835" s="2"/>
    </row>
    <row r="836" ht="12.75" customHeight="1">
      <c r="A836" s="2"/>
      <c r="C836" s="2"/>
      <c r="D836" s="2"/>
      <c r="E836" s="2"/>
      <c r="Q836" s="2"/>
    </row>
    <row r="837" ht="12.75" customHeight="1">
      <c r="A837" s="2"/>
      <c r="C837" s="2"/>
      <c r="D837" s="2"/>
      <c r="E837" s="2"/>
      <c r="Q837" s="2"/>
    </row>
    <row r="838" ht="12.75" customHeight="1">
      <c r="A838" s="2"/>
      <c r="C838" s="2"/>
      <c r="D838" s="2"/>
      <c r="E838" s="2"/>
      <c r="Q838" s="2"/>
    </row>
    <row r="839" ht="12.75" customHeight="1">
      <c r="A839" s="2"/>
      <c r="C839" s="2"/>
      <c r="D839" s="2"/>
      <c r="E839" s="2"/>
      <c r="Q839" s="2"/>
    </row>
    <row r="840" ht="12.75" customHeight="1">
      <c r="A840" s="2"/>
      <c r="C840" s="2"/>
      <c r="D840" s="2"/>
      <c r="E840" s="2"/>
      <c r="Q840" s="2"/>
    </row>
    <row r="841" ht="12.75" customHeight="1">
      <c r="A841" s="2"/>
      <c r="C841" s="2"/>
      <c r="D841" s="2"/>
      <c r="E841" s="2"/>
      <c r="Q841" s="2"/>
    </row>
    <row r="842" ht="12.75" customHeight="1">
      <c r="A842" s="2"/>
      <c r="C842" s="2"/>
      <c r="D842" s="2"/>
      <c r="E842" s="2"/>
      <c r="Q842" s="2"/>
    </row>
    <row r="843" ht="12.75" customHeight="1">
      <c r="A843" s="2"/>
      <c r="C843" s="2"/>
      <c r="D843" s="2"/>
      <c r="E843" s="2"/>
      <c r="Q843" s="2"/>
    </row>
    <row r="844" ht="12.75" customHeight="1">
      <c r="A844" s="2"/>
      <c r="C844" s="2"/>
      <c r="D844" s="2"/>
      <c r="E844" s="2"/>
      <c r="Q844" s="2"/>
    </row>
    <row r="845" ht="12.75" customHeight="1">
      <c r="A845" s="2"/>
      <c r="C845" s="2"/>
      <c r="D845" s="2"/>
      <c r="E845" s="2"/>
      <c r="Q845" s="2"/>
    </row>
    <row r="846" ht="12.75" customHeight="1">
      <c r="A846" s="2"/>
      <c r="C846" s="2"/>
      <c r="D846" s="2"/>
      <c r="E846" s="2"/>
      <c r="Q846" s="2"/>
    </row>
    <row r="847" ht="12.75" customHeight="1">
      <c r="A847" s="2"/>
      <c r="C847" s="2"/>
      <c r="D847" s="2"/>
      <c r="E847" s="2"/>
      <c r="Q847" s="2"/>
    </row>
    <row r="848" ht="12.75" customHeight="1">
      <c r="A848" s="2"/>
      <c r="C848" s="2"/>
      <c r="D848" s="2"/>
      <c r="E848" s="2"/>
      <c r="Q848" s="2"/>
    </row>
    <row r="849" ht="12.75" customHeight="1">
      <c r="A849" s="2"/>
      <c r="C849" s="2"/>
      <c r="D849" s="2"/>
      <c r="E849" s="2"/>
      <c r="Q849" s="2"/>
    </row>
    <row r="850" ht="12.75" customHeight="1">
      <c r="A850" s="2"/>
      <c r="C850" s="2"/>
      <c r="D850" s="2"/>
      <c r="E850" s="2"/>
      <c r="Q850" s="2"/>
    </row>
    <row r="851" ht="12.75" customHeight="1">
      <c r="A851" s="2"/>
      <c r="C851" s="2"/>
      <c r="D851" s="2"/>
      <c r="E851" s="2"/>
      <c r="Q851" s="2"/>
    </row>
    <row r="852" ht="12.75" customHeight="1">
      <c r="A852" s="2"/>
      <c r="C852" s="2"/>
      <c r="D852" s="2"/>
      <c r="E852" s="2"/>
      <c r="Q852" s="2"/>
    </row>
    <row r="853" ht="12.75" customHeight="1">
      <c r="A853" s="2"/>
      <c r="C853" s="2"/>
      <c r="D853" s="2"/>
      <c r="E853" s="2"/>
      <c r="Q853" s="2"/>
    </row>
    <row r="854" ht="12.75" customHeight="1">
      <c r="A854" s="2"/>
      <c r="C854" s="2"/>
      <c r="D854" s="2"/>
      <c r="E854" s="2"/>
      <c r="Q854" s="2"/>
    </row>
    <row r="855" ht="12.75" customHeight="1">
      <c r="A855" s="2"/>
      <c r="C855" s="2"/>
      <c r="D855" s="2"/>
      <c r="E855" s="2"/>
      <c r="Q855" s="2"/>
    </row>
    <row r="856" ht="12.75" customHeight="1">
      <c r="A856" s="2"/>
      <c r="C856" s="2"/>
      <c r="D856" s="2"/>
      <c r="E856" s="2"/>
      <c r="Q856" s="2"/>
    </row>
    <row r="857" ht="12.75" customHeight="1">
      <c r="A857" s="2"/>
      <c r="C857" s="2"/>
      <c r="D857" s="2"/>
      <c r="E857" s="2"/>
      <c r="Q857" s="2"/>
    </row>
    <row r="858" ht="12.75" customHeight="1">
      <c r="A858" s="2"/>
      <c r="C858" s="2"/>
      <c r="D858" s="2"/>
      <c r="E858" s="2"/>
      <c r="Q858" s="2"/>
    </row>
    <row r="859" ht="12.75" customHeight="1">
      <c r="A859" s="2"/>
      <c r="C859" s="2"/>
      <c r="D859" s="2"/>
      <c r="E859" s="2"/>
      <c r="Q859" s="2"/>
    </row>
    <row r="860" ht="12.75" customHeight="1">
      <c r="A860" s="2"/>
      <c r="C860" s="2"/>
      <c r="D860" s="2"/>
      <c r="E860" s="2"/>
      <c r="Q860" s="2"/>
    </row>
    <row r="861" ht="12.75" customHeight="1">
      <c r="A861" s="2"/>
      <c r="C861" s="2"/>
      <c r="D861" s="2"/>
      <c r="E861" s="2"/>
      <c r="Q861" s="2"/>
    </row>
    <row r="862" ht="12.75" customHeight="1">
      <c r="A862" s="2"/>
      <c r="C862" s="2"/>
      <c r="D862" s="2"/>
      <c r="E862" s="2"/>
      <c r="Q862" s="2"/>
    </row>
    <row r="863" ht="12.75" customHeight="1">
      <c r="A863" s="2"/>
      <c r="C863" s="2"/>
      <c r="D863" s="2"/>
      <c r="E863" s="2"/>
      <c r="Q863" s="2"/>
    </row>
    <row r="864" ht="12.75" customHeight="1">
      <c r="A864" s="2"/>
      <c r="C864" s="2"/>
      <c r="D864" s="2"/>
      <c r="E864" s="2"/>
      <c r="Q864" s="2"/>
    </row>
    <row r="865" ht="12.75" customHeight="1">
      <c r="A865" s="2"/>
      <c r="C865" s="2"/>
      <c r="D865" s="2"/>
      <c r="E865" s="2"/>
      <c r="Q865" s="2"/>
    </row>
    <row r="866" ht="12.75" customHeight="1">
      <c r="A866" s="2"/>
      <c r="C866" s="2"/>
      <c r="D866" s="2"/>
      <c r="E866" s="2"/>
      <c r="Q866" s="2"/>
    </row>
    <row r="867" ht="12.75" customHeight="1">
      <c r="A867" s="2"/>
      <c r="C867" s="2"/>
      <c r="D867" s="2"/>
      <c r="E867" s="2"/>
      <c r="Q867" s="2"/>
    </row>
    <row r="868" ht="12.75" customHeight="1">
      <c r="A868" s="2"/>
      <c r="C868" s="2"/>
      <c r="D868" s="2"/>
      <c r="E868" s="2"/>
      <c r="Q868" s="2"/>
    </row>
    <row r="869" ht="12.75" customHeight="1">
      <c r="A869" s="2"/>
      <c r="C869" s="2"/>
      <c r="D869" s="2"/>
      <c r="E869" s="2"/>
      <c r="Q869" s="2"/>
    </row>
    <row r="870" ht="12.75" customHeight="1">
      <c r="A870" s="2"/>
      <c r="C870" s="2"/>
      <c r="D870" s="2"/>
      <c r="E870" s="2"/>
      <c r="Q870" s="2"/>
    </row>
    <row r="871" ht="12.75" customHeight="1">
      <c r="A871" s="2"/>
      <c r="C871" s="2"/>
      <c r="D871" s="2"/>
      <c r="E871" s="2"/>
      <c r="Q871" s="2"/>
    </row>
    <row r="872" ht="12.75" customHeight="1">
      <c r="A872" s="2"/>
      <c r="C872" s="2"/>
      <c r="D872" s="2"/>
      <c r="E872" s="2"/>
      <c r="Q872" s="2"/>
    </row>
    <row r="873" ht="12.75" customHeight="1">
      <c r="A873" s="2"/>
      <c r="C873" s="2"/>
      <c r="D873" s="2"/>
      <c r="E873" s="2"/>
      <c r="Q873" s="2"/>
    </row>
    <row r="874" ht="12.75" customHeight="1">
      <c r="A874" s="2"/>
      <c r="C874" s="2"/>
      <c r="D874" s="2"/>
      <c r="E874" s="2"/>
      <c r="Q874" s="2"/>
    </row>
    <row r="875" ht="12.75" customHeight="1">
      <c r="A875" s="2"/>
      <c r="C875" s="2"/>
      <c r="D875" s="2"/>
      <c r="E875" s="2"/>
      <c r="Q875" s="2"/>
    </row>
    <row r="876" ht="12.75" customHeight="1">
      <c r="A876" s="2"/>
      <c r="C876" s="2"/>
      <c r="D876" s="2"/>
      <c r="E876" s="2"/>
      <c r="Q876" s="2"/>
    </row>
    <row r="877" ht="12.75" customHeight="1">
      <c r="A877" s="2"/>
      <c r="C877" s="2"/>
      <c r="D877" s="2"/>
      <c r="E877" s="2"/>
      <c r="Q877" s="2"/>
    </row>
    <row r="878" ht="12.75" customHeight="1">
      <c r="A878" s="2"/>
      <c r="C878" s="2"/>
      <c r="D878" s="2"/>
      <c r="E878" s="2"/>
      <c r="Q878" s="2"/>
    </row>
    <row r="879" ht="12.75" customHeight="1">
      <c r="A879" s="2"/>
      <c r="C879" s="2"/>
      <c r="D879" s="2"/>
      <c r="E879" s="2"/>
      <c r="Q879" s="2"/>
    </row>
    <row r="880" ht="12.75" customHeight="1">
      <c r="A880" s="2"/>
      <c r="C880" s="2"/>
      <c r="D880" s="2"/>
      <c r="E880" s="2"/>
      <c r="Q880" s="2"/>
    </row>
    <row r="881" ht="12.75" customHeight="1">
      <c r="A881" s="2"/>
      <c r="C881" s="2"/>
      <c r="D881" s="2"/>
      <c r="E881" s="2"/>
      <c r="Q881" s="2"/>
    </row>
    <row r="882" ht="12.75" customHeight="1">
      <c r="A882" s="2"/>
      <c r="C882" s="2"/>
      <c r="D882" s="2"/>
      <c r="E882" s="2"/>
      <c r="Q882" s="2"/>
    </row>
    <row r="883" ht="12.75" customHeight="1">
      <c r="A883" s="2"/>
      <c r="C883" s="2"/>
      <c r="D883" s="2"/>
      <c r="E883" s="2"/>
      <c r="Q883" s="2"/>
    </row>
    <row r="884" ht="12.75" customHeight="1">
      <c r="A884" s="2"/>
      <c r="C884" s="2"/>
      <c r="D884" s="2"/>
      <c r="E884" s="2"/>
      <c r="Q884" s="2"/>
    </row>
    <row r="885" ht="12.75" customHeight="1">
      <c r="A885" s="2"/>
      <c r="C885" s="2"/>
      <c r="D885" s="2"/>
      <c r="E885" s="2"/>
      <c r="Q885" s="2"/>
    </row>
    <row r="886" ht="12.75" customHeight="1">
      <c r="A886" s="2"/>
      <c r="C886" s="2"/>
      <c r="D886" s="2"/>
      <c r="E886" s="2"/>
      <c r="Q886" s="2"/>
    </row>
    <row r="887" ht="12.75" customHeight="1">
      <c r="A887" s="2"/>
      <c r="C887" s="2"/>
      <c r="D887" s="2"/>
      <c r="E887" s="2"/>
      <c r="Q887" s="2"/>
    </row>
    <row r="888" ht="12.75" customHeight="1">
      <c r="A888" s="2"/>
      <c r="C888" s="2"/>
      <c r="D888" s="2"/>
      <c r="E888" s="2"/>
      <c r="Q888" s="2"/>
    </row>
    <row r="889" ht="12.75" customHeight="1">
      <c r="A889" s="2"/>
      <c r="C889" s="2"/>
      <c r="D889" s="2"/>
      <c r="E889" s="2"/>
      <c r="Q889" s="2"/>
    </row>
    <row r="890" ht="12.75" customHeight="1">
      <c r="A890" s="2"/>
      <c r="C890" s="2"/>
      <c r="D890" s="2"/>
      <c r="E890" s="2"/>
      <c r="Q890" s="2"/>
    </row>
    <row r="891" ht="12.75" customHeight="1">
      <c r="A891" s="2"/>
      <c r="C891" s="2"/>
      <c r="D891" s="2"/>
      <c r="E891" s="2"/>
      <c r="Q891" s="2"/>
    </row>
    <row r="892" ht="12.75" customHeight="1">
      <c r="A892" s="2"/>
      <c r="C892" s="2"/>
      <c r="D892" s="2"/>
      <c r="E892" s="2"/>
      <c r="Q892" s="2"/>
    </row>
    <row r="893" ht="12.75" customHeight="1">
      <c r="A893" s="2"/>
      <c r="C893" s="2"/>
      <c r="D893" s="2"/>
      <c r="E893" s="2"/>
      <c r="Q893" s="2"/>
    </row>
    <row r="894" ht="12.75" customHeight="1">
      <c r="A894" s="2"/>
      <c r="C894" s="2"/>
      <c r="D894" s="2"/>
      <c r="E894" s="2"/>
      <c r="Q894" s="2"/>
    </row>
    <row r="895" ht="12.75" customHeight="1">
      <c r="A895" s="2"/>
      <c r="C895" s="2"/>
      <c r="D895" s="2"/>
      <c r="E895" s="2"/>
      <c r="Q895" s="2"/>
    </row>
    <row r="896" ht="12.75" customHeight="1">
      <c r="A896" s="2"/>
      <c r="C896" s="2"/>
      <c r="D896" s="2"/>
      <c r="E896" s="2"/>
      <c r="Q896" s="2"/>
    </row>
    <row r="897" ht="12.75" customHeight="1">
      <c r="A897" s="2"/>
      <c r="C897" s="2"/>
      <c r="D897" s="2"/>
      <c r="E897" s="2"/>
      <c r="Q897" s="2"/>
    </row>
    <row r="898" ht="12.75" customHeight="1">
      <c r="A898" s="2"/>
      <c r="C898" s="2"/>
      <c r="D898" s="2"/>
      <c r="E898" s="2"/>
      <c r="Q898" s="2"/>
    </row>
    <row r="899" ht="12.75" customHeight="1">
      <c r="A899" s="2"/>
      <c r="C899" s="2"/>
      <c r="D899" s="2"/>
      <c r="E899" s="2"/>
      <c r="Q899" s="2"/>
    </row>
    <row r="900" ht="12.75" customHeight="1">
      <c r="A900" s="2"/>
      <c r="C900" s="2"/>
      <c r="D900" s="2"/>
      <c r="E900" s="2"/>
      <c r="Q900" s="2"/>
    </row>
    <row r="901" ht="12.75" customHeight="1">
      <c r="A901" s="2"/>
      <c r="C901" s="2"/>
      <c r="D901" s="2"/>
      <c r="E901" s="2"/>
      <c r="Q901" s="2"/>
    </row>
    <row r="902" ht="12.75" customHeight="1">
      <c r="A902" s="2"/>
      <c r="C902" s="2"/>
      <c r="D902" s="2"/>
      <c r="E902" s="2"/>
      <c r="Q902" s="2"/>
    </row>
    <row r="903" ht="12.75" customHeight="1">
      <c r="A903" s="2"/>
      <c r="C903" s="2"/>
      <c r="D903" s="2"/>
      <c r="E903" s="2"/>
      <c r="Q903" s="2"/>
    </row>
    <row r="904" ht="12.75" customHeight="1">
      <c r="A904" s="2"/>
      <c r="C904" s="2"/>
      <c r="D904" s="2"/>
      <c r="E904" s="2"/>
      <c r="Q904" s="2"/>
    </row>
    <row r="905" ht="12.75" customHeight="1">
      <c r="A905" s="2"/>
      <c r="C905" s="2"/>
      <c r="D905" s="2"/>
      <c r="E905" s="2"/>
      <c r="Q905" s="2"/>
    </row>
    <row r="906" ht="12.75" customHeight="1">
      <c r="A906" s="2"/>
      <c r="C906" s="2"/>
      <c r="D906" s="2"/>
      <c r="E906" s="2"/>
      <c r="Q906" s="2"/>
    </row>
    <row r="907" ht="12.75" customHeight="1">
      <c r="A907" s="2"/>
      <c r="C907" s="2"/>
      <c r="D907" s="2"/>
      <c r="E907" s="2"/>
      <c r="Q907" s="2"/>
    </row>
    <row r="908" ht="12.75" customHeight="1">
      <c r="A908" s="2"/>
      <c r="C908" s="2"/>
      <c r="D908" s="2"/>
      <c r="E908" s="2"/>
      <c r="Q908" s="2"/>
    </row>
    <row r="909" ht="12.75" customHeight="1">
      <c r="A909" s="2"/>
      <c r="C909" s="2"/>
      <c r="D909" s="2"/>
      <c r="E909" s="2"/>
      <c r="Q909" s="2"/>
    </row>
    <row r="910" ht="12.75" customHeight="1">
      <c r="A910" s="2"/>
      <c r="C910" s="2"/>
      <c r="D910" s="2"/>
      <c r="E910" s="2"/>
      <c r="Q910" s="2"/>
    </row>
    <row r="911" ht="12.75" customHeight="1">
      <c r="A911" s="2"/>
      <c r="C911" s="2"/>
      <c r="D911" s="2"/>
      <c r="E911" s="2"/>
      <c r="Q911" s="2"/>
    </row>
    <row r="912" ht="12.75" customHeight="1">
      <c r="A912" s="2"/>
      <c r="C912" s="2"/>
      <c r="D912" s="2"/>
      <c r="E912" s="2"/>
      <c r="Q912" s="2"/>
    </row>
    <row r="913" ht="12.75" customHeight="1">
      <c r="A913" s="2"/>
      <c r="C913" s="2"/>
      <c r="D913" s="2"/>
      <c r="E913" s="2"/>
      <c r="Q913" s="2"/>
    </row>
    <row r="914" ht="12.75" customHeight="1">
      <c r="A914" s="2"/>
      <c r="C914" s="2"/>
      <c r="D914" s="2"/>
      <c r="E914" s="2"/>
      <c r="Q914" s="2"/>
    </row>
    <row r="915" ht="12.75" customHeight="1">
      <c r="A915" s="2"/>
      <c r="C915" s="2"/>
      <c r="D915" s="2"/>
      <c r="E915" s="2"/>
      <c r="Q915" s="2"/>
    </row>
    <row r="916" ht="12.75" customHeight="1">
      <c r="A916" s="2"/>
      <c r="C916" s="2"/>
      <c r="D916" s="2"/>
      <c r="E916" s="2"/>
      <c r="Q916" s="2"/>
    </row>
    <row r="917" ht="12.75" customHeight="1">
      <c r="A917" s="2"/>
      <c r="C917" s="2"/>
      <c r="D917" s="2"/>
      <c r="E917" s="2"/>
      <c r="Q917" s="2"/>
    </row>
    <row r="918" ht="12.75" customHeight="1">
      <c r="A918" s="2"/>
      <c r="C918" s="2"/>
      <c r="D918" s="2"/>
      <c r="E918" s="2"/>
      <c r="Q918" s="2"/>
    </row>
    <row r="919" ht="12.75" customHeight="1">
      <c r="A919" s="2"/>
      <c r="C919" s="2"/>
      <c r="D919" s="2"/>
      <c r="E919" s="2"/>
      <c r="Q919" s="2"/>
    </row>
    <row r="920" ht="12.75" customHeight="1">
      <c r="A920" s="2"/>
      <c r="C920" s="2"/>
      <c r="D920" s="2"/>
      <c r="E920" s="2"/>
      <c r="Q920" s="2"/>
    </row>
    <row r="921" ht="12.75" customHeight="1">
      <c r="A921" s="2"/>
      <c r="C921" s="2"/>
      <c r="D921" s="2"/>
      <c r="E921" s="2"/>
      <c r="Q921" s="2"/>
    </row>
    <row r="922" ht="12.75" customHeight="1">
      <c r="A922" s="2"/>
      <c r="C922" s="2"/>
      <c r="D922" s="2"/>
      <c r="E922" s="2"/>
      <c r="Q922" s="2"/>
    </row>
    <row r="923" ht="12.75" customHeight="1">
      <c r="A923" s="2"/>
      <c r="C923" s="2"/>
      <c r="D923" s="2"/>
      <c r="E923" s="2"/>
      <c r="Q923" s="2"/>
    </row>
    <row r="924" ht="12.75" customHeight="1">
      <c r="A924" s="2"/>
      <c r="C924" s="2"/>
      <c r="D924" s="2"/>
      <c r="E924" s="2"/>
      <c r="Q924" s="2"/>
    </row>
    <row r="925" ht="12.75" customHeight="1">
      <c r="A925" s="2"/>
      <c r="C925" s="2"/>
      <c r="D925" s="2"/>
      <c r="E925" s="2"/>
      <c r="Q925" s="2"/>
    </row>
    <row r="926" ht="12.75" customHeight="1">
      <c r="A926" s="2"/>
      <c r="C926" s="2"/>
      <c r="D926" s="2"/>
      <c r="E926" s="2"/>
      <c r="Q926" s="2"/>
    </row>
    <row r="927" ht="12.75" customHeight="1">
      <c r="A927" s="2"/>
      <c r="C927" s="2"/>
      <c r="D927" s="2"/>
      <c r="E927" s="2"/>
      <c r="Q927" s="2"/>
    </row>
    <row r="928" ht="12.75" customHeight="1">
      <c r="A928" s="2"/>
      <c r="C928" s="2"/>
      <c r="D928" s="2"/>
      <c r="E928" s="2"/>
      <c r="Q928" s="2"/>
    </row>
    <row r="929" ht="12.75" customHeight="1">
      <c r="A929" s="2"/>
      <c r="C929" s="2"/>
      <c r="D929" s="2"/>
      <c r="E929" s="2"/>
      <c r="Q929" s="2"/>
    </row>
    <row r="930" ht="12.75" customHeight="1">
      <c r="A930" s="2"/>
      <c r="C930" s="2"/>
      <c r="D930" s="2"/>
      <c r="E930" s="2"/>
      <c r="Q930" s="2"/>
    </row>
    <row r="931" ht="12.75" customHeight="1">
      <c r="A931" s="2"/>
      <c r="C931" s="2"/>
      <c r="D931" s="2"/>
      <c r="E931" s="2"/>
      <c r="Q931" s="2"/>
    </row>
    <row r="932" ht="12.75" customHeight="1">
      <c r="A932" s="2"/>
      <c r="C932" s="2"/>
      <c r="D932" s="2"/>
      <c r="E932" s="2"/>
      <c r="Q932" s="2"/>
    </row>
    <row r="933" ht="12.75" customHeight="1">
      <c r="A933" s="2"/>
      <c r="C933" s="2"/>
      <c r="D933" s="2"/>
      <c r="E933" s="2"/>
      <c r="Q933" s="2"/>
    </row>
    <row r="934" ht="12.75" customHeight="1">
      <c r="A934" s="2"/>
      <c r="C934" s="2"/>
      <c r="D934" s="2"/>
      <c r="E934" s="2"/>
      <c r="Q934" s="2"/>
    </row>
    <row r="935" ht="12.75" customHeight="1">
      <c r="A935" s="2"/>
      <c r="C935" s="2"/>
      <c r="D935" s="2"/>
      <c r="E935" s="2"/>
      <c r="Q935" s="2"/>
    </row>
    <row r="936" ht="12.75" customHeight="1">
      <c r="A936" s="2"/>
      <c r="C936" s="2"/>
      <c r="D936" s="2"/>
      <c r="E936" s="2"/>
      <c r="Q936" s="2"/>
    </row>
    <row r="937" ht="12.75" customHeight="1">
      <c r="A937" s="2"/>
      <c r="C937" s="2"/>
      <c r="D937" s="2"/>
      <c r="E937" s="2"/>
      <c r="Q937" s="2"/>
    </row>
    <row r="938" ht="12.75" customHeight="1">
      <c r="A938" s="2"/>
      <c r="C938" s="2"/>
      <c r="D938" s="2"/>
      <c r="E938" s="2"/>
      <c r="Q938" s="2"/>
    </row>
    <row r="939" ht="12.75" customHeight="1">
      <c r="A939" s="2"/>
      <c r="C939" s="2"/>
      <c r="D939" s="2"/>
      <c r="E939" s="2"/>
      <c r="Q939" s="2"/>
    </row>
    <row r="940" ht="12.75" customHeight="1">
      <c r="A940" s="2"/>
      <c r="C940" s="2"/>
      <c r="D940" s="2"/>
      <c r="E940" s="2"/>
      <c r="Q940" s="2"/>
    </row>
    <row r="941" ht="12.75" customHeight="1">
      <c r="A941" s="2"/>
      <c r="C941" s="2"/>
      <c r="D941" s="2"/>
      <c r="E941" s="2"/>
      <c r="Q941" s="2"/>
    </row>
    <row r="942" ht="12.75" customHeight="1">
      <c r="A942" s="2"/>
      <c r="C942" s="2"/>
      <c r="D942" s="2"/>
      <c r="E942" s="2"/>
      <c r="Q942" s="2"/>
    </row>
    <row r="943" ht="12.75" customHeight="1">
      <c r="A943" s="2"/>
      <c r="C943" s="2"/>
      <c r="D943" s="2"/>
      <c r="E943" s="2"/>
      <c r="Q943" s="2"/>
    </row>
    <row r="944" ht="12.75" customHeight="1">
      <c r="A944" s="2"/>
      <c r="C944" s="2"/>
      <c r="D944" s="2"/>
      <c r="E944" s="2"/>
      <c r="Q944" s="2"/>
    </row>
    <row r="945" ht="12.75" customHeight="1">
      <c r="A945" s="2"/>
      <c r="C945" s="2"/>
      <c r="D945" s="2"/>
      <c r="E945" s="2"/>
      <c r="Q945" s="2"/>
    </row>
    <row r="946" ht="12.75" customHeight="1">
      <c r="A946" s="2"/>
      <c r="C946" s="2"/>
      <c r="D946" s="2"/>
      <c r="E946" s="2"/>
      <c r="Q946" s="2"/>
    </row>
    <row r="947" ht="12.75" customHeight="1">
      <c r="A947" s="2"/>
      <c r="C947" s="2"/>
      <c r="D947" s="2"/>
      <c r="E947" s="2"/>
      <c r="Q947" s="2"/>
    </row>
    <row r="948" ht="12.75" customHeight="1">
      <c r="A948" s="2"/>
      <c r="C948" s="2"/>
      <c r="D948" s="2"/>
      <c r="E948" s="2"/>
      <c r="Q948" s="2"/>
    </row>
    <row r="949" ht="12.75" customHeight="1">
      <c r="A949" s="2"/>
      <c r="C949" s="2"/>
      <c r="D949" s="2"/>
      <c r="E949" s="2"/>
      <c r="Q949" s="2"/>
    </row>
    <row r="950" ht="12.75" customHeight="1">
      <c r="A950" s="2"/>
      <c r="C950" s="2"/>
      <c r="D950" s="2"/>
      <c r="E950" s="2"/>
      <c r="Q950" s="2"/>
    </row>
    <row r="951" ht="12.75" customHeight="1">
      <c r="A951" s="2"/>
      <c r="C951" s="2"/>
      <c r="D951" s="2"/>
      <c r="E951" s="2"/>
      <c r="Q951" s="2"/>
    </row>
    <row r="952" ht="12.75" customHeight="1">
      <c r="A952" s="2"/>
      <c r="C952" s="2"/>
      <c r="D952" s="2"/>
      <c r="E952" s="2"/>
      <c r="Q952" s="2"/>
    </row>
    <row r="953" ht="12.75" customHeight="1">
      <c r="A953" s="2"/>
      <c r="C953" s="2"/>
      <c r="D953" s="2"/>
      <c r="E953" s="2"/>
      <c r="Q953" s="2"/>
    </row>
    <row r="954" ht="12.75" customHeight="1">
      <c r="A954" s="2"/>
      <c r="C954" s="2"/>
      <c r="D954" s="2"/>
      <c r="E954" s="2"/>
      <c r="Q954" s="2"/>
    </row>
    <row r="955" ht="12.75" customHeight="1">
      <c r="A955" s="2"/>
      <c r="C955" s="2"/>
      <c r="D955" s="2"/>
      <c r="E955" s="2"/>
      <c r="Q955" s="2"/>
    </row>
    <row r="956" ht="12.75" customHeight="1">
      <c r="A956" s="2"/>
      <c r="C956" s="2"/>
      <c r="D956" s="2"/>
      <c r="E956" s="2"/>
      <c r="Q956" s="2"/>
    </row>
    <row r="957" ht="12.75" customHeight="1">
      <c r="A957" s="2"/>
      <c r="C957" s="2"/>
      <c r="D957" s="2"/>
      <c r="E957" s="2"/>
      <c r="Q957" s="2"/>
    </row>
    <row r="958" ht="12.75" customHeight="1">
      <c r="A958" s="2"/>
      <c r="C958" s="2"/>
      <c r="D958" s="2"/>
      <c r="E958" s="2"/>
      <c r="Q958" s="2"/>
    </row>
    <row r="959" ht="12.75" customHeight="1">
      <c r="A959" s="2"/>
      <c r="C959" s="2"/>
      <c r="D959" s="2"/>
      <c r="E959" s="2"/>
      <c r="Q959" s="2"/>
    </row>
    <row r="960" ht="12.75" customHeight="1">
      <c r="A960" s="2"/>
      <c r="C960" s="2"/>
      <c r="D960" s="2"/>
      <c r="E960" s="2"/>
      <c r="Q960" s="2"/>
    </row>
    <row r="961" ht="12.75" customHeight="1">
      <c r="A961" s="2"/>
      <c r="C961" s="2"/>
      <c r="D961" s="2"/>
      <c r="E961" s="2"/>
      <c r="Q961" s="2"/>
    </row>
    <row r="962" ht="12.75" customHeight="1">
      <c r="A962" s="2"/>
      <c r="C962" s="2"/>
      <c r="D962" s="2"/>
      <c r="E962" s="2"/>
      <c r="Q962" s="2"/>
    </row>
    <row r="963" ht="12.75" customHeight="1">
      <c r="A963" s="2"/>
      <c r="C963" s="2"/>
      <c r="D963" s="2"/>
      <c r="E963" s="2"/>
      <c r="Q963" s="2"/>
    </row>
    <row r="964" ht="12.75" customHeight="1">
      <c r="A964" s="2"/>
      <c r="C964" s="2"/>
      <c r="D964" s="2"/>
      <c r="E964" s="2"/>
      <c r="Q964" s="2"/>
    </row>
    <row r="965" ht="12.75" customHeight="1">
      <c r="A965" s="2"/>
      <c r="C965" s="2"/>
      <c r="D965" s="2"/>
      <c r="E965" s="2"/>
      <c r="Q965" s="2"/>
    </row>
    <row r="966" ht="12.75" customHeight="1">
      <c r="A966" s="2"/>
      <c r="C966" s="2"/>
      <c r="D966" s="2"/>
      <c r="E966" s="2"/>
      <c r="Q966" s="2"/>
    </row>
    <row r="967" ht="12.75" customHeight="1">
      <c r="A967" s="2"/>
      <c r="C967" s="2"/>
      <c r="D967" s="2"/>
      <c r="E967" s="2"/>
      <c r="Q967" s="2"/>
    </row>
    <row r="968" ht="12.75" customHeight="1">
      <c r="A968" s="2"/>
      <c r="C968" s="2"/>
      <c r="D968" s="2"/>
      <c r="E968" s="2"/>
      <c r="Q968" s="2"/>
    </row>
    <row r="969" ht="12.75" customHeight="1">
      <c r="A969" s="2"/>
      <c r="C969" s="2"/>
      <c r="D969" s="2"/>
      <c r="E969" s="2"/>
      <c r="Q969" s="2"/>
    </row>
    <row r="970" ht="12.75" customHeight="1">
      <c r="A970" s="2"/>
      <c r="C970" s="2"/>
      <c r="D970" s="2"/>
      <c r="E970" s="2"/>
      <c r="Q970" s="2"/>
    </row>
    <row r="971" ht="12.75" customHeight="1">
      <c r="A971" s="2"/>
      <c r="C971" s="2"/>
      <c r="D971" s="2"/>
      <c r="E971" s="2"/>
      <c r="Q971" s="2"/>
    </row>
    <row r="972" ht="12.75" customHeight="1">
      <c r="A972" s="2"/>
      <c r="C972" s="2"/>
      <c r="D972" s="2"/>
      <c r="E972" s="2"/>
      <c r="Q972" s="2"/>
    </row>
    <row r="973" ht="12.75" customHeight="1">
      <c r="A973" s="2"/>
      <c r="C973" s="2"/>
      <c r="D973" s="2"/>
      <c r="E973" s="2"/>
      <c r="Q973" s="2"/>
    </row>
    <row r="974" ht="12.75" customHeight="1">
      <c r="A974" s="2"/>
      <c r="C974" s="2"/>
      <c r="D974" s="2"/>
      <c r="E974" s="2"/>
      <c r="Q974" s="2"/>
    </row>
    <row r="975" ht="12.75" customHeight="1">
      <c r="A975" s="2"/>
      <c r="C975" s="2"/>
      <c r="D975" s="2"/>
      <c r="E975" s="2"/>
      <c r="Q975" s="2"/>
    </row>
    <row r="976" ht="12.75" customHeight="1">
      <c r="A976" s="2"/>
      <c r="C976" s="2"/>
      <c r="D976" s="2"/>
      <c r="E976" s="2"/>
      <c r="Q976" s="2"/>
    </row>
    <row r="977" ht="12.75" customHeight="1">
      <c r="A977" s="2"/>
      <c r="C977" s="2"/>
      <c r="D977" s="2"/>
      <c r="E977" s="2"/>
      <c r="Q977" s="2"/>
    </row>
    <row r="978" ht="12.75" customHeight="1">
      <c r="A978" s="2"/>
      <c r="C978" s="2"/>
      <c r="D978" s="2"/>
      <c r="E978" s="2"/>
      <c r="Q978" s="2"/>
    </row>
    <row r="979" ht="12.75" customHeight="1">
      <c r="A979" s="2"/>
      <c r="C979" s="2"/>
      <c r="D979" s="2"/>
      <c r="E979" s="2"/>
      <c r="Q979" s="2"/>
    </row>
    <row r="980" ht="12.75" customHeight="1">
      <c r="A980" s="2"/>
      <c r="C980" s="2"/>
      <c r="D980" s="2"/>
      <c r="E980" s="2"/>
      <c r="Q980" s="2"/>
    </row>
    <row r="981" ht="12.75" customHeight="1">
      <c r="A981" s="2"/>
      <c r="C981" s="2"/>
      <c r="D981" s="2"/>
      <c r="E981" s="2"/>
      <c r="Q981" s="2"/>
    </row>
    <row r="982" ht="12.75" customHeight="1">
      <c r="A982" s="2"/>
      <c r="C982" s="2"/>
      <c r="D982" s="2"/>
      <c r="E982" s="2"/>
      <c r="Q982" s="2"/>
    </row>
    <row r="983" ht="12.75" customHeight="1">
      <c r="A983" s="2"/>
      <c r="C983" s="2"/>
      <c r="D983" s="2"/>
      <c r="E983" s="2"/>
      <c r="Q983" s="2"/>
    </row>
    <row r="984" ht="12.75" customHeight="1">
      <c r="A984" s="2"/>
      <c r="C984" s="2"/>
      <c r="D984" s="2"/>
      <c r="E984" s="2"/>
      <c r="Q984" s="2"/>
    </row>
    <row r="985" ht="12.75" customHeight="1">
      <c r="A985" s="2"/>
      <c r="C985" s="2"/>
      <c r="D985" s="2"/>
      <c r="E985" s="2"/>
      <c r="Q985" s="2"/>
    </row>
    <row r="986" ht="12.75" customHeight="1">
      <c r="A986" s="2"/>
      <c r="C986" s="2"/>
      <c r="D986" s="2"/>
      <c r="E986" s="2"/>
      <c r="Q986" s="2"/>
    </row>
    <row r="987" ht="12.75" customHeight="1">
      <c r="A987" s="2"/>
      <c r="C987" s="2"/>
      <c r="D987" s="2"/>
      <c r="E987" s="2"/>
      <c r="Q987" s="2"/>
    </row>
    <row r="988" ht="12.75" customHeight="1">
      <c r="A988" s="2"/>
      <c r="C988" s="2"/>
      <c r="D988" s="2"/>
      <c r="E988" s="2"/>
      <c r="Q988" s="2"/>
    </row>
    <row r="989" ht="12.75" customHeight="1">
      <c r="A989" s="2"/>
      <c r="C989" s="2"/>
      <c r="D989" s="2"/>
      <c r="E989" s="2"/>
      <c r="Q989" s="2"/>
    </row>
    <row r="990" ht="12.75" customHeight="1">
      <c r="A990" s="2"/>
      <c r="C990" s="2"/>
      <c r="D990" s="2"/>
      <c r="E990" s="2"/>
      <c r="Q990" s="2"/>
    </row>
    <row r="991" ht="12.75" customHeight="1">
      <c r="A991" s="2"/>
      <c r="C991" s="2"/>
      <c r="D991" s="2"/>
      <c r="E991" s="2"/>
      <c r="Q991" s="2"/>
    </row>
    <row r="992" ht="12.75" customHeight="1">
      <c r="A992" s="2"/>
      <c r="C992" s="2"/>
      <c r="D992" s="2"/>
      <c r="E992" s="2"/>
      <c r="Q992" s="2"/>
    </row>
    <row r="993" ht="12.75" customHeight="1">
      <c r="A993" s="2"/>
      <c r="C993" s="2"/>
      <c r="D993" s="2"/>
      <c r="E993" s="2"/>
      <c r="Q993" s="2"/>
    </row>
    <row r="994" ht="12.75" customHeight="1">
      <c r="A994" s="2"/>
      <c r="C994" s="2"/>
      <c r="D994" s="2"/>
      <c r="E994" s="2"/>
      <c r="Q994" s="2"/>
    </row>
    <row r="995" ht="12.75" customHeight="1">
      <c r="A995" s="2"/>
      <c r="C995" s="2"/>
      <c r="D995" s="2"/>
      <c r="E995" s="2"/>
      <c r="Q995" s="2"/>
    </row>
    <row r="996" ht="12.75" customHeight="1">
      <c r="A996" s="2"/>
      <c r="C996" s="2"/>
      <c r="D996" s="2"/>
      <c r="E996" s="2"/>
      <c r="Q996" s="2"/>
    </row>
    <row r="997" ht="12.75" customHeight="1">
      <c r="A997" s="2"/>
      <c r="C997" s="2"/>
      <c r="D997" s="2"/>
      <c r="E997" s="2"/>
      <c r="Q997" s="2"/>
    </row>
    <row r="998" ht="12.75" customHeight="1">
      <c r="A998" s="2"/>
      <c r="C998" s="2"/>
      <c r="D998" s="2"/>
      <c r="E998" s="2"/>
      <c r="Q998" s="2"/>
    </row>
    <row r="999" ht="12.75" customHeight="1">
      <c r="A999" s="2"/>
      <c r="C999" s="2"/>
      <c r="D999" s="2"/>
      <c r="E999" s="2"/>
      <c r="Q999" s="2"/>
    </row>
    <row r="1000" ht="12.75" customHeight="1">
      <c r="A1000" s="2"/>
      <c r="C1000" s="2"/>
      <c r="D1000" s="2"/>
      <c r="E1000" s="2"/>
      <c r="Q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2" width="8.0"/>
    <col customWidth="1" min="3" max="3" width="19.86"/>
    <col customWidth="1" min="4" max="4" width="10.0"/>
    <col customWidth="1" min="5" max="5" width="11.0"/>
    <col customWidth="1" min="6" max="26" width="8.0"/>
  </cols>
  <sheetData>
    <row r="1" ht="12.75" customHeight="1">
      <c r="A1" s="2">
        <v>1.0</v>
      </c>
      <c r="B1" s="2">
        <v>1.0</v>
      </c>
      <c r="C1" s="2"/>
      <c r="D1" s="2"/>
      <c r="E1" s="2"/>
    </row>
    <row r="2" ht="12.75" customHeight="1">
      <c r="C2" s="2"/>
      <c r="D2" s="2"/>
      <c r="E2" s="2"/>
    </row>
    <row r="3" ht="12.75" hidden="1" customHeight="1">
      <c r="A3" s="2" t="str">
        <f>IF(VLOOKUP(E3,Sheet4!$A$585:$B$786,2,0)=0,1, )</f>
        <v>1</v>
      </c>
      <c r="B3" s="2" t="str">
        <f t="shared" ref="B3:B1127" si="1">IF(COUNTIF($C$2:$C3,C3)=1,1, )</f>
        <v>1</v>
      </c>
      <c r="C3" s="2" t="str">
        <f t="shared" ref="C3:C1127" si="2">E3&amp;"-"&amp;F3</f>
        <v>1400003006-997</v>
      </c>
      <c r="D3" s="2">
        <v>3.20081024E8</v>
      </c>
      <c r="E3" s="2">
        <v>1.400003006E9</v>
      </c>
      <c r="F3" s="2">
        <v>997.0</v>
      </c>
      <c r="G3" s="2">
        <v>3.0</v>
      </c>
      <c r="H3" s="2">
        <v>446250.0</v>
      </c>
      <c r="I3" s="2">
        <v>1785000.0</v>
      </c>
      <c r="J3" s="2">
        <v>1.0</v>
      </c>
      <c r="K3" s="2">
        <v>7.0</v>
      </c>
      <c r="O3" s="2" t="s">
        <v>165</v>
      </c>
      <c r="P3" s="2" t="s">
        <v>166</v>
      </c>
      <c r="R3" s="2" t="s">
        <v>167</v>
      </c>
      <c r="S3" s="11">
        <v>42219.665289351855</v>
      </c>
    </row>
    <row r="4" ht="12.75" hidden="1" customHeight="1">
      <c r="A4" s="2" t="str">
        <f>IF(VLOOKUP(E4,Sheet4!$A$585:$B$786,2,0)=0,1, )</f>
        <v>1</v>
      </c>
      <c r="B4" s="2" t="str">
        <f t="shared" si="1"/>
        <v/>
      </c>
      <c r="C4" s="2" t="str">
        <f t="shared" si="2"/>
        <v>1400003006-997</v>
      </c>
      <c r="D4" s="2">
        <v>3.20081025E8</v>
      </c>
      <c r="E4" s="2">
        <v>1.400003006E9</v>
      </c>
      <c r="F4" s="2">
        <v>997.0</v>
      </c>
      <c r="G4" s="2">
        <v>3.0</v>
      </c>
      <c r="H4" s="2">
        <v>446250.0</v>
      </c>
      <c r="I4" s="2">
        <v>1785000.0</v>
      </c>
      <c r="J4" s="2">
        <v>1.0</v>
      </c>
      <c r="K4" s="2">
        <v>7.0</v>
      </c>
      <c r="O4" s="2" t="s">
        <v>165</v>
      </c>
      <c r="P4" s="2" t="s">
        <v>166</v>
      </c>
      <c r="R4" s="2" t="s">
        <v>167</v>
      </c>
      <c r="S4" s="11">
        <v>42219.665289351855</v>
      </c>
    </row>
    <row r="5" ht="12.75" hidden="1" customHeight="1">
      <c r="A5" s="2" t="str">
        <f>IF(VLOOKUP(E5,Sheet4!$A$585:$B$786,2,0)=0,1, )</f>
        <v>1</v>
      </c>
      <c r="B5" s="2" t="str">
        <f t="shared" si="1"/>
        <v>1</v>
      </c>
      <c r="C5" s="2" t="str">
        <f t="shared" si="2"/>
        <v>1400003006-5399</v>
      </c>
      <c r="D5" s="2">
        <v>3.2008102E8</v>
      </c>
      <c r="E5" s="2">
        <v>1.400003006E9</v>
      </c>
      <c r="F5" s="2">
        <v>5399.0</v>
      </c>
      <c r="G5" s="2">
        <v>2.0</v>
      </c>
      <c r="H5" s="2">
        <v>167500.0</v>
      </c>
      <c r="I5" s="2">
        <v>670000.0</v>
      </c>
      <c r="J5" s="2">
        <v>1.0</v>
      </c>
      <c r="K5" s="2">
        <v>7.0</v>
      </c>
      <c r="O5" s="2" t="s">
        <v>169</v>
      </c>
      <c r="P5" s="2" t="s">
        <v>166</v>
      </c>
      <c r="R5" s="2" t="s">
        <v>167</v>
      </c>
      <c r="S5" s="11">
        <v>42219.665289351855</v>
      </c>
    </row>
    <row r="6" ht="12.75" hidden="1" customHeight="1">
      <c r="A6" s="2" t="str">
        <f>IF(VLOOKUP(E6,Sheet4!$A$585:$B$786,2,0)=0,1, )</f>
        <v>1</v>
      </c>
      <c r="B6" s="2" t="str">
        <f t="shared" si="1"/>
        <v/>
      </c>
      <c r="C6" s="2" t="str">
        <f t="shared" si="2"/>
        <v>1400003006-5399</v>
      </c>
      <c r="D6" s="2">
        <v>3.20081021E8</v>
      </c>
      <c r="E6" s="2">
        <v>1.400003006E9</v>
      </c>
      <c r="F6" s="2">
        <v>5399.0</v>
      </c>
      <c r="G6" s="2">
        <v>2.0</v>
      </c>
      <c r="H6" s="2">
        <v>167500.0</v>
      </c>
      <c r="I6" s="2">
        <v>670000.0</v>
      </c>
      <c r="J6" s="2">
        <v>1.0</v>
      </c>
      <c r="K6" s="2">
        <v>7.0</v>
      </c>
      <c r="O6" s="2" t="s">
        <v>169</v>
      </c>
      <c r="P6" s="2" t="s">
        <v>166</v>
      </c>
      <c r="R6" s="2" t="s">
        <v>167</v>
      </c>
      <c r="S6" s="11">
        <v>42219.665289351855</v>
      </c>
    </row>
    <row r="7" ht="12.75" hidden="1" customHeight="1">
      <c r="A7" s="2" t="str">
        <f>IF(VLOOKUP(E7,Sheet4!$A$585:$B$786,2,0)=0,1, )</f>
        <v>1</v>
      </c>
      <c r="B7" s="2" t="str">
        <f t="shared" si="1"/>
        <v>1</v>
      </c>
      <c r="C7" s="2" t="str">
        <f t="shared" si="2"/>
        <v>1400003006-7298</v>
      </c>
      <c r="D7" s="2">
        <v>3.20081018E8</v>
      </c>
      <c r="E7" s="2">
        <v>1.400003006E9</v>
      </c>
      <c r="F7" s="2">
        <v>7298.0</v>
      </c>
      <c r="G7" s="2">
        <v>1.0</v>
      </c>
      <c r="H7" s="2">
        <v>105000.0</v>
      </c>
      <c r="I7" s="2">
        <v>420000.0</v>
      </c>
      <c r="J7" s="2">
        <v>1.0</v>
      </c>
      <c r="K7" s="2">
        <v>7.0</v>
      </c>
      <c r="O7" s="2" t="s">
        <v>171</v>
      </c>
      <c r="P7" s="2" t="s">
        <v>166</v>
      </c>
      <c r="R7" s="2" t="s">
        <v>167</v>
      </c>
      <c r="S7" s="11">
        <v>42219.665289351855</v>
      </c>
    </row>
    <row r="8" ht="12.75" hidden="1" customHeight="1">
      <c r="A8" s="2" t="str">
        <f>IF(VLOOKUP(E8,Sheet4!$A$585:$B$786,2,0)=0,1, )</f>
        <v>1</v>
      </c>
      <c r="B8" s="2" t="str">
        <f t="shared" si="1"/>
        <v/>
      </c>
      <c r="C8" s="2" t="str">
        <f t="shared" si="2"/>
        <v>1400003006-7298</v>
      </c>
      <c r="D8" s="2">
        <v>3.20081019E8</v>
      </c>
      <c r="E8" s="2">
        <v>1.400003006E9</v>
      </c>
      <c r="F8" s="2">
        <v>7298.0</v>
      </c>
      <c r="G8" s="2">
        <v>1.0</v>
      </c>
      <c r="H8" s="2">
        <v>105000.0</v>
      </c>
      <c r="I8" s="2">
        <v>420000.0</v>
      </c>
      <c r="J8" s="2">
        <v>1.0</v>
      </c>
      <c r="K8" s="2">
        <v>7.0</v>
      </c>
      <c r="O8" s="2" t="s">
        <v>171</v>
      </c>
      <c r="P8" s="2" t="s">
        <v>166</v>
      </c>
      <c r="R8" s="2" t="s">
        <v>167</v>
      </c>
      <c r="S8" s="11">
        <v>42219.665289351855</v>
      </c>
    </row>
    <row r="9" ht="12.75" hidden="1" customHeight="1">
      <c r="A9" s="2" t="str">
        <f>IF(VLOOKUP(E9,Sheet4!$A$585:$B$786,2,0)=0,1, )</f>
        <v>1</v>
      </c>
      <c r="B9" s="2" t="str">
        <f t="shared" si="1"/>
        <v>1</v>
      </c>
      <c r="C9" s="2" t="str">
        <f t="shared" si="2"/>
        <v>1400003006-7358</v>
      </c>
      <c r="D9" s="2">
        <v>3.20081008E8</v>
      </c>
      <c r="E9" s="2">
        <v>1.400003006E9</v>
      </c>
      <c r="F9" s="2">
        <v>7358.0</v>
      </c>
      <c r="G9" s="2">
        <v>2.0</v>
      </c>
      <c r="H9" s="2">
        <v>210000.0</v>
      </c>
      <c r="I9" s="2">
        <v>840000.0</v>
      </c>
      <c r="J9" s="2">
        <v>1.0</v>
      </c>
      <c r="K9" s="2">
        <v>7.0</v>
      </c>
      <c r="O9" s="2" t="s">
        <v>173</v>
      </c>
      <c r="P9" s="2" t="s">
        <v>166</v>
      </c>
      <c r="R9" s="2" t="s">
        <v>167</v>
      </c>
      <c r="S9" s="11">
        <v>42219.665289351855</v>
      </c>
    </row>
    <row r="10" ht="12.75" hidden="1" customHeight="1">
      <c r="A10" s="2" t="str">
        <f>IF(VLOOKUP(E10,Sheet4!$A$585:$B$786,2,0)=0,1, )</f>
        <v>1</v>
      </c>
      <c r="B10" s="2" t="str">
        <f t="shared" si="1"/>
        <v/>
      </c>
      <c r="C10" s="2" t="str">
        <f t="shared" si="2"/>
        <v>1400003006-7358</v>
      </c>
      <c r="D10" s="2">
        <v>3.20081009E8</v>
      </c>
      <c r="E10" s="2">
        <v>1.400003006E9</v>
      </c>
      <c r="F10" s="2">
        <v>7358.0</v>
      </c>
      <c r="G10" s="2">
        <v>2.0</v>
      </c>
      <c r="H10" s="2">
        <v>210000.0</v>
      </c>
      <c r="I10" s="2">
        <v>840000.0</v>
      </c>
      <c r="J10" s="2">
        <v>1.0</v>
      </c>
      <c r="K10" s="2">
        <v>7.0</v>
      </c>
      <c r="O10" s="2" t="s">
        <v>173</v>
      </c>
      <c r="P10" s="2" t="s">
        <v>166</v>
      </c>
      <c r="R10" s="2" t="s">
        <v>167</v>
      </c>
      <c r="S10" s="11">
        <v>42219.665289351855</v>
      </c>
    </row>
    <row r="11" ht="12.75" hidden="1" customHeight="1">
      <c r="A11" s="2" t="str">
        <f>IF(VLOOKUP(E11,Sheet4!$A$585:$B$786,2,0)=0,1, )</f>
        <v>1</v>
      </c>
      <c r="B11" s="2" t="str">
        <f t="shared" si="1"/>
        <v>1</v>
      </c>
      <c r="C11" s="2" t="str">
        <f t="shared" si="2"/>
        <v>1400003006-7422</v>
      </c>
      <c r="D11" s="2">
        <v>3.20081016E8</v>
      </c>
      <c r="E11" s="2">
        <v>1.400003006E9</v>
      </c>
      <c r="F11" s="2">
        <v>7422.0</v>
      </c>
      <c r="G11" s="2">
        <v>1.0</v>
      </c>
      <c r="H11" s="2">
        <v>96500.0</v>
      </c>
      <c r="I11" s="2">
        <v>386000.0</v>
      </c>
      <c r="J11" s="2">
        <v>1.0</v>
      </c>
      <c r="K11" s="2">
        <v>7.0</v>
      </c>
      <c r="O11" s="2" t="s">
        <v>175</v>
      </c>
      <c r="P11" s="2" t="s">
        <v>166</v>
      </c>
      <c r="R11" s="2" t="s">
        <v>167</v>
      </c>
      <c r="S11" s="11">
        <v>42219.665289351855</v>
      </c>
    </row>
    <row r="12" ht="12.75" hidden="1" customHeight="1">
      <c r="A12" s="2" t="str">
        <f>IF(VLOOKUP(E12,Sheet4!$A$585:$B$786,2,0)=0,1, )</f>
        <v>1</v>
      </c>
      <c r="B12" s="2" t="str">
        <f t="shared" si="1"/>
        <v/>
      </c>
      <c r="C12" s="2" t="str">
        <f t="shared" si="2"/>
        <v>1400003006-7422</v>
      </c>
      <c r="D12" s="2">
        <v>3.20081017E8</v>
      </c>
      <c r="E12" s="2">
        <v>1.400003006E9</v>
      </c>
      <c r="F12" s="2">
        <v>7422.0</v>
      </c>
      <c r="G12" s="2">
        <v>1.0</v>
      </c>
      <c r="H12" s="2">
        <v>96500.0</v>
      </c>
      <c r="I12" s="2">
        <v>386000.0</v>
      </c>
      <c r="J12" s="2">
        <v>1.0</v>
      </c>
      <c r="K12" s="2">
        <v>7.0</v>
      </c>
      <c r="O12" s="2" t="s">
        <v>175</v>
      </c>
      <c r="P12" s="2" t="s">
        <v>166</v>
      </c>
      <c r="R12" s="2" t="s">
        <v>167</v>
      </c>
      <c r="S12" s="11">
        <v>42219.665289351855</v>
      </c>
    </row>
    <row r="13" ht="12.75" hidden="1" customHeight="1">
      <c r="A13" s="2" t="str">
        <f>IF(VLOOKUP(E13,Sheet4!$A$585:$B$786,2,0)=0,1, )</f>
        <v>1</v>
      </c>
      <c r="B13" s="2" t="str">
        <f t="shared" si="1"/>
        <v>1</v>
      </c>
      <c r="C13" s="2" t="str">
        <f t="shared" si="2"/>
        <v>1400003006-8015</v>
      </c>
      <c r="D13" s="2">
        <v>3.2008103E8</v>
      </c>
      <c r="E13" s="2">
        <v>1.400003006E9</v>
      </c>
      <c r="F13" s="2">
        <v>8015.0</v>
      </c>
      <c r="G13" s="2">
        <v>1.0</v>
      </c>
      <c r="H13" s="2">
        <v>147500.0</v>
      </c>
      <c r="I13" s="2">
        <v>590000.0</v>
      </c>
      <c r="J13" s="2">
        <v>1.0</v>
      </c>
      <c r="K13" s="2">
        <v>7.0</v>
      </c>
      <c r="O13" s="2" t="s">
        <v>177</v>
      </c>
      <c r="P13" s="2" t="s">
        <v>166</v>
      </c>
      <c r="R13" s="2" t="s">
        <v>167</v>
      </c>
      <c r="S13" s="11">
        <v>42219.665300925924</v>
      </c>
    </row>
    <row r="14" ht="12.75" hidden="1" customHeight="1">
      <c r="A14" s="2" t="str">
        <f>IF(VLOOKUP(E14,Sheet4!$A$585:$B$786,2,0)=0,1, )</f>
        <v>1</v>
      </c>
      <c r="B14" s="2" t="str">
        <f t="shared" si="1"/>
        <v/>
      </c>
      <c r="C14" s="2" t="str">
        <f t="shared" si="2"/>
        <v>1400003006-8015</v>
      </c>
      <c r="D14" s="2">
        <v>3.20081031E8</v>
      </c>
      <c r="E14" s="2">
        <v>1.400003006E9</v>
      </c>
      <c r="F14" s="2">
        <v>8015.0</v>
      </c>
      <c r="G14" s="2">
        <v>1.0</v>
      </c>
      <c r="H14" s="2">
        <v>147500.0</v>
      </c>
      <c r="I14" s="2">
        <v>590000.0</v>
      </c>
      <c r="J14" s="2">
        <v>1.0</v>
      </c>
      <c r="K14" s="2">
        <v>7.0</v>
      </c>
      <c r="O14" s="2" t="s">
        <v>177</v>
      </c>
      <c r="P14" s="2" t="s">
        <v>166</v>
      </c>
      <c r="R14" s="2" t="s">
        <v>167</v>
      </c>
      <c r="S14" s="11">
        <v>42219.665300925924</v>
      </c>
    </row>
    <row r="15" ht="12.75" hidden="1" customHeight="1">
      <c r="A15" s="2" t="str">
        <f>IF(VLOOKUP(E15,Sheet4!$A$585:$B$786,2,0)=0,1, )</f>
        <v>1</v>
      </c>
      <c r="B15" s="2" t="str">
        <f t="shared" si="1"/>
        <v>1</v>
      </c>
      <c r="C15" s="2" t="str">
        <f t="shared" si="2"/>
        <v>1400003006-8077</v>
      </c>
      <c r="D15" s="2">
        <v>3.20081029E8</v>
      </c>
      <c r="E15" s="2">
        <v>1.400003006E9</v>
      </c>
      <c r="F15" s="2">
        <v>8077.0</v>
      </c>
      <c r="G15" s="2">
        <v>1.0</v>
      </c>
      <c r="H15" s="2">
        <v>120000.0</v>
      </c>
      <c r="I15" s="2">
        <v>480000.0</v>
      </c>
      <c r="J15" s="2">
        <v>1.0</v>
      </c>
      <c r="K15" s="2">
        <v>7.0</v>
      </c>
      <c r="O15" s="2" t="s">
        <v>179</v>
      </c>
      <c r="P15" s="2" t="s">
        <v>166</v>
      </c>
      <c r="R15" s="2" t="s">
        <v>167</v>
      </c>
      <c r="S15" s="11">
        <v>42219.665289351855</v>
      </c>
    </row>
    <row r="16" ht="12.75" hidden="1" customHeight="1">
      <c r="A16" s="2" t="str">
        <f>IF(VLOOKUP(E16,Sheet4!$A$585:$B$786,2,0)=0,1, )</f>
        <v>1</v>
      </c>
      <c r="B16" s="2" t="str">
        <f t="shared" si="1"/>
        <v/>
      </c>
      <c r="C16" s="2" t="str">
        <f t="shared" si="2"/>
        <v>1400003006-8077</v>
      </c>
      <c r="D16" s="2">
        <v>3.20081028E8</v>
      </c>
      <c r="E16" s="2">
        <v>1.400003006E9</v>
      </c>
      <c r="F16" s="2">
        <v>8077.0</v>
      </c>
      <c r="G16" s="2">
        <v>1.0</v>
      </c>
      <c r="H16" s="2">
        <v>120000.0</v>
      </c>
      <c r="I16" s="2">
        <v>480000.0</v>
      </c>
      <c r="J16" s="2">
        <v>1.0</v>
      </c>
      <c r="K16" s="2">
        <v>7.0</v>
      </c>
      <c r="O16" s="2" t="s">
        <v>179</v>
      </c>
      <c r="P16" s="2" t="s">
        <v>166</v>
      </c>
      <c r="R16" s="2" t="s">
        <v>167</v>
      </c>
      <c r="S16" s="11">
        <v>42219.665289351855</v>
      </c>
    </row>
    <row r="17" ht="12.75" hidden="1" customHeight="1">
      <c r="A17" s="2" t="str">
        <f>IF(VLOOKUP(E17,Sheet4!$A$585:$B$786,2,0)=0,1, )</f>
        <v>1</v>
      </c>
      <c r="B17" s="2" t="str">
        <f t="shared" si="1"/>
        <v>1</v>
      </c>
      <c r="C17" s="2" t="str">
        <f t="shared" si="2"/>
        <v>1400003006-11862</v>
      </c>
      <c r="D17" s="2">
        <v>3.20080995E8</v>
      </c>
      <c r="E17" s="2">
        <v>1.400003006E9</v>
      </c>
      <c r="F17" s="2">
        <v>11862.0</v>
      </c>
      <c r="G17" s="2">
        <v>2.0</v>
      </c>
      <c r="H17" s="2">
        <v>173800.0</v>
      </c>
      <c r="I17" s="2">
        <v>790000.0</v>
      </c>
      <c r="J17" s="2">
        <v>1.0</v>
      </c>
      <c r="K17" s="2">
        <v>7.0</v>
      </c>
      <c r="O17" s="2" t="s">
        <v>181</v>
      </c>
      <c r="P17" s="2" t="s">
        <v>166</v>
      </c>
      <c r="R17" s="2" t="s">
        <v>167</v>
      </c>
      <c r="S17" s="11">
        <v>42219.665289351855</v>
      </c>
    </row>
    <row r="18" ht="12.75" hidden="1" customHeight="1">
      <c r="A18" s="2" t="str">
        <f>IF(VLOOKUP(E18,Sheet4!$A$585:$B$786,2,0)=0,1, )</f>
        <v>1</v>
      </c>
      <c r="B18" s="2" t="str">
        <f t="shared" si="1"/>
        <v/>
      </c>
      <c r="C18" s="2" t="str">
        <f t="shared" si="2"/>
        <v>1400003006-11862</v>
      </c>
      <c r="D18" s="2">
        <v>3.20080994E8</v>
      </c>
      <c r="E18" s="2">
        <v>1.400003006E9</v>
      </c>
      <c r="F18" s="2">
        <v>11862.0</v>
      </c>
      <c r="G18" s="2">
        <v>2.0</v>
      </c>
      <c r="H18" s="2">
        <v>173800.0</v>
      </c>
      <c r="I18" s="2">
        <v>790000.0</v>
      </c>
      <c r="J18" s="2">
        <v>1.0</v>
      </c>
      <c r="K18" s="2">
        <v>7.0</v>
      </c>
      <c r="O18" s="2" t="s">
        <v>181</v>
      </c>
      <c r="P18" s="2" t="s">
        <v>166</v>
      </c>
      <c r="R18" s="2" t="s">
        <v>167</v>
      </c>
      <c r="S18" s="11">
        <v>42219.665289351855</v>
      </c>
    </row>
    <row r="19" ht="12.75" hidden="1" customHeight="1">
      <c r="A19" s="2" t="str">
        <f>IF(VLOOKUP(E19,Sheet4!$A$585:$B$786,2,0)=0,1, )</f>
        <v>1</v>
      </c>
      <c r="B19" s="2" t="str">
        <f t="shared" si="1"/>
        <v>1</v>
      </c>
      <c r="C19" s="2" t="str">
        <f t="shared" si="2"/>
        <v>1400003006-11883</v>
      </c>
      <c r="D19" s="2">
        <v>3.20080993E8</v>
      </c>
      <c r="E19" s="2">
        <v>1.400003006E9</v>
      </c>
      <c r="F19" s="2">
        <v>11883.0</v>
      </c>
      <c r="G19" s="2">
        <v>3.0</v>
      </c>
      <c r="H19" s="2">
        <v>310200.0</v>
      </c>
      <c r="I19" s="2">
        <v>1410000.0</v>
      </c>
      <c r="J19" s="2">
        <v>1.0</v>
      </c>
      <c r="K19" s="2">
        <v>7.0</v>
      </c>
      <c r="O19" s="2" t="s">
        <v>183</v>
      </c>
      <c r="P19" s="2" t="s">
        <v>166</v>
      </c>
      <c r="R19" s="2" t="s">
        <v>167</v>
      </c>
      <c r="S19" s="11">
        <v>42219.665289351855</v>
      </c>
    </row>
    <row r="20" ht="12.75" hidden="1" customHeight="1">
      <c r="A20" s="2" t="str">
        <f>IF(VLOOKUP(E20,Sheet4!$A$585:$B$786,2,0)=0,1, )</f>
        <v>1</v>
      </c>
      <c r="B20" s="2" t="str">
        <f t="shared" si="1"/>
        <v/>
      </c>
      <c r="C20" s="2" t="str">
        <f t="shared" si="2"/>
        <v>1400003006-11883</v>
      </c>
      <c r="D20" s="2">
        <v>3.20080992E8</v>
      </c>
      <c r="E20" s="2">
        <v>1.400003006E9</v>
      </c>
      <c r="F20" s="2">
        <v>11883.0</v>
      </c>
      <c r="G20" s="2">
        <v>3.0</v>
      </c>
      <c r="H20" s="2">
        <v>310200.0</v>
      </c>
      <c r="I20" s="2">
        <v>1410000.0</v>
      </c>
      <c r="J20" s="2">
        <v>1.0</v>
      </c>
      <c r="K20" s="2">
        <v>7.0</v>
      </c>
      <c r="O20" s="2" t="s">
        <v>183</v>
      </c>
      <c r="P20" s="2" t="s">
        <v>166</v>
      </c>
      <c r="R20" s="2" t="s">
        <v>167</v>
      </c>
      <c r="S20" s="11">
        <v>42219.665289351855</v>
      </c>
    </row>
    <row r="21" ht="12.75" hidden="1" customHeight="1">
      <c r="A21" s="2" t="str">
        <f>IF(VLOOKUP(E21,Sheet4!$A$585:$B$786,2,0)=0,1, )</f>
        <v>1</v>
      </c>
      <c r="B21" s="2" t="str">
        <f t="shared" si="1"/>
        <v>1</v>
      </c>
      <c r="C21" s="2" t="str">
        <f t="shared" si="2"/>
        <v>1400003006-11973</v>
      </c>
      <c r="D21" s="2">
        <v>3.20080991E8</v>
      </c>
      <c r="E21" s="2">
        <v>1.400003006E9</v>
      </c>
      <c r="F21" s="2">
        <v>11973.0</v>
      </c>
      <c r="G21" s="2">
        <v>1.0</v>
      </c>
      <c r="H21" s="2">
        <v>86900.0</v>
      </c>
      <c r="I21" s="2">
        <v>395000.0</v>
      </c>
      <c r="J21" s="2">
        <v>1.0</v>
      </c>
      <c r="K21" s="2">
        <v>7.0</v>
      </c>
      <c r="O21" s="2" t="s">
        <v>185</v>
      </c>
      <c r="P21" s="2" t="s">
        <v>166</v>
      </c>
      <c r="R21" s="2" t="s">
        <v>167</v>
      </c>
      <c r="S21" s="11">
        <v>42219.665289351855</v>
      </c>
    </row>
    <row r="22" ht="12.75" hidden="1" customHeight="1">
      <c r="A22" s="2" t="str">
        <f>IF(VLOOKUP(E22,Sheet4!$A$585:$B$786,2,0)=0,1, )</f>
        <v>1</v>
      </c>
      <c r="B22" s="2" t="str">
        <f t="shared" si="1"/>
        <v/>
      </c>
      <c r="C22" s="2" t="str">
        <f t="shared" si="2"/>
        <v>1400003006-11973</v>
      </c>
      <c r="D22" s="2">
        <v>3.2008099E8</v>
      </c>
      <c r="E22" s="2">
        <v>1.400003006E9</v>
      </c>
      <c r="F22" s="2">
        <v>11973.0</v>
      </c>
      <c r="G22" s="2">
        <v>1.0</v>
      </c>
      <c r="H22" s="2">
        <v>86900.0</v>
      </c>
      <c r="I22" s="2">
        <v>395000.0</v>
      </c>
      <c r="J22" s="2">
        <v>1.0</v>
      </c>
      <c r="K22" s="2">
        <v>7.0</v>
      </c>
      <c r="O22" s="2" t="s">
        <v>185</v>
      </c>
      <c r="P22" s="2" t="s">
        <v>166</v>
      </c>
      <c r="R22" s="2" t="s">
        <v>167</v>
      </c>
      <c r="S22" s="11">
        <v>42219.665289351855</v>
      </c>
    </row>
    <row r="23" ht="12.75" hidden="1" customHeight="1">
      <c r="A23" s="2" t="str">
        <f>IF(VLOOKUP(E23,Sheet4!$A$585:$B$786,2,0)=0,1, )</f>
        <v>1</v>
      </c>
      <c r="B23" s="2" t="str">
        <f t="shared" si="1"/>
        <v>1</v>
      </c>
      <c r="C23" s="2" t="str">
        <f t="shared" si="2"/>
        <v>1400003006-12583</v>
      </c>
      <c r="D23" s="2">
        <v>3.20080998E8</v>
      </c>
      <c r="E23" s="2">
        <v>1.400003006E9</v>
      </c>
      <c r="F23" s="2">
        <v>12583.0</v>
      </c>
      <c r="G23" s="2">
        <v>1.0</v>
      </c>
      <c r="H23" s="2">
        <v>63360.0</v>
      </c>
      <c r="I23" s="2">
        <v>288000.0</v>
      </c>
      <c r="J23" s="2">
        <v>1.0</v>
      </c>
      <c r="K23" s="2">
        <v>7.0</v>
      </c>
      <c r="O23" s="2" t="s">
        <v>187</v>
      </c>
      <c r="P23" s="2" t="s">
        <v>166</v>
      </c>
      <c r="R23" s="2" t="s">
        <v>167</v>
      </c>
      <c r="S23" s="11">
        <v>42219.665289351855</v>
      </c>
    </row>
    <row r="24" ht="12.75" hidden="1" customHeight="1">
      <c r="A24" s="2" t="str">
        <f>IF(VLOOKUP(E24,Sheet4!$A$585:$B$786,2,0)=0,1, )</f>
        <v>1</v>
      </c>
      <c r="B24" s="2" t="str">
        <f t="shared" si="1"/>
        <v/>
      </c>
      <c r="C24" s="2" t="str">
        <f t="shared" si="2"/>
        <v>1400003006-12583</v>
      </c>
      <c r="D24" s="2">
        <v>3.20080999E8</v>
      </c>
      <c r="E24" s="2">
        <v>1.400003006E9</v>
      </c>
      <c r="F24" s="2">
        <v>12583.0</v>
      </c>
      <c r="G24" s="2">
        <v>1.0</v>
      </c>
      <c r="H24" s="2">
        <v>63360.0</v>
      </c>
      <c r="I24" s="2">
        <v>288000.0</v>
      </c>
      <c r="J24" s="2">
        <v>1.0</v>
      </c>
      <c r="K24" s="2">
        <v>7.0</v>
      </c>
      <c r="O24" s="2" t="s">
        <v>187</v>
      </c>
      <c r="P24" s="2" t="s">
        <v>166</v>
      </c>
      <c r="R24" s="2" t="s">
        <v>167</v>
      </c>
      <c r="S24" s="11">
        <v>42219.665289351855</v>
      </c>
    </row>
    <row r="25" ht="12.75" hidden="1" customHeight="1">
      <c r="A25" s="2" t="str">
        <f>IF(VLOOKUP(E25,Sheet4!$A$585:$B$786,2,0)=0,1, )</f>
        <v>1</v>
      </c>
      <c r="B25" s="2" t="str">
        <f t="shared" si="1"/>
        <v>1</v>
      </c>
      <c r="C25" s="2" t="str">
        <f t="shared" si="2"/>
        <v>1400003006-12652</v>
      </c>
      <c r="D25" s="2">
        <v>3.20081001E8</v>
      </c>
      <c r="E25" s="2">
        <v>1.400003006E9</v>
      </c>
      <c r="F25" s="2">
        <v>12652.0</v>
      </c>
      <c r="G25" s="2">
        <v>1.0</v>
      </c>
      <c r="H25" s="2">
        <v>102300.0</v>
      </c>
      <c r="I25" s="2">
        <v>465000.0</v>
      </c>
      <c r="J25" s="2">
        <v>1.0</v>
      </c>
      <c r="K25" s="2">
        <v>7.0</v>
      </c>
      <c r="O25" s="2" t="s">
        <v>189</v>
      </c>
      <c r="P25" s="2" t="s">
        <v>166</v>
      </c>
      <c r="R25" s="2" t="s">
        <v>167</v>
      </c>
      <c r="S25" s="11">
        <v>42219.665289351855</v>
      </c>
    </row>
    <row r="26" ht="12.75" hidden="1" customHeight="1">
      <c r="A26" s="2" t="str">
        <f>IF(VLOOKUP(E26,Sheet4!$A$585:$B$786,2,0)=0,1, )</f>
        <v>1</v>
      </c>
      <c r="B26" s="2" t="str">
        <f t="shared" si="1"/>
        <v/>
      </c>
      <c r="C26" s="2" t="str">
        <f t="shared" si="2"/>
        <v>1400003006-12652</v>
      </c>
      <c r="D26" s="2">
        <v>3.20081E8</v>
      </c>
      <c r="E26" s="2">
        <v>1.400003006E9</v>
      </c>
      <c r="F26" s="2">
        <v>12652.0</v>
      </c>
      <c r="G26" s="2">
        <v>1.0</v>
      </c>
      <c r="H26" s="2">
        <v>102300.0</v>
      </c>
      <c r="I26" s="2">
        <v>465000.0</v>
      </c>
      <c r="J26" s="2">
        <v>1.0</v>
      </c>
      <c r="K26" s="2">
        <v>7.0</v>
      </c>
      <c r="O26" s="2" t="s">
        <v>189</v>
      </c>
      <c r="P26" s="2" t="s">
        <v>166</v>
      </c>
      <c r="R26" s="2" t="s">
        <v>167</v>
      </c>
      <c r="S26" s="11">
        <v>42219.665289351855</v>
      </c>
    </row>
    <row r="27" ht="12.75" hidden="1" customHeight="1">
      <c r="A27" s="2" t="str">
        <f>IF(VLOOKUP(E27,Sheet4!$A$585:$B$786,2,0)=0,1, )</f>
        <v>1</v>
      </c>
      <c r="B27" s="2" t="str">
        <f t="shared" si="1"/>
        <v>1</v>
      </c>
      <c r="C27" s="2" t="str">
        <f t="shared" si="2"/>
        <v>1400003006-12745</v>
      </c>
      <c r="D27" s="2">
        <v>3.20080985E8</v>
      </c>
      <c r="E27" s="2">
        <v>1.400003006E9</v>
      </c>
      <c r="F27" s="2">
        <v>12745.0</v>
      </c>
      <c r="G27" s="2">
        <v>1.0</v>
      </c>
      <c r="H27" s="2">
        <v>69300.0</v>
      </c>
      <c r="I27" s="2">
        <v>315000.0</v>
      </c>
      <c r="J27" s="2">
        <v>1.0</v>
      </c>
      <c r="K27" s="2">
        <v>7.0</v>
      </c>
      <c r="O27" s="2" t="s">
        <v>191</v>
      </c>
      <c r="P27" s="2" t="s">
        <v>166</v>
      </c>
      <c r="R27" s="2" t="s">
        <v>167</v>
      </c>
      <c r="S27" s="11">
        <v>42219.665289351855</v>
      </c>
    </row>
    <row r="28" ht="12.75" hidden="1" customHeight="1">
      <c r="A28" s="2" t="str">
        <f>IF(VLOOKUP(E28,Sheet4!$A$585:$B$786,2,0)=0,1, )</f>
        <v>1</v>
      </c>
      <c r="B28" s="2" t="str">
        <f t="shared" si="1"/>
        <v/>
      </c>
      <c r="C28" s="2" t="str">
        <f t="shared" si="2"/>
        <v>1400003006-12745</v>
      </c>
      <c r="D28" s="2">
        <v>3.20080984E8</v>
      </c>
      <c r="E28" s="2">
        <v>1.400003006E9</v>
      </c>
      <c r="F28" s="2">
        <v>12745.0</v>
      </c>
      <c r="G28" s="2">
        <v>1.0</v>
      </c>
      <c r="H28" s="2">
        <v>69300.0</v>
      </c>
      <c r="I28" s="2">
        <v>315000.0</v>
      </c>
      <c r="J28" s="2">
        <v>1.0</v>
      </c>
      <c r="K28" s="2">
        <v>7.0</v>
      </c>
      <c r="O28" s="2" t="s">
        <v>191</v>
      </c>
      <c r="P28" s="2" t="s">
        <v>166</v>
      </c>
      <c r="R28" s="2" t="s">
        <v>167</v>
      </c>
      <c r="S28" s="11">
        <v>42219.665289351855</v>
      </c>
    </row>
    <row r="29" ht="12.75" hidden="1" customHeight="1">
      <c r="A29" s="2" t="str">
        <f>IF(VLOOKUP(E29,Sheet4!$A$585:$B$786,2,0)=0,1, )</f>
        <v>1</v>
      </c>
      <c r="B29" s="2" t="str">
        <f t="shared" si="1"/>
        <v>1</v>
      </c>
      <c r="C29" s="2" t="str">
        <f t="shared" si="2"/>
        <v>1400003006-12832</v>
      </c>
      <c r="D29" s="2">
        <v>3.20080988E8</v>
      </c>
      <c r="E29" s="2">
        <v>1.400003006E9</v>
      </c>
      <c r="F29" s="2">
        <v>12832.0</v>
      </c>
      <c r="G29" s="2">
        <v>1.0</v>
      </c>
      <c r="H29" s="2">
        <v>86900.0</v>
      </c>
      <c r="I29" s="2">
        <v>395000.0</v>
      </c>
      <c r="J29" s="2">
        <v>1.0</v>
      </c>
      <c r="K29" s="2">
        <v>7.0</v>
      </c>
      <c r="O29" s="2" t="s">
        <v>193</v>
      </c>
      <c r="P29" s="2" t="s">
        <v>166</v>
      </c>
      <c r="R29" s="2" t="s">
        <v>167</v>
      </c>
      <c r="S29" s="11">
        <v>42219.665289351855</v>
      </c>
    </row>
    <row r="30" ht="12.75" hidden="1" customHeight="1">
      <c r="A30" s="2" t="str">
        <f>IF(VLOOKUP(E30,Sheet4!$A$585:$B$786,2,0)=0,1, )</f>
        <v>1</v>
      </c>
      <c r="B30" s="2" t="str">
        <f t="shared" si="1"/>
        <v/>
      </c>
      <c r="C30" s="2" t="str">
        <f t="shared" si="2"/>
        <v>1400003006-12832</v>
      </c>
      <c r="D30" s="2">
        <v>3.20080989E8</v>
      </c>
      <c r="E30" s="2">
        <v>1.400003006E9</v>
      </c>
      <c r="F30" s="2">
        <v>12832.0</v>
      </c>
      <c r="G30" s="2">
        <v>1.0</v>
      </c>
      <c r="H30" s="2">
        <v>86900.0</v>
      </c>
      <c r="I30" s="2">
        <v>395000.0</v>
      </c>
      <c r="J30" s="2">
        <v>1.0</v>
      </c>
      <c r="K30" s="2">
        <v>7.0</v>
      </c>
      <c r="O30" s="2" t="s">
        <v>193</v>
      </c>
      <c r="P30" s="2" t="s">
        <v>166</v>
      </c>
      <c r="R30" s="2" t="s">
        <v>167</v>
      </c>
      <c r="S30" s="11">
        <v>42219.665289351855</v>
      </c>
    </row>
    <row r="31" ht="12.75" hidden="1" customHeight="1">
      <c r="A31" s="2" t="str">
        <f>IF(VLOOKUP(E31,Sheet4!$A$585:$B$786,2,0)=0,1, )</f>
        <v>1</v>
      </c>
      <c r="B31" s="2" t="str">
        <f t="shared" si="1"/>
        <v>1</v>
      </c>
      <c r="C31" s="2" t="str">
        <f t="shared" si="2"/>
        <v>1400003006-12864</v>
      </c>
      <c r="D31" s="2">
        <v>3.20080982E8</v>
      </c>
      <c r="E31" s="2">
        <v>1.400003006E9</v>
      </c>
      <c r="F31" s="2">
        <v>12864.0</v>
      </c>
      <c r="G31" s="2">
        <v>1.0</v>
      </c>
      <c r="H31" s="2">
        <v>93500.0</v>
      </c>
      <c r="I31" s="2">
        <v>425000.0</v>
      </c>
      <c r="J31" s="2">
        <v>1.0</v>
      </c>
      <c r="K31" s="2">
        <v>7.0</v>
      </c>
      <c r="O31" s="2" t="s">
        <v>195</v>
      </c>
      <c r="P31" s="2" t="s">
        <v>166</v>
      </c>
      <c r="R31" s="2" t="s">
        <v>167</v>
      </c>
      <c r="S31" s="11">
        <v>42219.665289351855</v>
      </c>
    </row>
    <row r="32" ht="12.75" hidden="1" customHeight="1">
      <c r="A32" s="2" t="str">
        <f>IF(VLOOKUP(E32,Sheet4!$A$585:$B$786,2,0)=0,1, )</f>
        <v>1</v>
      </c>
      <c r="B32" s="2" t="str">
        <f t="shared" si="1"/>
        <v/>
      </c>
      <c r="C32" s="2" t="str">
        <f t="shared" si="2"/>
        <v>1400003006-12864</v>
      </c>
      <c r="D32" s="2">
        <v>3.20080983E8</v>
      </c>
      <c r="E32" s="2">
        <v>1.400003006E9</v>
      </c>
      <c r="F32" s="2">
        <v>12864.0</v>
      </c>
      <c r="G32" s="2">
        <v>1.0</v>
      </c>
      <c r="H32" s="2">
        <v>93500.0</v>
      </c>
      <c r="I32" s="2">
        <v>425000.0</v>
      </c>
      <c r="J32" s="2">
        <v>1.0</v>
      </c>
      <c r="K32" s="2">
        <v>7.0</v>
      </c>
      <c r="O32" s="2" t="s">
        <v>195</v>
      </c>
      <c r="P32" s="2" t="s">
        <v>166</v>
      </c>
      <c r="R32" s="2" t="s">
        <v>167</v>
      </c>
      <c r="S32" s="11">
        <v>42219.665289351855</v>
      </c>
    </row>
    <row r="33" ht="12.75" hidden="1" customHeight="1">
      <c r="A33" s="2" t="str">
        <f>IF(VLOOKUP(E33,Sheet4!$A$585:$B$786,2,0)=0,1, )</f>
        <v>1</v>
      </c>
      <c r="B33" s="2" t="str">
        <f t="shared" si="1"/>
        <v>1</v>
      </c>
      <c r="C33" s="2" t="str">
        <f t="shared" si="2"/>
        <v>1400003006-12865</v>
      </c>
      <c r="D33" s="2">
        <v>3.20080981E8</v>
      </c>
      <c r="E33" s="2">
        <v>1.400003006E9</v>
      </c>
      <c r="F33" s="2">
        <v>12865.0</v>
      </c>
      <c r="G33" s="2">
        <v>1.0</v>
      </c>
      <c r="H33" s="2">
        <v>87780.0</v>
      </c>
      <c r="I33" s="2">
        <v>399000.0</v>
      </c>
      <c r="J33" s="2">
        <v>1.0</v>
      </c>
      <c r="K33" s="2">
        <v>7.0</v>
      </c>
      <c r="O33" s="2" t="s">
        <v>197</v>
      </c>
      <c r="P33" s="2" t="s">
        <v>166</v>
      </c>
      <c r="R33" s="2" t="s">
        <v>167</v>
      </c>
      <c r="S33" s="11">
        <v>42219.66527777778</v>
      </c>
    </row>
    <row r="34" ht="12.75" hidden="1" customHeight="1">
      <c r="A34" s="2" t="str">
        <f>IF(VLOOKUP(E34,Sheet4!$A$585:$B$786,2,0)=0,1, )</f>
        <v>1</v>
      </c>
      <c r="B34" s="2" t="str">
        <f t="shared" si="1"/>
        <v/>
      </c>
      <c r="C34" s="2" t="str">
        <f t="shared" si="2"/>
        <v>1400003006-12865</v>
      </c>
      <c r="D34" s="2">
        <v>3.2008098E8</v>
      </c>
      <c r="E34" s="2">
        <v>1.400003006E9</v>
      </c>
      <c r="F34" s="2">
        <v>12865.0</v>
      </c>
      <c r="G34" s="2">
        <v>1.0</v>
      </c>
      <c r="H34" s="2">
        <v>87780.0</v>
      </c>
      <c r="I34" s="2">
        <v>399000.0</v>
      </c>
      <c r="J34" s="2">
        <v>1.0</v>
      </c>
      <c r="K34" s="2">
        <v>7.0</v>
      </c>
      <c r="O34" s="2" t="s">
        <v>197</v>
      </c>
      <c r="P34" s="2" t="s">
        <v>166</v>
      </c>
      <c r="R34" s="2" t="s">
        <v>167</v>
      </c>
      <c r="S34" s="11">
        <v>42219.66527777778</v>
      </c>
    </row>
    <row r="35" ht="12.75" hidden="1" customHeight="1">
      <c r="A35" s="2" t="str">
        <f>IF(VLOOKUP(E35,Sheet4!$A$585:$B$786,2,0)=0,1, )</f>
        <v>1</v>
      </c>
      <c r="B35" s="2" t="str">
        <f t="shared" si="1"/>
        <v>1</v>
      </c>
      <c r="C35" s="2" t="str">
        <f t="shared" si="2"/>
        <v>1400003006-13736</v>
      </c>
      <c r="D35" s="2">
        <v>3.20080987E8</v>
      </c>
      <c r="E35" s="2">
        <v>1.400003006E9</v>
      </c>
      <c r="F35" s="2">
        <v>13736.0</v>
      </c>
      <c r="G35" s="2">
        <v>2.0</v>
      </c>
      <c r="H35" s="2">
        <v>187000.0</v>
      </c>
      <c r="I35" s="2">
        <v>850000.0</v>
      </c>
      <c r="J35" s="2">
        <v>1.0</v>
      </c>
      <c r="K35" s="2">
        <v>7.0</v>
      </c>
      <c r="O35" s="2" t="s">
        <v>199</v>
      </c>
      <c r="P35" s="2" t="s">
        <v>166</v>
      </c>
      <c r="R35" s="2" t="s">
        <v>167</v>
      </c>
      <c r="S35" s="11">
        <v>42219.665289351855</v>
      </c>
    </row>
    <row r="36" ht="12.75" hidden="1" customHeight="1">
      <c r="A36" s="2" t="str">
        <f>IF(VLOOKUP(E36,Sheet4!$A$585:$B$786,2,0)=0,1, )</f>
        <v>1</v>
      </c>
      <c r="B36" s="2" t="str">
        <f t="shared" si="1"/>
        <v/>
      </c>
      <c r="C36" s="2" t="str">
        <f t="shared" si="2"/>
        <v>1400003006-13736</v>
      </c>
      <c r="D36" s="2">
        <v>3.20080986E8</v>
      </c>
      <c r="E36" s="2">
        <v>1.400003006E9</v>
      </c>
      <c r="F36" s="2">
        <v>13736.0</v>
      </c>
      <c r="G36" s="2">
        <v>2.0</v>
      </c>
      <c r="H36" s="2">
        <v>187000.0</v>
      </c>
      <c r="I36" s="2">
        <v>850000.0</v>
      </c>
      <c r="J36" s="2">
        <v>1.0</v>
      </c>
      <c r="K36" s="2">
        <v>7.0</v>
      </c>
      <c r="O36" s="2" t="s">
        <v>199</v>
      </c>
      <c r="P36" s="2" t="s">
        <v>166</v>
      </c>
      <c r="R36" s="2" t="s">
        <v>167</v>
      </c>
      <c r="S36" s="11">
        <v>42219.665289351855</v>
      </c>
    </row>
    <row r="37" ht="12.75" hidden="1" customHeight="1">
      <c r="A37" s="2" t="str">
        <f>IF(VLOOKUP(E37,Sheet4!$A$585:$B$786,2,0)=0,1, )</f>
        <v>1</v>
      </c>
      <c r="B37" s="2" t="str">
        <f t="shared" si="1"/>
        <v>1</v>
      </c>
      <c r="C37" s="2" t="str">
        <f t="shared" si="2"/>
        <v>1400003006-13737</v>
      </c>
      <c r="D37" s="2">
        <v>3.20080979E8</v>
      </c>
      <c r="E37" s="2">
        <v>1.400003006E9</v>
      </c>
      <c r="F37" s="2">
        <v>13737.0</v>
      </c>
      <c r="G37" s="2">
        <v>1.0</v>
      </c>
      <c r="H37" s="2">
        <v>70400.0</v>
      </c>
      <c r="I37" s="2">
        <v>320000.0</v>
      </c>
      <c r="J37" s="2">
        <v>1.0</v>
      </c>
      <c r="K37" s="2">
        <v>7.0</v>
      </c>
      <c r="O37" s="2" t="s">
        <v>201</v>
      </c>
      <c r="P37" s="2" t="s">
        <v>166</v>
      </c>
      <c r="R37" s="2" t="s">
        <v>167</v>
      </c>
      <c r="S37" s="11">
        <v>42219.66527777778</v>
      </c>
    </row>
    <row r="38" ht="12.75" hidden="1" customHeight="1">
      <c r="A38" s="2" t="str">
        <f>IF(VLOOKUP(E38,Sheet4!$A$585:$B$786,2,0)=0,1, )</f>
        <v>1</v>
      </c>
      <c r="B38" s="2" t="str">
        <f t="shared" si="1"/>
        <v>1</v>
      </c>
      <c r="C38" s="2" t="str">
        <f t="shared" si="2"/>
        <v>1400003006-14066</v>
      </c>
      <c r="D38" s="2">
        <v>3.20081027E8</v>
      </c>
      <c r="E38" s="2">
        <v>1.400003006E9</v>
      </c>
      <c r="F38" s="2">
        <v>14066.0</v>
      </c>
      <c r="G38" s="2">
        <v>3.0</v>
      </c>
      <c r="H38" s="2">
        <v>371250.0</v>
      </c>
      <c r="I38" s="2">
        <v>1485000.0</v>
      </c>
      <c r="J38" s="2">
        <v>1.0</v>
      </c>
      <c r="K38" s="2">
        <v>7.0</v>
      </c>
      <c r="O38" s="2" t="s">
        <v>203</v>
      </c>
      <c r="P38" s="2" t="s">
        <v>166</v>
      </c>
      <c r="R38" s="2" t="s">
        <v>167</v>
      </c>
      <c r="S38" s="11">
        <v>42219.665289351855</v>
      </c>
    </row>
    <row r="39" ht="12.75" hidden="1" customHeight="1">
      <c r="A39" s="2" t="str">
        <f>IF(VLOOKUP(E39,Sheet4!$A$585:$B$786,2,0)=0,1, )</f>
        <v>1</v>
      </c>
      <c r="B39" s="2" t="str">
        <f t="shared" si="1"/>
        <v/>
      </c>
      <c r="C39" s="2" t="str">
        <f t="shared" si="2"/>
        <v>1400003006-14066</v>
      </c>
      <c r="D39" s="2">
        <v>3.20081026E8</v>
      </c>
      <c r="E39" s="2">
        <v>1.400003006E9</v>
      </c>
      <c r="F39" s="2">
        <v>14066.0</v>
      </c>
      <c r="G39" s="2">
        <v>3.0</v>
      </c>
      <c r="H39" s="2">
        <v>371250.0</v>
      </c>
      <c r="I39" s="2">
        <v>1485000.0</v>
      </c>
      <c r="J39" s="2">
        <v>1.0</v>
      </c>
      <c r="K39" s="2">
        <v>7.0</v>
      </c>
      <c r="O39" s="2" t="s">
        <v>203</v>
      </c>
      <c r="P39" s="2" t="s">
        <v>166</v>
      </c>
      <c r="R39" s="2" t="s">
        <v>167</v>
      </c>
      <c r="S39" s="11">
        <v>42219.665289351855</v>
      </c>
    </row>
    <row r="40" ht="12.75" hidden="1" customHeight="1">
      <c r="A40" s="2" t="str">
        <f>IF(VLOOKUP(E40,Sheet4!$A$585:$B$786,2,0)=0,1, )</f>
        <v>1</v>
      </c>
      <c r="B40" s="2" t="str">
        <f t="shared" si="1"/>
        <v>1</v>
      </c>
      <c r="C40" s="2" t="str">
        <f t="shared" si="2"/>
        <v>1400003006-14112</v>
      </c>
      <c r="D40" s="2">
        <v>3.20081004E8</v>
      </c>
      <c r="E40" s="2">
        <v>1.400003006E9</v>
      </c>
      <c r="F40" s="2">
        <v>14112.0</v>
      </c>
      <c r="G40" s="2">
        <v>3.0</v>
      </c>
      <c r="H40" s="2">
        <v>318750.0</v>
      </c>
      <c r="I40" s="2">
        <v>1275000.0</v>
      </c>
      <c r="J40" s="2">
        <v>1.0</v>
      </c>
      <c r="K40" s="2">
        <v>7.0</v>
      </c>
      <c r="O40" s="2" t="s">
        <v>205</v>
      </c>
      <c r="P40" s="2" t="s">
        <v>166</v>
      </c>
      <c r="R40" s="2" t="s">
        <v>167</v>
      </c>
      <c r="S40" s="11">
        <v>42219.665289351855</v>
      </c>
    </row>
    <row r="41" ht="12.75" hidden="1" customHeight="1">
      <c r="A41" s="2" t="str">
        <f>IF(VLOOKUP(E41,Sheet4!$A$585:$B$786,2,0)=0,1, )</f>
        <v>1</v>
      </c>
      <c r="B41" s="2" t="str">
        <f t="shared" si="1"/>
        <v/>
      </c>
      <c r="C41" s="2" t="str">
        <f t="shared" si="2"/>
        <v>1400003006-14112</v>
      </c>
      <c r="D41" s="2">
        <v>3.20081005E8</v>
      </c>
      <c r="E41" s="2">
        <v>1.400003006E9</v>
      </c>
      <c r="F41" s="2">
        <v>14112.0</v>
      </c>
      <c r="G41" s="2">
        <v>3.0</v>
      </c>
      <c r="H41" s="2">
        <v>318750.0</v>
      </c>
      <c r="I41" s="2">
        <v>1275000.0</v>
      </c>
      <c r="J41" s="2">
        <v>1.0</v>
      </c>
      <c r="K41" s="2">
        <v>7.0</v>
      </c>
      <c r="O41" s="2" t="s">
        <v>205</v>
      </c>
      <c r="P41" s="2" t="s">
        <v>166</v>
      </c>
      <c r="R41" s="2" t="s">
        <v>167</v>
      </c>
      <c r="S41" s="11">
        <v>42219.665289351855</v>
      </c>
    </row>
    <row r="42" ht="12.75" hidden="1" customHeight="1">
      <c r="A42" s="2" t="str">
        <f>IF(VLOOKUP(E42,Sheet4!$A$585:$B$786,2,0)=0,1, )</f>
        <v>1</v>
      </c>
      <c r="B42" s="2" t="str">
        <f t="shared" si="1"/>
        <v>1</v>
      </c>
      <c r="C42" s="2" t="str">
        <f t="shared" si="2"/>
        <v>1400003006-14784</v>
      </c>
      <c r="D42" s="2">
        <v>3.20081015E8</v>
      </c>
      <c r="E42" s="2">
        <v>1.400003006E9</v>
      </c>
      <c r="F42" s="2">
        <v>14784.0</v>
      </c>
      <c r="G42" s="2">
        <v>1.0</v>
      </c>
      <c r="H42" s="2">
        <v>96500.0</v>
      </c>
      <c r="I42" s="2">
        <v>386000.0</v>
      </c>
      <c r="J42" s="2">
        <v>1.0</v>
      </c>
      <c r="K42" s="2">
        <v>7.0</v>
      </c>
      <c r="O42" s="2" t="s">
        <v>207</v>
      </c>
      <c r="P42" s="2" t="s">
        <v>166</v>
      </c>
      <c r="R42" s="2" t="s">
        <v>167</v>
      </c>
      <c r="S42" s="11">
        <v>42219.665289351855</v>
      </c>
    </row>
    <row r="43" ht="12.75" hidden="1" customHeight="1">
      <c r="A43" s="2" t="str">
        <f>IF(VLOOKUP(E43,Sheet4!$A$585:$B$786,2,0)=0,1, )</f>
        <v>1</v>
      </c>
      <c r="B43" s="2" t="str">
        <f t="shared" si="1"/>
        <v/>
      </c>
      <c r="C43" s="2" t="str">
        <f t="shared" si="2"/>
        <v>1400003006-14784</v>
      </c>
      <c r="D43" s="2">
        <v>3.20081014E8</v>
      </c>
      <c r="E43" s="2">
        <v>1.400003006E9</v>
      </c>
      <c r="F43" s="2">
        <v>14784.0</v>
      </c>
      <c r="G43" s="2">
        <v>1.0</v>
      </c>
      <c r="H43" s="2">
        <v>96500.0</v>
      </c>
      <c r="I43" s="2">
        <v>386000.0</v>
      </c>
      <c r="J43" s="2">
        <v>1.0</v>
      </c>
      <c r="K43" s="2">
        <v>7.0</v>
      </c>
      <c r="O43" s="2" t="s">
        <v>207</v>
      </c>
      <c r="P43" s="2" t="s">
        <v>166</v>
      </c>
      <c r="R43" s="2" t="s">
        <v>167</v>
      </c>
      <c r="S43" s="11">
        <v>42219.665289351855</v>
      </c>
    </row>
    <row r="44" ht="12.75" hidden="1" customHeight="1">
      <c r="A44" s="2" t="str">
        <f>IF(VLOOKUP(E44,Sheet4!$A$585:$B$786,2,0)=0,1, )</f>
        <v>1</v>
      </c>
      <c r="B44" s="2" t="str">
        <f t="shared" si="1"/>
        <v>1</v>
      </c>
      <c r="C44" s="2" t="str">
        <f t="shared" si="2"/>
        <v>1400003006-15882</v>
      </c>
      <c r="D44" s="2">
        <v>3.20081013E8</v>
      </c>
      <c r="E44" s="2">
        <v>1.400003006E9</v>
      </c>
      <c r="F44" s="2">
        <v>15882.0</v>
      </c>
      <c r="G44" s="2">
        <v>1.0</v>
      </c>
      <c r="H44" s="2">
        <v>106250.0</v>
      </c>
      <c r="I44" s="2">
        <v>425000.0</v>
      </c>
      <c r="J44" s="2">
        <v>1.0</v>
      </c>
      <c r="K44" s="2">
        <v>7.0</v>
      </c>
      <c r="O44" s="2" t="s">
        <v>209</v>
      </c>
      <c r="P44" s="2" t="s">
        <v>166</v>
      </c>
      <c r="R44" s="2" t="s">
        <v>167</v>
      </c>
      <c r="S44" s="11">
        <v>42219.665289351855</v>
      </c>
    </row>
    <row r="45" ht="12.75" hidden="1" customHeight="1">
      <c r="A45" s="2" t="str">
        <f>IF(VLOOKUP(E45,Sheet4!$A$585:$B$786,2,0)=0,1, )</f>
        <v>1</v>
      </c>
      <c r="B45" s="2" t="str">
        <f t="shared" si="1"/>
        <v/>
      </c>
      <c r="C45" s="2" t="str">
        <f t="shared" si="2"/>
        <v>1400003006-15882</v>
      </c>
      <c r="D45" s="2">
        <v>3.20081012E8</v>
      </c>
      <c r="E45" s="2">
        <v>1.400003006E9</v>
      </c>
      <c r="F45" s="2">
        <v>15882.0</v>
      </c>
      <c r="G45" s="2">
        <v>1.0</v>
      </c>
      <c r="H45" s="2">
        <v>106250.0</v>
      </c>
      <c r="I45" s="2">
        <v>425000.0</v>
      </c>
      <c r="J45" s="2">
        <v>1.0</v>
      </c>
      <c r="K45" s="2">
        <v>7.0</v>
      </c>
      <c r="O45" s="2" t="s">
        <v>209</v>
      </c>
      <c r="P45" s="2" t="s">
        <v>166</v>
      </c>
      <c r="R45" s="2" t="s">
        <v>167</v>
      </c>
      <c r="S45" s="11">
        <v>42219.665289351855</v>
      </c>
    </row>
    <row r="46" ht="12.75" hidden="1" customHeight="1">
      <c r="A46" s="2" t="str">
        <f>IF(VLOOKUP(E46,Sheet4!$A$585:$B$786,2,0)=0,1, )</f>
        <v>1</v>
      </c>
      <c r="B46" s="2" t="str">
        <f t="shared" si="1"/>
        <v>1</v>
      </c>
      <c r="C46" s="2" t="str">
        <f t="shared" si="2"/>
        <v>1400003006-16365</v>
      </c>
      <c r="D46" s="2">
        <v>3.20080996E8</v>
      </c>
      <c r="E46" s="2">
        <v>1.400003006E9</v>
      </c>
      <c r="F46" s="2">
        <v>16365.0</v>
      </c>
      <c r="G46" s="2">
        <v>3.0</v>
      </c>
      <c r="H46" s="2">
        <v>322740.0</v>
      </c>
      <c r="I46" s="2">
        <v>1467000.0</v>
      </c>
      <c r="J46" s="2">
        <v>1.0</v>
      </c>
      <c r="K46" s="2">
        <v>7.0</v>
      </c>
      <c r="O46" s="2" t="s">
        <v>211</v>
      </c>
      <c r="P46" s="2" t="s">
        <v>166</v>
      </c>
      <c r="R46" s="2" t="s">
        <v>167</v>
      </c>
      <c r="S46" s="11">
        <v>42219.665289351855</v>
      </c>
    </row>
    <row r="47" ht="12.75" hidden="1" customHeight="1">
      <c r="A47" s="2" t="str">
        <f>IF(VLOOKUP(E47,Sheet4!$A$585:$B$786,2,0)=0,1, )</f>
        <v>1</v>
      </c>
      <c r="B47" s="2" t="str">
        <f t="shared" si="1"/>
        <v/>
      </c>
      <c r="C47" s="2" t="str">
        <f t="shared" si="2"/>
        <v>1400003006-16365</v>
      </c>
      <c r="D47" s="2">
        <v>3.20080997E8</v>
      </c>
      <c r="E47" s="2">
        <v>1.400003006E9</v>
      </c>
      <c r="F47" s="2">
        <v>16365.0</v>
      </c>
      <c r="G47" s="2">
        <v>3.0</v>
      </c>
      <c r="H47" s="2">
        <v>322740.0</v>
      </c>
      <c r="I47" s="2">
        <v>1467000.0</v>
      </c>
      <c r="J47" s="2">
        <v>1.0</v>
      </c>
      <c r="K47" s="2">
        <v>7.0</v>
      </c>
      <c r="O47" s="2" t="s">
        <v>211</v>
      </c>
      <c r="P47" s="2" t="s">
        <v>166</v>
      </c>
      <c r="R47" s="2" t="s">
        <v>167</v>
      </c>
      <c r="S47" s="11">
        <v>42219.665289351855</v>
      </c>
    </row>
    <row r="48" ht="12.75" hidden="1" customHeight="1">
      <c r="A48" s="2" t="str">
        <f>IF(VLOOKUP(E48,Sheet4!$A$585:$B$786,2,0)=0,1, )</f>
        <v>1</v>
      </c>
      <c r="B48" s="2" t="str">
        <f t="shared" si="1"/>
        <v>1</v>
      </c>
      <c r="C48" s="2" t="str">
        <f t="shared" si="2"/>
        <v>1400003006-16458</v>
      </c>
      <c r="D48" s="2">
        <v>3.2008101E8</v>
      </c>
      <c r="E48" s="2">
        <v>1.400003006E9</v>
      </c>
      <c r="F48" s="2">
        <v>16458.0</v>
      </c>
      <c r="G48" s="2">
        <v>1.0</v>
      </c>
      <c r="H48" s="2">
        <v>106250.0</v>
      </c>
      <c r="I48" s="2">
        <v>425000.0</v>
      </c>
      <c r="J48" s="2">
        <v>1.0</v>
      </c>
      <c r="K48" s="2">
        <v>7.0</v>
      </c>
      <c r="O48" s="2" t="s">
        <v>213</v>
      </c>
      <c r="P48" s="2" t="s">
        <v>166</v>
      </c>
      <c r="R48" s="2" t="s">
        <v>167</v>
      </c>
      <c r="S48" s="11">
        <v>42219.665289351855</v>
      </c>
    </row>
    <row r="49" ht="12.75" hidden="1" customHeight="1">
      <c r="A49" s="2" t="str">
        <f>IF(VLOOKUP(E49,Sheet4!$A$585:$B$786,2,0)=0,1, )</f>
        <v>1</v>
      </c>
      <c r="B49" s="2" t="str">
        <f t="shared" si="1"/>
        <v/>
      </c>
      <c r="C49" s="2" t="str">
        <f t="shared" si="2"/>
        <v>1400003006-16458</v>
      </c>
      <c r="D49" s="2">
        <v>3.20081011E8</v>
      </c>
      <c r="E49" s="2">
        <v>1.400003006E9</v>
      </c>
      <c r="F49" s="2">
        <v>16458.0</v>
      </c>
      <c r="G49" s="2">
        <v>1.0</v>
      </c>
      <c r="H49" s="2">
        <v>106250.0</v>
      </c>
      <c r="I49" s="2">
        <v>425000.0</v>
      </c>
      <c r="J49" s="2">
        <v>1.0</v>
      </c>
      <c r="K49" s="2">
        <v>7.0</v>
      </c>
      <c r="O49" s="2" t="s">
        <v>213</v>
      </c>
      <c r="P49" s="2" t="s">
        <v>166</v>
      </c>
      <c r="R49" s="2" t="s">
        <v>167</v>
      </c>
      <c r="S49" s="11">
        <v>42219.665289351855</v>
      </c>
    </row>
    <row r="50" ht="12.75" hidden="1" customHeight="1">
      <c r="A50" s="2" t="str">
        <f>IF(VLOOKUP(E50,Sheet4!$A$585:$B$786,2,0)=0,1, )</f>
        <v>1</v>
      </c>
      <c r="B50" s="2" t="str">
        <f t="shared" si="1"/>
        <v>1</v>
      </c>
      <c r="C50" s="2" t="str">
        <f t="shared" si="2"/>
        <v>1400003006-16780</v>
      </c>
      <c r="D50" s="2">
        <v>3.20081007E8</v>
      </c>
      <c r="E50" s="2">
        <v>1.400003006E9</v>
      </c>
      <c r="F50" s="2">
        <v>16780.0</v>
      </c>
      <c r="G50" s="2">
        <v>3.0</v>
      </c>
      <c r="H50" s="2">
        <v>316500.0</v>
      </c>
      <c r="I50" s="2">
        <v>1266000.0</v>
      </c>
      <c r="J50" s="2">
        <v>1.0</v>
      </c>
      <c r="K50" s="2">
        <v>7.0</v>
      </c>
      <c r="O50" s="2" t="s">
        <v>215</v>
      </c>
      <c r="P50" s="2" t="s">
        <v>166</v>
      </c>
      <c r="R50" s="2" t="s">
        <v>167</v>
      </c>
      <c r="S50" s="11">
        <v>42219.665289351855</v>
      </c>
    </row>
    <row r="51" ht="12.75" hidden="1" customHeight="1">
      <c r="A51" s="2" t="str">
        <f>IF(VLOOKUP(E51,Sheet4!$A$585:$B$786,2,0)=0,1, )</f>
        <v>1</v>
      </c>
      <c r="B51" s="2" t="str">
        <f t="shared" si="1"/>
        <v/>
      </c>
      <c r="C51" s="2" t="str">
        <f t="shared" si="2"/>
        <v>1400003006-16780</v>
      </c>
      <c r="D51" s="2">
        <v>3.20081006E8</v>
      </c>
      <c r="E51" s="2">
        <v>1.400003006E9</v>
      </c>
      <c r="F51" s="2">
        <v>16780.0</v>
      </c>
      <c r="G51" s="2">
        <v>3.0</v>
      </c>
      <c r="H51" s="2">
        <v>316500.0</v>
      </c>
      <c r="I51" s="2">
        <v>1266000.0</v>
      </c>
      <c r="J51" s="2">
        <v>1.0</v>
      </c>
      <c r="K51" s="2">
        <v>7.0</v>
      </c>
      <c r="O51" s="2" t="s">
        <v>215</v>
      </c>
      <c r="P51" s="2" t="s">
        <v>166</v>
      </c>
      <c r="R51" s="2" t="s">
        <v>167</v>
      </c>
      <c r="S51" s="11">
        <v>42219.665289351855</v>
      </c>
    </row>
    <row r="52" ht="12.75" hidden="1" customHeight="1">
      <c r="A52" s="2" t="str">
        <f>IF(VLOOKUP(E52,Sheet4!$A$585:$B$786,2,0)=0,1, )</f>
        <v>1</v>
      </c>
      <c r="B52" s="2" t="str">
        <f t="shared" si="1"/>
        <v>1</v>
      </c>
      <c r="C52" s="2" t="str">
        <f t="shared" si="2"/>
        <v>1400003006-16787</v>
      </c>
      <c r="D52" s="2">
        <v>3.20081002E8</v>
      </c>
      <c r="E52" s="2">
        <v>1.400003006E9</v>
      </c>
      <c r="F52" s="2">
        <v>16787.0</v>
      </c>
      <c r="G52" s="2">
        <v>6.0</v>
      </c>
      <c r="H52" s="2">
        <v>637500.0</v>
      </c>
      <c r="I52" s="2">
        <v>2550000.0</v>
      </c>
      <c r="J52" s="2">
        <v>1.0</v>
      </c>
      <c r="K52" s="2">
        <v>7.0</v>
      </c>
      <c r="O52" s="2" t="s">
        <v>217</v>
      </c>
      <c r="P52" s="2" t="s">
        <v>166</v>
      </c>
      <c r="R52" s="2" t="s">
        <v>167</v>
      </c>
      <c r="S52" s="11">
        <v>42219.665289351855</v>
      </c>
    </row>
    <row r="53" ht="12.75" hidden="1" customHeight="1">
      <c r="A53" s="2" t="str">
        <f>IF(VLOOKUP(E53,Sheet4!$A$585:$B$786,2,0)=0,1, )</f>
        <v>1</v>
      </c>
      <c r="B53" s="2" t="str">
        <f t="shared" si="1"/>
        <v/>
      </c>
      <c r="C53" s="2" t="str">
        <f t="shared" si="2"/>
        <v>1400003006-16787</v>
      </c>
      <c r="D53" s="2">
        <v>3.20081003E8</v>
      </c>
      <c r="E53" s="2">
        <v>1.400003006E9</v>
      </c>
      <c r="F53" s="2">
        <v>16787.0</v>
      </c>
      <c r="G53" s="2">
        <v>6.0</v>
      </c>
      <c r="H53" s="2">
        <v>637500.0</v>
      </c>
      <c r="I53" s="2">
        <v>2550000.0</v>
      </c>
      <c r="J53" s="2">
        <v>1.0</v>
      </c>
      <c r="K53" s="2">
        <v>7.0</v>
      </c>
      <c r="O53" s="2" t="s">
        <v>217</v>
      </c>
      <c r="P53" s="2" t="s">
        <v>166</v>
      </c>
      <c r="R53" s="2" t="s">
        <v>167</v>
      </c>
      <c r="S53" s="11">
        <v>42219.665289351855</v>
      </c>
    </row>
    <row r="54" ht="12.75" hidden="1" customHeight="1">
      <c r="A54" s="2" t="str">
        <f>IF(VLOOKUP(E54,Sheet4!$A$585:$B$786,2,0)=0,1, )</f>
        <v>1</v>
      </c>
      <c r="B54" s="2" t="str">
        <f t="shared" si="1"/>
        <v>1</v>
      </c>
      <c r="C54" s="2" t="str">
        <f t="shared" si="2"/>
        <v>1400003006-14000037</v>
      </c>
      <c r="D54" s="2">
        <v>3.20081022E8</v>
      </c>
      <c r="E54" s="2">
        <v>1.400003006E9</v>
      </c>
      <c r="F54" s="2">
        <v>1.4000037E7</v>
      </c>
      <c r="G54" s="2">
        <v>1.0</v>
      </c>
      <c r="H54" s="2">
        <v>88750.0</v>
      </c>
      <c r="I54" s="2">
        <v>355000.0</v>
      </c>
      <c r="J54" s="2">
        <v>1.0</v>
      </c>
      <c r="K54" s="2">
        <v>7.0</v>
      </c>
      <c r="O54" s="2" t="s">
        <v>219</v>
      </c>
      <c r="P54" s="2" t="s">
        <v>166</v>
      </c>
      <c r="R54" s="2" t="s">
        <v>167</v>
      </c>
      <c r="S54" s="11">
        <v>42219.665289351855</v>
      </c>
    </row>
    <row r="55" ht="12.75" hidden="1" customHeight="1">
      <c r="A55" s="2" t="str">
        <f>IF(VLOOKUP(E55,Sheet4!$A$585:$B$786,2,0)=0,1, )</f>
        <v>1</v>
      </c>
      <c r="B55" s="2" t="str">
        <f t="shared" si="1"/>
        <v/>
      </c>
      <c r="C55" s="2" t="str">
        <f t="shared" si="2"/>
        <v>1400003006-14000037</v>
      </c>
      <c r="D55" s="2">
        <v>3.20081023E8</v>
      </c>
      <c r="E55" s="2">
        <v>1.400003006E9</v>
      </c>
      <c r="F55" s="2">
        <v>1.4000037E7</v>
      </c>
      <c r="G55" s="2">
        <v>1.0</v>
      </c>
      <c r="H55" s="2">
        <v>88750.0</v>
      </c>
      <c r="I55" s="2">
        <v>355000.0</v>
      </c>
      <c r="J55" s="2">
        <v>1.0</v>
      </c>
      <c r="K55" s="2">
        <v>7.0</v>
      </c>
      <c r="O55" s="2" t="s">
        <v>219</v>
      </c>
      <c r="P55" s="2" t="s">
        <v>166</v>
      </c>
      <c r="R55" s="2" t="s">
        <v>167</v>
      </c>
      <c r="S55" s="11">
        <v>42219.665289351855</v>
      </c>
    </row>
    <row r="56" ht="12.75" hidden="1" customHeight="1">
      <c r="A56" s="2" t="str">
        <f>IF(VLOOKUP(E56,Sheet4!$A$585:$B$786,2,0)=0,1, )</f>
        <v>1</v>
      </c>
      <c r="B56" s="2" t="str">
        <f t="shared" si="1"/>
        <v>1</v>
      </c>
      <c r="C56" s="2" t="str">
        <f t="shared" si="2"/>
        <v>1400003017-7547</v>
      </c>
      <c r="D56" s="2">
        <v>3.20081062E8</v>
      </c>
      <c r="E56" s="2">
        <v>1.400003017E9</v>
      </c>
      <c r="F56" s="2">
        <v>7547.0</v>
      </c>
      <c r="G56" s="2">
        <v>6.0</v>
      </c>
      <c r="H56" s="2">
        <v>495000.0</v>
      </c>
      <c r="I56" s="2">
        <v>1980000.0</v>
      </c>
      <c r="J56" s="2">
        <v>1.0</v>
      </c>
      <c r="K56" s="2">
        <v>7.0</v>
      </c>
      <c r="O56" s="2" t="s">
        <v>221</v>
      </c>
      <c r="P56" s="2" t="s">
        <v>166</v>
      </c>
      <c r="R56" s="2" t="s">
        <v>167</v>
      </c>
      <c r="S56" s="11">
        <v>42219.6653125</v>
      </c>
    </row>
    <row r="57" ht="12.75" hidden="1" customHeight="1">
      <c r="A57" s="2" t="str">
        <f>IF(VLOOKUP(E57,Sheet4!$A$585:$B$786,2,0)=0,1, )</f>
        <v>1</v>
      </c>
      <c r="B57" s="2" t="str">
        <f t="shared" si="1"/>
        <v/>
      </c>
      <c r="C57" s="2" t="str">
        <f t="shared" si="2"/>
        <v>1400003017-7547</v>
      </c>
      <c r="D57" s="2">
        <v>3.20081063E8</v>
      </c>
      <c r="E57" s="2">
        <v>1.400003017E9</v>
      </c>
      <c r="F57" s="2">
        <v>7547.0</v>
      </c>
      <c r="G57" s="2">
        <v>6.0</v>
      </c>
      <c r="H57" s="2">
        <v>495000.0</v>
      </c>
      <c r="I57" s="2">
        <v>1980000.0</v>
      </c>
      <c r="J57" s="2">
        <v>1.0</v>
      </c>
      <c r="K57" s="2">
        <v>7.0</v>
      </c>
      <c r="O57" s="2" t="s">
        <v>221</v>
      </c>
      <c r="P57" s="2" t="s">
        <v>166</v>
      </c>
      <c r="R57" s="2" t="s">
        <v>167</v>
      </c>
      <c r="S57" s="11">
        <v>42219.6653125</v>
      </c>
    </row>
    <row r="58" ht="12.75" hidden="1" customHeight="1">
      <c r="A58" s="2" t="str">
        <f>IF(VLOOKUP(E58,Sheet4!$A$585:$B$786,2,0)=0,1, )</f>
        <v>1</v>
      </c>
      <c r="B58" s="2" t="str">
        <f t="shared" si="1"/>
        <v>1</v>
      </c>
      <c r="C58" s="2" t="str">
        <f t="shared" si="2"/>
        <v>1400003017-7548</v>
      </c>
      <c r="D58" s="2">
        <v>3.20081065E8</v>
      </c>
      <c r="E58" s="2">
        <v>1.400003017E9</v>
      </c>
      <c r="F58" s="2">
        <v>7548.0</v>
      </c>
      <c r="G58" s="2">
        <v>1.0</v>
      </c>
      <c r="H58" s="2">
        <v>82500.0</v>
      </c>
      <c r="I58" s="2">
        <v>330000.0</v>
      </c>
      <c r="J58" s="2">
        <v>1.0</v>
      </c>
      <c r="K58" s="2">
        <v>7.0</v>
      </c>
      <c r="O58" s="2" t="s">
        <v>223</v>
      </c>
      <c r="P58" s="2" t="s">
        <v>166</v>
      </c>
      <c r="R58" s="2" t="s">
        <v>167</v>
      </c>
      <c r="S58" s="11">
        <v>42219.6653125</v>
      </c>
    </row>
    <row r="59" ht="12.75" hidden="1" customHeight="1">
      <c r="A59" s="2" t="str">
        <f>IF(VLOOKUP(E59,Sheet4!$A$585:$B$786,2,0)=0,1, )</f>
        <v>1</v>
      </c>
      <c r="B59" s="2" t="str">
        <f t="shared" si="1"/>
        <v/>
      </c>
      <c r="C59" s="2" t="str">
        <f t="shared" si="2"/>
        <v>1400003017-7548</v>
      </c>
      <c r="D59" s="2">
        <v>3.20081064E8</v>
      </c>
      <c r="E59" s="2">
        <v>1.400003017E9</v>
      </c>
      <c r="F59" s="2">
        <v>7548.0</v>
      </c>
      <c r="G59" s="2">
        <v>1.0</v>
      </c>
      <c r="H59" s="2">
        <v>82500.0</v>
      </c>
      <c r="I59" s="2">
        <v>330000.0</v>
      </c>
      <c r="J59" s="2">
        <v>1.0</v>
      </c>
      <c r="K59" s="2">
        <v>7.0</v>
      </c>
      <c r="O59" s="2" t="s">
        <v>223</v>
      </c>
      <c r="P59" s="2" t="s">
        <v>166</v>
      </c>
      <c r="R59" s="2" t="s">
        <v>167</v>
      </c>
      <c r="S59" s="11">
        <v>42219.6653125</v>
      </c>
    </row>
    <row r="60" ht="12.75" hidden="1" customHeight="1">
      <c r="A60" s="2" t="str">
        <f>IF(VLOOKUP(E60,Sheet4!$A$585:$B$786,2,0)=0,1, )</f>
        <v>1</v>
      </c>
      <c r="B60" s="2" t="str">
        <f t="shared" si="1"/>
        <v>1</v>
      </c>
      <c r="C60" s="2" t="str">
        <f t="shared" si="2"/>
        <v>1400003017-11863</v>
      </c>
      <c r="D60" s="2">
        <v>3.20081034E8</v>
      </c>
      <c r="E60" s="2">
        <v>1.400003017E9</v>
      </c>
      <c r="F60" s="2">
        <v>11863.0</v>
      </c>
      <c r="G60" s="2">
        <v>1.0</v>
      </c>
      <c r="H60" s="2">
        <v>83600.0</v>
      </c>
      <c r="I60" s="2">
        <v>380000.0</v>
      </c>
      <c r="J60" s="2">
        <v>1.0</v>
      </c>
      <c r="K60" s="2">
        <v>7.0</v>
      </c>
      <c r="O60" s="2" t="s">
        <v>225</v>
      </c>
      <c r="P60" s="2" t="s">
        <v>166</v>
      </c>
      <c r="R60" s="2" t="s">
        <v>167</v>
      </c>
      <c r="S60" s="11">
        <v>42219.6653125</v>
      </c>
    </row>
    <row r="61" ht="12.75" hidden="1" customHeight="1">
      <c r="A61" s="2" t="str">
        <f>IF(VLOOKUP(E61,Sheet4!$A$585:$B$786,2,0)=0,1, )</f>
        <v>1</v>
      </c>
      <c r="B61" s="2" t="str">
        <f t="shared" si="1"/>
        <v/>
      </c>
      <c r="C61" s="2" t="str">
        <f t="shared" si="2"/>
        <v>1400003017-11863</v>
      </c>
      <c r="D61" s="2">
        <v>3.20081035E8</v>
      </c>
      <c r="E61" s="2">
        <v>1.400003017E9</v>
      </c>
      <c r="F61" s="2">
        <v>11863.0</v>
      </c>
      <c r="G61" s="2">
        <v>1.0</v>
      </c>
      <c r="H61" s="2">
        <v>83600.0</v>
      </c>
      <c r="I61" s="2">
        <v>380000.0</v>
      </c>
      <c r="J61" s="2">
        <v>1.0</v>
      </c>
      <c r="K61" s="2">
        <v>7.0</v>
      </c>
      <c r="O61" s="2" t="s">
        <v>225</v>
      </c>
      <c r="P61" s="2" t="s">
        <v>166</v>
      </c>
      <c r="R61" s="2" t="s">
        <v>167</v>
      </c>
      <c r="S61" s="11">
        <v>42219.6653125</v>
      </c>
    </row>
    <row r="62" ht="12.75" hidden="1" customHeight="1">
      <c r="A62" s="2" t="str">
        <f>IF(VLOOKUP(E62,Sheet4!$A$585:$B$786,2,0)=0,1, )</f>
        <v>1</v>
      </c>
      <c r="B62" s="2" t="str">
        <f t="shared" si="1"/>
        <v>1</v>
      </c>
      <c r="C62" s="2" t="str">
        <f t="shared" si="2"/>
        <v>1400003017-11923</v>
      </c>
      <c r="D62" s="2">
        <v>3.2008105E8</v>
      </c>
      <c r="E62" s="2">
        <v>1.400003017E9</v>
      </c>
      <c r="F62" s="2">
        <v>11923.0</v>
      </c>
      <c r="G62" s="2">
        <v>2.0</v>
      </c>
      <c r="H62" s="2">
        <v>128920.0</v>
      </c>
      <c r="I62" s="2">
        <v>586000.0</v>
      </c>
      <c r="J62" s="2">
        <v>1.0</v>
      </c>
      <c r="K62" s="2">
        <v>7.0</v>
      </c>
      <c r="O62" s="2" t="s">
        <v>227</v>
      </c>
      <c r="P62" s="2" t="s">
        <v>166</v>
      </c>
      <c r="R62" s="2" t="s">
        <v>167</v>
      </c>
      <c r="S62" s="11">
        <v>42219.6653125</v>
      </c>
    </row>
    <row r="63" ht="12.75" hidden="1" customHeight="1">
      <c r="A63" s="2" t="str">
        <f>IF(VLOOKUP(E63,Sheet4!$A$585:$B$786,2,0)=0,1, )</f>
        <v>1</v>
      </c>
      <c r="B63" s="2" t="str">
        <f t="shared" si="1"/>
        <v/>
      </c>
      <c r="C63" s="2" t="str">
        <f t="shared" si="2"/>
        <v>1400003017-11923</v>
      </c>
      <c r="D63" s="2">
        <v>3.20081051E8</v>
      </c>
      <c r="E63" s="2">
        <v>1.400003017E9</v>
      </c>
      <c r="F63" s="2">
        <v>11923.0</v>
      </c>
      <c r="G63" s="2">
        <v>2.0</v>
      </c>
      <c r="H63" s="2">
        <v>128920.0</v>
      </c>
      <c r="I63" s="2">
        <v>586000.0</v>
      </c>
      <c r="J63" s="2">
        <v>1.0</v>
      </c>
      <c r="K63" s="2">
        <v>7.0</v>
      </c>
      <c r="O63" s="2" t="s">
        <v>227</v>
      </c>
      <c r="P63" s="2" t="s">
        <v>166</v>
      </c>
      <c r="R63" s="2" t="s">
        <v>167</v>
      </c>
      <c r="S63" s="11">
        <v>42219.6653125</v>
      </c>
    </row>
    <row r="64" ht="12.75" hidden="1" customHeight="1">
      <c r="A64" s="2" t="str">
        <f>IF(VLOOKUP(E64,Sheet4!$A$585:$B$786,2,0)=0,1, )</f>
        <v>1</v>
      </c>
      <c r="B64" s="2" t="str">
        <f t="shared" si="1"/>
        <v>1</v>
      </c>
      <c r="C64" s="2" t="str">
        <f t="shared" si="2"/>
        <v>1400003017-13687</v>
      </c>
      <c r="D64" s="2">
        <v>3.20081052E8</v>
      </c>
      <c r="E64" s="2">
        <v>1.400003017E9</v>
      </c>
      <c r="F64" s="2">
        <v>13687.0</v>
      </c>
      <c r="G64" s="2">
        <v>1.0</v>
      </c>
      <c r="H64" s="2">
        <v>64460.0</v>
      </c>
      <c r="I64" s="2">
        <v>293000.0</v>
      </c>
      <c r="J64" s="2">
        <v>1.0</v>
      </c>
      <c r="K64" s="2">
        <v>7.0</v>
      </c>
      <c r="O64" s="2" t="s">
        <v>229</v>
      </c>
      <c r="P64" s="2" t="s">
        <v>166</v>
      </c>
      <c r="R64" s="2" t="s">
        <v>167</v>
      </c>
      <c r="S64" s="11">
        <v>42219.6653125</v>
      </c>
    </row>
    <row r="65" ht="12.75" hidden="1" customHeight="1">
      <c r="A65" s="2" t="str">
        <f>IF(VLOOKUP(E65,Sheet4!$A$585:$B$786,2,0)=0,1, )</f>
        <v>1</v>
      </c>
      <c r="B65" s="2" t="str">
        <f t="shared" si="1"/>
        <v/>
      </c>
      <c r="C65" s="2" t="str">
        <f t="shared" si="2"/>
        <v>1400003017-13687</v>
      </c>
      <c r="D65" s="2">
        <v>3.20081053E8</v>
      </c>
      <c r="E65" s="2">
        <v>1.400003017E9</v>
      </c>
      <c r="F65" s="2">
        <v>13687.0</v>
      </c>
      <c r="G65" s="2">
        <v>1.0</v>
      </c>
      <c r="H65" s="2">
        <v>64460.0</v>
      </c>
      <c r="I65" s="2">
        <v>293000.0</v>
      </c>
      <c r="J65" s="2">
        <v>1.0</v>
      </c>
      <c r="K65" s="2">
        <v>7.0</v>
      </c>
      <c r="O65" s="2" t="s">
        <v>229</v>
      </c>
      <c r="P65" s="2" t="s">
        <v>166</v>
      </c>
      <c r="R65" s="2" t="s">
        <v>167</v>
      </c>
      <c r="S65" s="11">
        <v>42219.6653125</v>
      </c>
    </row>
    <row r="66" ht="12.75" hidden="1" customHeight="1">
      <c r="A66" s="2" t="str">
        <f>IF(VLOOKUP(E66,Sheet4!$A$585:$B$786,2,0)=0,1, )</f>
        <v>1</v>
      </c>
      <c r="B66" s="2" t="str">
        <f t="shared" si="1"/>
        <v>1</v>
      </c>
      <c r="C66" s="2" t="str">
        <f t="shared" si="2"/>
        <v>1400003017-13721</v>
      </c>
      <c r="D66" s="2">
        <v>3.2008104E8</v>
      </c>
      <c r="E66" s="2">
        <v>1.400003017E9</v>
      </c>
      <c r="F66" s="2">
        <v>13721.0</v>
      </c>
      <c r="G66" s="2">
        <v>1.0</v>
      </c>
      <c r="H66" s="2">
        <v>95700.0</v>
      </c>
      <c r="I66" s="2">
        <v>435000.0</v>
      </c>
      <c r="J66" s="2">
        <v>1.0</v>
      </c>
      <c r="K66" s="2">
        <v>7.0</v>
      </c>
      <c r="O66" s="2" t="s">
        <v>231</v>
      </c>
      <c r="P66" s="2" t="s">
        <v>166</v>
      </c>
      <c r="R66" s="2" t="s">
        <v>167</v>
      </c>
      <c r="S66" s="11">
        <v>42219.6653125</v>
      </c>
    </row>
    <row r="67" ht="12.75" hidden="1" customHeight="1">
      <c r="A67" s="2" t="str">
        <f>IF(VLOOKUP(E67,Sheet4!$A$585:$B$786,2,0)=0,1, )</f>
        <v>1</v>
      </c>
      <c r="B67" s="2" t="str">
        <f t="shared" si="1"/>
        <v/>
      </c>
      <c r="C67" s="2" t="str">
        <f t="shared" si="2"/>
        <v>1400003017-13721</v>
      </c>
      <c r="D67" s="2">
        <v>3.20081041E8</v>
      </c>
      <c r="E67" s="2">
        <v>1.400003017E9</v>
      </c>
      <c r="F67" s="2">
        <v>13721.0</v>
      </c>
      <c r="G67" s="2">
        <v>1.0</v>
      </c>
      <c r="H67" s="2">
        <v>95700.0</v>
      </c>
      <c r="I67" s="2">
        <v>435000.0</v>
      </c>
      <c r="J67" s="2">
        <v>1.0</v>
      </c>
      <c r="K67" s="2">
        <v>7.0</v>
      </c>
      <c r="O67" s="2" t="s">
        <v>231</v>
      </c>
      <c r="P67" s="2" t="s">
        <v>166</v>
      </c>
      <c r="R67" s="2" t="s">
        <v>167</v>
      </c>
      <c r="S67" s="11">
        <v>42219.6653125</v>
      </c>
    </row>
    <row r="68" ht="12.75" hidden="1" customHeight="1">
      <c r="A68" s="2" t="str">
        <f>IF(VLOOKUP(E68,Sheet4!$A$585:$B$786,2,0)=0,1, )</f>
        <v>1</v>
      </c>
      <c r="B68" s="2" t="str">
        <f t="shared" si="1"/>
        <v>1</v>
      </c>
      <c r="C68" s="2" t="str">
        <f t="shared" si="2"/>
        <v>1400003017-13724</v>
      </c>
      <c r="D68" s="2">
        <v>3.20081042E8</v>
      </c>
      <c r="E68" s="2">
        <v>1.400003017E9</v>
      </c>
      <c r="F68" s="2">
        <v>13724.0</v>
      </c>
      <c r="G68" s="2">
        <v>1.0</v>
      </c>
      <c r="H68" s="2">
        <v>95700.0</v>
      </c>
      <c r="I68" s="2">
        <v>435000.0</v>
      </c>
      <c r="J68" s="2">
        <v>1.0</v>
      </c>
      <c r="K68" s="2">
        <v>7.0</v>
      </c>
      <c r="O68" s="2" t="s">
        <v>231</v>
      </c>
      <c r="P68" s="2" t="s">
        <v>166</v>
      </c>
      <c r="R68" s="2" t="s">
        <v>167</v>
      </c>
      <c r="S68" s="11">
        <v>42219.6653125</v>
      </c>
    </row>
    <row r="69" ht="12.75" hidden="1" customHeight="1">
      <c r="A69" s="2" t="str">
        <f>IF(VLOOKUP(E69,Sheet4!$A$585:$B$786,2,0)=0,1, )</f>
        <v>1</v>
      </c>
      <c r="B69" s="2" t="str">
        <f t="shared" si="1"/>
        <v/>
      </c>
      <c r="C69" s="2" t="str">
        <f t="shared" si="2"/>
        <v>1400003017-13724</v>
      </c>
      <c r="D69" s="2">
        <v>3.20081043E8</v>
      </c>
      <c r="E69" s="2">
        <v>1.400003017E9</v>
      </c>
      <c r="F69" s="2">
        <v>13724.0</v>
      </c>
      <c r="G69" s="2">
        <v>1.0</v>
      </c>
      <c r="H69" s="2">
        <v>95700.0</v>
      </c>
      <c r="I69" s="2">
        <v>435000.0</v>
      </c>
      <c r="J69" s="2">
        <v>1.0</v>
      </c>
      <c r="K69" s="2">
        <v>7.0</v>
      </c>
      <c r="O69" s="2" t="s">
        <v>231</v>
      </c>
      <c r="P69" s="2" t="s">
        <v>166</v>
      </c>
      <c r="R69" s="2" t="s">
        <v>167</v>
      </c>
      <c r="S69" s="11">
        <v>42219.6653125</v>
      </c>
    </row>
    <row r="70" ht="12.75" hidden="1" customHeight="1">
      <c r="A70" s="2" t="str">
        <f>IF(VLOOKUP(E70,Sheet4!$A$585:$B$786,2,0)=0,1, )</f>
        <v>1</v>
      </c>
      <c r="B70" s="2" t="str">
        <f t="shared" si="1"/>
        <v>1</v>
      </c>
      <c r="C70" s="2" t="str">
        <f t="shared" si="2"/>
        <v>1400003017-14113</v>
      </c>
      <c r="D70" s="2">
        <v>3.20081044E8</v>
      </c>
      <c r="E70" s="2">
        <v>1.400003017E9</v>
      </c>
      <c r="F70" s="2">
        <v>14113.0</v>
      </c>
      <c r="G70" s="2">
        <v>5.0</v>
      </c>
      <c r="H70" s="2">
        <v>531250.0</v>
      </c>
      <c r="I70" s="2">
        <v>2125000.0</v>
      </c>
      <c r="J70" s="2">
        <v>1.0</v>
      </c>
      <c r="K70" s="2">
        <v>7.0</v>
      </c>
      <c r="O70" s="2" t="s">
        <v>205</v>
      </c>
      <c r="P70" s="2" t="s">
        <v>166</v>
      </c>
      <c r="R70" s="2" t="s">
        <v>167</v>
      </c>
      <c r="S70" s="11">
        <v>42219.6653125</v>
      </c>
    </row>
    <row r="71" ht="12.75" hidden="1" customHeight="1">
      <c r="A71" s="2" t="str">
        <f>IF(VLOOKUP(E71,Sheet4!$A$585:$B$786,2,0)=0,1, )</f>
        <v>1</v>
      </c>
      <c r="B71" s="2" t="str">
        <f t="shared" si="1"/>
        <v/>
      </c>
      <c r="C71" s="2" t="str">
        <f t="shared" si="2"/>
        <v>1400003017-14113</v>
      </c>
      <c r="D71" s="2">
        <v>3.20081045E8</v>
      </c>
      <c r="E71" s="2">
        <v>1.400003017E9</v>
      </c>
      <c r="F71" s="2">
        <v>14113.0</v>
      </c>
      <c r="G71" s="2">
        <v>5.0</v>
      </c>
      <c r="H71" s="2">
        <v>531250.0</v>
      </c>
      <c r="I71" s="2">
        <v>2125000.0</v>
      </c>
      <c r="J71" s="2">
        <v>1.0</v>
      </c>
      <c r="K71" s="2">
        <v>7.0</v>
      </c>
      <c r="O71" s="2" t="s">
        <v>205</v>
      </c>
      <c r="P71" s="2" t="s">
        <v>166</v>
      </c>
      <c r="R71" s="2" t="s">
        <v>167</v>
      </c>
      <c r="S71" s="11">
        <v>42219.6653125</v>
      </c>
    </row>
    <row r="72" ht="12.75" hidden="1" customHeight="1">
      <c r="A72" s="2" t="str">
        <f>IF(VLOOKUP(E72,Sheet4!$A$585:$B$786,2,0)=0,1, )</f>
        <v>1</v>
      </c>
      <c r="B72" s="2" t="str">
        <f t="shared" si="1"/>
        <v>1</v>
      </c>
      <c r="C72" s="2" t="str">
        <f t="shared" si="2"/>
        <v>1400003017-15070</v>
      </c>
      <c r="D72" s="2">
        <v>3.20081046E8</v>
      </c>
      <c r="E72" s="2">
        <v>1.400003017E9</v>
      </c>
      <c r="F72" s="2">
        <v>15070.0</v>
      </c>
      <c r="G72" s="2">
        <v>5.0</v>
      </c>
      <c r="H72" s="2">
        <v>527500.0</v>
      </c>
      <c r="I72" s="2">
        <v>2110000.0</v>
      </c>
      <c r="J72" s="2">
        <v>1.0</v>
      </c>
      <c r="K72" s="2">
        <v>7.0</v>
      </c>
      <c r="O72" s="2" t="s">
        <v>235</v>
      </c>
      <c r="P72" s="2" t="s">
        <v>166</v>
      </c>
      <c r="R72" s="2" t="s">
        <v>167</v>
      </c>
      <c r="S72" s="11">
        <v>42219.6653125</v>
      </c>
    </row>
    <row r="73" ht="12.75" hidden="1" customHeight="1">
      <c r="A73" s="2" t="str">
        <f>IF(VLOOKUP(E73,Sheet4!$A$585:$B$786,2,0)=0,1, )</f>
        <v>1</v>
      </c>
      <c r="B73" s="2" t="str">
        <f t="shared" si="1"/>
        <v/>
      </c>
      <c r="C73" s="2" t="str">
        <f t="shared" si="2"/>
        <v>1400003017-15070</v>
      </c>
      <c r="D73" s="2">
        <v>3.20081047E8</v>
      </c>
      <c r="E73" s="2">
        <v>1.400003017E9</v>
      </c>
      <c r="F73" s="2">
        <v>15070.0</v>
      </c>
      <c r="G73" s="2">
        <v>5.0</v>
      </c>
      <c r="H73" s="2">
        <v>527500.0</v>
      </c>
      <c r="I73" s="2">
        <v>2110000.0</v>
      </c>
      <c r="J73" s="2">
        <v>1.0</v>
      </c>
      <c r="K73" s="2">
        <v>7.0</v>
      </c>
      <c r="O73" s="2" t="s">
        <v>235</v>
      </c>
      <c r="P73" s="2" t="s">
        <v>166</v>
      </c>
      <c r="R73" s="2" t="s">
        <v>167</v>
      </c>
      <c r="S73" s="11">
        <v>42219.6653125</v>
      </c>
    </row>
    <row r="74" ht="12.75" hidden="1" customHeight="1">
      <c r="A74" s="2" t="str">
        <f>IF(VLOOKUP(E74,Sheet4!$A$585:$B$786,2,0)=0,1, )</f>
        <v>1</v>
      </c>
      <c r="B74" s="2" t="str">
        <f t="shared" si="1"/>
        <v>1</v>
      </c>
      <c r="C74" s="2" t="str">
        <f t="shared" si="2"/>
        <v>1400003017-15125</v>
      </c>
      <c r="D74" s="2">
        <v>3.2008107E8</v>
      </c>
      <c r="E74" s="2">
        <v>1.400003017E9</v>
      </c>
      <c r="F74" s="2">
        <v>15125.0</v>
      </c>
      <c r="G74" s="2">
        <v>1.0</v>
      </c>
      <c r="H74" s="2">
        <v>138600.0</v>
      </c>
      <c r="I74" s="2">
        <v>630000.0</v>
      </c>
      <c r="J74" s="2">
        <v>1.0</v>
      </c>
      <c r="K74" s="2">
        <v>7.0</v>
      </c>
      <c r="O74" s="2" t="s">
        <v>237</v>
      </c>
      <c r="P74" s="2" t="s">
        <v>166</v>
      </c>
      <c r="R74" s="2" t="s">
        <v>167</v>
      </c>
      <c r="S74" s="11">
        <v>42219.66532407407</v>
      </c>
    </row>
    <row r="75" ht="12.75" hidden="1" customHeight="1">
      <c r="A75" s="2" t="str">
        <f>IF(VLOOKUP(E75,Sheet4!$A$585:$B$786,2,0)=0,1, )</f>
        <v>1</v>
      </c>
      <c r="B75" s="2" t="str">
        <f t="shared" si="1"/>
        <v/>
      </c>
      <c r="C75" s="2" t="str">
        <f t="shared" si="2"/>
        <v>1400003017-15125</v>
      </c>
      <c r="D75" s="2">
        <v>3.20081071E8</v>
      </c>
      <c r="E75" s="2">
        <v>1.400003017E9</v>
      </c>
      <c r="F75" s="2">
        <v>15125.0</v>
      </c>
      <c r="G75" s="2">
        <v>1.0</v>
      </c>
      <c r="H75" s="2">
        <v>138600.0</v>
      </c>
      <c r="I75" s="2">
        <v>630000.0</v>
      </c>
      <c r="J75" s="2">
        <v>1.0</v>
      </c>
      <c r="K75" s="2">
        <v>7.0</v>
      </c>
      <c r="O75" s="2" t="s">
        <v>237</v>
      </c>
      <c r="P75" s="2" t="s">
        <v>166</v>
      </c>
      <c r="R75" s="2" t="s">
        <v>167</v>
      </c>
      <c r="S75" s="11">
        <v>42219.66532407407</v>
      </c>
    </row>
    <row r="76" ht="12.75" hidden="1" customHeight="1">
      <c r="A76" s="2" t="str">
        <f>IF(VLOOKUP(E76,Sheet4!$A$585:$B$786,2,0)=0,1, )</f>
        <v>1</v>
      </c>
      <c r="B76" s="2" t="str">
        <f t="shared" si="1"/>
        <v>1</v>
      </c>
      <c r="C76" s="2" t="str">
        <f t="shared" si="2"/>
        <v>1400003017-15952</v>
      </c>
      <c r="D76" s="2">
        <v>3.20081058E8</v>
      </c>
      <c r="E76" s="2">
        <v>1.400003017E9</v>
      </c>
      <c r="F76" s="2">
        <v>15952.0</v>
      </c>
      <c r="G76" s="2">
        <v>2.0</v>
      </c>
      <c r="H76" s="2">
        <v>261800.0</v>
      </c>
      <c r="I76" s="2">
        <v>1190000.0</v>
      </c>
      <c r="J76" s="2">
        <v>1.0</v>
      </c>
      <c r="K76" s="2">
        <v>7.0</v>
      </c>
      <c r="O76" s="2" t="s">
        <v>239</v>
      </c>
      <c r="P76" s="2" t="s">
        <v>166</v>
      </c>
      <c r="R76" s="2" t="s">
        <v>167</v>
      </c>
      <c r="S76" s="11">
        <v>42219.6653125</v>
      </c>
    </row>
    <row r="77" ht="12.75" hidden="1" customHeight="1">
      <c r="A77" s="2" t="str">
        <f>IF(VLOOKUP(E77,Sheet4!$A$585:$B$786,2,0)=0,1, )</f>
        <v>1</v>
      </c>
      <c r="B77" s="2" t="str">
        <f t="shared" si="1"/>
        <v/>
      </c>
      <c r="C77" s="2" t="str">
        <f t="shared" si="2"/>
        <v>1400003017-15952</v>
      </c>
      <c r="D77" s="2">
        <v>3.20081059E8</v>
      </c>
      <c r="E77" s="2">
        <v>1.400003017E9</v>
      </c>
      <c r="F77" s="2">
        <v>15952.0</v>
      </c>
      <c r="G77" s="2">
        <v>2.0</v>
      </c>
      <c r="H77" s="2">
        <v>261800.0</v>
      </c>
      <c r="I77" s="2">
        <v>1190000.0</v>
      </c>
      <c r="J77" s="2">
        <v>1.0</v>
      </c>
      <c r="K77" s="2">
        <v>7.0</v>
      </c>
      <c r="O77" s="2" t="s">
        <v>239</v>
      </c>
      <c r="P77" s="2" t="s">
        <v>166</v>
      </c>
      <c r="R77" s="2" t="s">
        <v>167</v>
      </c>
      <c r="S77" s="11">
        <v>42219.6653125</v>
      </c>
    </row>
    <row r="78" ht="12.75" hidden="1" customHeight="1">
      <c r="A78" s="2" t="str">
        <f>IF(VLOOKUP(E78,Sheet4!$A$585:$B$786,2,0)=0,1, )</f>
        <v>1</v>
      </c>
      <c r="B78" s="2" t="str">
        <f t="shared" si="1"/>
        <v>1</v>
      </c>
      <c r="C78" s="2" t="str">
        <f t="shared" si="2"/>
        <v>1400003017-15990</v>
      </c>
      <c r="D78" s="2">
        <v>3.20081037E8</v>
      </c>
      <c r="E78" s="2">
        <v>1.400003017E9</v>
      </c>
      <c r="F78" s="2">
        <v>15990.0</v>
      </c>
      <c r="G78" s="2">
        <v>1.0</v>
      </c>
      <c r="H78" s="2">
        <v>84700.0</v>
      </c>
      <c r="I78" s="2">
        <v>385000.0</v>
      </c>
      <c r="J78" s="2">
        <v>1.0</v>
      </c>
      <c r="K78" s="2">
        <v>7.0</v>
      </c>
      <c r="O78" s="2" t="s">
        <v>241</v>
      </c>
      <c r="P78" s="2" t="s">
        <v>166</v>
      </c>
      <c r="R78" s="2" t="s">
        <v>167</v>
      </c>
      <c r="S78" s="11">
        <v>42219.6653125</v>
      </c>
    </row>
    <row r="79" ht="12.75" hidden="1" customHeight="1">
      <c r="A79" s="2" t="str">
        <f>IF(VLOOKUP(E79,Sheet4!$A$585:$B$786,2,0)=0,1, )</f>
        <v>1</v>
      </c>
      <c r="B79" s="2" t="str">
        <f t="shared" si="1"/>
        <v/>
      </c>
      <c r="C79" s="2" t="str">
        <f t="shared" si="2"/>
        <v>1400003017-15990</v>
      </c>
      <c r="D79" s="2">
        <v>3.20081036E8</v>
      </c>
      <c r="E79" s="2">
        <v>1.400003017E9</v>
      </c>
      <c r="F79" s="2">
        <v>15990.0</v>
      </c>
      <c r="G79" s="2">
        <v>1.0</v>
      </c>
      <c r="H79" s="2">
        <v>84700.0</v>
      </c>
      <c r="I79" s="2">
        <v>385000.0</v>
      </c>
      <c r="J79" s="2">
        <v>1.0</v>
      </c>
      <c r="K79" s="2">
        <v>7.0</v>
      </c>
      <c r="O79" s="2" t="s">
        <v>241</v>
      </c>
      <c r="P79" s="2" t="s">
        <v>166</v>
      </c>
      <c r="R79" s="2" t="s">
        <v>167</v>
      </c>
      <c r="S79" s="11">
        <v>42219.6653125</v>
      </c>
    </row>
    <row r="80" ht="12.75" hidden="1" customHeight="1">
      <c r="A80" s="2" t="str">
        <f>IF(VLOOKUP(E80,Sheet4!$A$585:$B$786,2,0)=0,1, )</f>
        <v>1</v>
      </c>
      <c r="B80" s="2" t="str">
        <f t="shared" si="1"/>
        <v>1</v>
      </c>
      <c r="C80" s="2" t="str">
        <f t="shared" si="2"/>
        <v>1400003017-16130</v>
      </c>
      <c r="D80" s="2">
        <v>3.20081055E8</v>
      </c>
      <c r="E80" s="2">
        <v>1.400003017E9</v>
      </c>
      <c r="F80" s="2">
        <v>16130.0</v>
      </c>
      <c r="G80" s="2">
        <v>2.0</v>
      </c>
      <c r="H80" s="2">
        <v>128920.0</v>
      </c>
      <c r="I80" s="2">
        <v>586000.0</v>
      </c>
      <c r="J80" s="2">
        <v>1.0</v>
      </c>
      <c r="K80" s="2">
        <v>7.0</v>
      </c>
      <c r="O80" s="2" t="s">
        <v>243</v>
      </c>
      <c r="P80" s="2" t="s">
        <v>166</v>
      </c>
      <c r="R80" s="2" t="s">
        <v>167</v>
      </c>
      <c r="S80" s="11">
        <v>42219.6653125</v>
      </c>
    </row>
    <row r="81" ht="12.75" hidden="1" customHeight="1">
      <c r="A81" s="2" t="str">
        <f>IF(VLOOKUP(E81,Sheet4!$A$585:$B$786,2,0)=0,1, )</f>
        <v>1</v>
      </c>
      <c r="B81" s="2" t="str">
        <f t="shared" si="1"/>
        <v/>
      </c>
      <c r="C81" s="2" t="str">
        <f t="shared" si="2"/>
        <v>1400003017-16130</v>
      </c>
      <c r="D81" s="2">
        <v>3.20081054E8</v>
      </c>
      <c r="E81" s="2">
        <v>1.400003017E9</v>
      </c>
      <c r="F81" s="2">
        <v>16130.0</v>
      </c>
      <c r="G81" s="2">
        <v>2.0</v>
      </c>
      <c r="H81" s="2">
        <v>128920.0</v>
      </c>
      <c r="I81" s="2">
        <v>586000.0</v>
      </c>
      <c r="J81" s="2">
        <v>1.0</v>
      </c>
      <c r="K81" s="2">
        <v>7.0</v>
      </c>
      <c r="O81" s="2" t="s">
        <v>243</v>
      </c>
      <c r="P81" s="2" t="s">
        <v>166</v>
      </c>
      <c r="R81" s="2" t="s">
        <v>167</v>
      </c>
      <c r="S81" s="11">
        <v>42219.6653125</v>
      </c>
    </row>
    <row r="82" ht="12.75" hidden="1" customHeight="1">
      <c r="A82" s="2" t="str">
        <f>IF(VLOOKUP(E82,Sheet4!$A$585:$B$786,2,0)=0,1, )</f>
        <v>1</v>
      </c>
      <c r="B82" s="2" t="str">
        <f t="shared" si="1"/>
        <v>1</v>
      </c>
      <c r="C82" s="2" t="str">
        <f t="shared" si="2"/>
        <v>1400003017-16237</v>
      </c>
      <c r="D82" s="2">
        <v>3.20081056E8</v>
      </c>
      <c r="E82" s="2">
        <v>1.400003017E9</v>
      </c>
      <c r="F82" s="2">
        <v>16237.0</v>
      </c>
      <c r="G82" s="2">
        <v>2.0</v>
      </c>
      <c r="H82" s="2">
        <v>128920.0</v>
      </c>
      <c r="I82" s="2">
        <v>586000.0</v>
      </c>
      <c r="J82" s="2">
        <v>1.0</v>
      </c>
      <c r="K82" s="2">
        <v>7.0</v>
      </c>
      <c r="O82" s="2" t="s">
        <v>245</v>
      </c>
      <c r="P82" s="2" t="s">
        <v>166</v>
      </c>
      <c r="R82" s="2" t="s">
        <v>167</v>
      </c>
      <c r="S82" s="11">
        <v>42219.6653125</v>
      </c>
    </row>
    <row r="83" ht="12.75" hidden="1" customHeight="1">
      <c r="A83" s="2" t="str">
        <f>IF(VLOOKUP(E83,Sheet4!$A$585:$B$786,2,0)=0,1, )</f>
        <v>1</v>
      </c>
      <c r="B83" s="2" t="str">
        <f t="shared" si="1"/>
        <v/>
      </c>
      <c r="C83" s="2" t="str">
        <f t="shared" si="2"/>
        <v>1400003017-16237</v>
      </c>
      <c r="D83" s="2">
        <v>3.20081057E8</v>
      </c>
      <c r="E83" s="2">
        <v>1.400003017E9</v>
      </c>
      <c r="F83" s="2">
        <v>16237.0</v>
      </c>
      <c r="G83" s="2">
        <v>2.0</v>
      </c>
      <c r="H83" s="2">
        <v>128920.0</v>
      </c>
      <c r="I83" s="2">
        <v>586000.0</v>
      </c>
      <c r="J83" s="2">
        <v>1.0</v>
      </c>
      <c r="K83" s="2">
        <v>7.0</v>
      </c>
      <c r="O83" s="2" t="s">
        <v>245</v>
      </c>
      <c r="P83" s="2" t="s">
        <v>166</v>
      </c>
      <c r="R83" s="2" t="s">
        <v>167</v>
      </c>
      <c r="S83" s="11">
        <v>42219.6653125</v>
      </c>
    </row>
    <row r="84" ht="12.75" hidden="1" customHeight="1">
      <c r="A84" s="2" t="str">
        <f>IF(VLOOKUP(E84,Sheet4!$A$585:$B$786,2,0)=0,1, )</f>
        <v>1</v>
      </c>
      <c r="B84" s="2" t="str">
        <f t="shared" si="1"/>
        <v>1</v>
      </c>
      <c r="C84" s="2" t="str">
        <f t="shared" si="2"/>
        <v>1400003017-16345</v>
      </c>
      <c r="D84" s="2">
        <v>3.20081038E8</v>
      </c>
      <c r="E84" s="2">
        <v>1.400003017E9</v>
      </c>
      <c r="F84" s="2">
        <v>16345.0</v>
      </c>
      <c r="G84" s="2">
        <v>3.0</v>
      </c>
      <c r="H84" s="2">
        <v>260700.0</v>
      </c>
      <c r="I84" s="2">
        <v>1185000.0</v>
      </c>
      <c r="J84" s="2">
        <v>1.0</v>
      </c>
      <c r="K84" s="2">
        <v>7.0</v>
      </c>
      <c r="O84" s="2" t="s">
        <v>247</v>
      </c>
      <c r="P84" s="2" t="s">
        <v>166</v>
      </c>
      <c r="R84" s="2" t="s">
        <v>167</v>
      </c>
      <c r="S84" s="11">
        <v>42219.6653125</v>
      </c>
    </row>
    <row r="85" ht="12.75" hidden="1" customHeight="1">
      <c r="A85" s="2" t="str">
        <f>IF(VLOOKUP(E85,Sheet4!$A$585:$B$786,2,0)=0,1, )</f>
        <v>1</v>
      </c>
      <c r="B85" s="2" t="str">
        <f t="shared" si="1"/>
        <v/>
      </c>
      <c r="C85" s="2" t="str">
        <f t="shared" si="2"/>
        <v>1400003017-16345</v>
      </c>
      <c r="D85" s="2">
        <v>3.20081039E8</v>
      </c>
      <c r="E85" s="2">
        <v>1.400003017E9</v>
      </c>
      <c r="F85" s="2">
        <v>16345.0</v>
      </c>
      <c r="G85" s="2">
        <v>3.0</v>
      </c>
      <c r="H85" s="2">
        <v>260700.0</v>
      </c>
      <c r="I85" s="2">
        <v>1185000.0</v>
      </c>
      <c r="J85" s="2">
        <v>1.0</v>
      </c>
      <c r="K85" s="2">
        <v>7.0</v>
      </c>
      <c r="O85" s="2" t="s">
        <v>247</v>
      </c>
      <c r="P85" s="2" t="s">
        <v>166</v>
      </c>
      <c r="R85" s="2" t="s">
        <v>167</v>
      </c>
      <c r="S85" s="11">
        <v>42219.6653125</v>
      </c>
    </row>
    <row r="86" ht="12.75" hidden="1" customHeight="1">
      <c r="A86" s="2" t="str">
        <f>IF(VLOOKUP(E86,Sheet4!$A$585:$B$786,2,0)=0,1, )</f>
        <v>1</v>
      </c>
      <c r="B86" s="2" t="str">
        <f t="shared" si="1"/>
        <v>1</v>
      </c>
      <c r="C86" s="2" t="str">
        <f t="shared" si="2"/>
        <v>1400003017-16779</v>
      </c>
      <c r="D86" s="2">
        <v>3.20081033E8</v>
      </c>
      <c r="E86" s="2">
        <v>1.400003017E9</v>
      </c>
      <c r="F86" s="2">
        <v>16779.0</v>
      </c>
      <c r="G86" s="2">
        <v>5.0</v>
      </c>
      <c r="H86" s="2">
        <v>531250.0</v>
      </c>
      <c r="I86" s="2">
        <v>2125000.0</v>
      </c>
      <c r="J86" s="2">
        <v>1.0</v>
      </c>
      <c r="K86" s="2">
        <v>7.0</v>
      </c>
      <c r="O86" s="2" t="s">
        <v>217</v>
      </c>
      <c r="P86" s="2" t="s">
        <v>166</v>
      </c>
      <c r="R86" s="2" t="s">
        <v>167</v>
      </c>
      <c r="S86" s="11">
        <v>42219.6653125</v>
      </c>
    </row>
    <row r="87" ht="12.75" hidden="1" customHeight="1">
      <c r="A87" s="2" t="str">
        <f>IF(VLOOKUP(E87,Sheet4!$A$585:$B$786,2,0)=0,1, )</f>
        <v>1</v>
      </c>
      <c r="B87" s="2" t="str">
        <f t="shared" si="1"/>
        <v/>
      </c>
      <c r="C87" s="2" t="str">
        <f t="shared" si="2"/>
        <v>1400003017-16779</v>
      </c>
      <c r="D87" s="2">
        <v>3.20081032E8</v>
      </c>
      <c r="E87" s="2">
        <v>1.400003017E9</v>
      </c>
      <c r="F87" s="2">
        <v>16779.0</v>
      </c>
      <c r="G87" s="2">
        <v>5.0</v>
      </c>
      <c r="H87" s="2">
        <v>531250.0</v>
      </c>
      <c r="I87" s="2">
        <v>2125000.0</v>
      </c>
      <c r="J87" s="2">
        <v>1.0</v>
      </c>
      <c r="K87" s="2">
        <v>7.0</v>
      </c>
      <c r="O87" s="2" t="s">
        <v>217</v>
      </c>
      <c r="P87" s="2" t="s">
        <v>166</v>
      </c>
      <c r="R87" s="2" t="s">
        <v>167</v>
      </c>
      <c r="S87" s="11">
        <v>42219.6653125</v>
      </c>
    </row>
    <row r="88" ht="12.75" hidden="1" customHeight="1">
      <c r="A88" s="2" t="str">
        <f>IF(VLOOKUP(E88,Sheet4!$A$585:$B$786,2,0)=0,1, )</f>
        <v>1</v>
      </c>
      <c r="B88" s="2" t="str">
        <f t="shared" si="1"/>
        <v>1</v>
      </c>
      <c r="C88" s="2" t="str">
        <f t="shared" si="2"/>
        <v>1400003017-16780</v>
      </c>
      <c r="D88" s="2">
        <v>3.20081066E8</v>
      </c>
      <c r="E88" s="2">
        <v>1.400003017E9</v>
      </c>
      <c r="F88" s="2">
        <v>16780.0</v>
      </c>
      <c r="G88" s="2">
        <v>1.0</v>
      </c>
      <c r="H88" s="2">
        <v>105500.0</v>
      </c>
      <c r="I88" s="2">
        <v>422000.0</v>
      </c>
      <c r="J88" s="2">
        <v>1.0</v>
      </c>
      <c r="K88" s="2">
        <v>7.0</v>
      </c>
      <c r="O88" s="2" t="s">
        <v>215</v>
      </c>
      <c r="P88" s="2" t="s">
        <v>166</v>
      </c>
      <c r="R88" s="2" t="s">
        <v>167</v>
      </c>
      <c r="S88" s="11">
        <v>42219.6653125</v>
      </c>
    </row>
    <row r="89" ht="12.75" hidden="1" customHeight="1">
      <c r="A89" s="2" t="str">
        <f>IF(VLOOKUP(E89,Sheet4!$A$585:$B$786,2,0)=0,1, )</f>
        <v>1</v>
      </c>
      <c r="B89" s="2" t="str">
        <f t="shared" si="1"/>
        <v/>
      </c>
      <c r="C89" s="2" t="str">
        <f t="shared" si="2"/>
        <v>1400003017-16780</v>
      </c>
      <c r="D89" s="2">
        <v>3.20081067E8</v>
      </c>
      <c r="E89" s="2">
        <v>1.400003017E9</v>
      </c>
      <c r="F89" s="2">
        <v>16780.0</v>
      </c>
      <c r="G89" s="2">
        <v>1.0</v>
      </c>
      <c r="H89" s="2">
        <v>105500.0</v>
      </c>
      <c r="I89" s="2">
        <v>422000.0</v>
      </c>
      <c r="J89" s="2">
        <v>1.0</v>
      </c>
      <c r="K89" s="2">
        <v>7.0</v>
      </c>
      <c r="O89" s="2" t="s">
        <v>215</v>
      </c>
      <c r="P89" s="2" t="s">
        <v>166</v>
      </c>
      <c r="R89" s="2" t="s">
        <v>167</v>
      </c>
      <c r="S89" s="11">
        <v>42219.6653125</v>
      </c>
    </row>
    <row r="90" ht="12.75" hidden="1" customHeight="1">
      <c r="A90" s="2" t="str">
        <f>IF(VLOOKUP(E90,Sheet4!$A$585:$B$786,2,0)=0,1, )</f>
        <v>1</v>
      </c>
      <c r="B90" s="2" t="str">
        <f t="shared" si="1"/>
        <v>1</v>
      </c>
      <c r="C90" s="2" t="str">
        <f t="shared" si="2"/>
        <v>1400003017-16787</v>
      </c>
      <c r="D90" s="2">
        <v>3.20081069E8</v>
      </c>
      <c r="E90" s="2">
        <v>1.400003017E9</v>
      </c>
      <c r="F90" s="2">
        <v>16787.0</v>
      </c>
      <c r="G90" s="2">
        <v>1.0</v>
      </c>
      <c r="H90" s="2">
        <v>106250.0</v>
      </c>
      <c r="I90" s="2">
        <v>425000.0</v>
      </c>
      <c r="J90" s="2">
        <v>1.0</v>
      </c>
      <c r="K90" s="2">
        <v>7.0</v>
      </c>
      <c r="O90" s="2" t="s">
        <v>217</v>
      </c>
      <c r="P90" s="2" t="s">
        <v>166</v>
      </c>
      <c r="R90" s="2" t="s">
        <v>167</v>
      </c>
      <c r="S90" s="11">
        <v>42219.66532407407</v>
      </c>
    </row>
    <row r="91" ht="12.75" hidden="1" customHeight="1">
      <c r="A91" s="2" t="str">
        <f>IF(VLOOKUP(E91,Sheet4!$A$585:$B$786,2,0)=0,1, )</f>
        <v>1</v>
      </c>
      <c r="B91" s="2" t="str">
        <f t="shared" si="1"/>
        <v/>
      </c>
      <c r="C91" s="2" t="str">
        <f t="shared" si="2"/>
        <v>1400003017-16787</v>
      </c>
      <c r="D91" s="2">
        <v>3.20081068E8</v>
      </c>
      <c r="E91" s="2">
        <v>1.400003017E9</v>
      </c>
      <c r="F91" s="2">
        <v>16787.0</v>
      </c>
      <c r="G91" s="2">
        <v>1.0</v>
      </c>
      <c r="H91" s="2">
        <v>106250.0</v>
      </c>
      <c r="I91" s="2">
        <v>425000.0</v>
      </c>
      <c r="J91" s="2">
        <v>1.0</v>
      </c>
      <c r="K91" s="2">
        <v>7.0</v>
      </c>
      <c r="O91" s="2" t="s">
        <v>217</v>
      </c>
      <c r="P91" s="2" t="s">
        <v>166</v>
      </c>
      <c r="R91" s="2" t="s">
        <v>167</v>
      </c>
      <c r="S91" s="11">
        <v>42219.66532407407</v>
      </c>
    </row>
    <row r="92" ht="12.75" hidden="1" customHeight="1">
      <c r="A92" s="2" t="str">
        <f>IF(VLOOKUP(E92,Sheet4!$A$585:$B$786,2,0)=0,1, )</f>
        <v>1</v>
      </c>
      <c r="B92" s="2" t="str">
        <f t="shared" si="1"/>
        <v>1</v>
      </c>
      <c r="C92" s="2" t="str">
        <f t="shared" si="2"/>
        <v>1400003017-16789</v>
      </c>
      <c r="D92" s="2">
        <v>3.20081049E8</v>
      </c>
      <c r="E92" s="2">
        <v>1.400003017E9</v>
      </c>
      <c r="F92" s="2">
        <v>16789.0</v>
      </c>
      <c r="G92" s="2">
        <v>5.0</v>
      </c>
      <c r="H92" s="2">
        <v>532500.0</v>
      </c>
      <c r="I92" s="2">
        <v>2130000.0</v>
      </c>
      <c r="J92" s="2">
        <v>1.0</v>
      </c>
      <c r="K92" s="2">
        <v>7.0</v>
      </c>
      <c r="O92" s="2" t="s">
        <v>252</v>
      </c>
      <c r="P92" s="2" t="s">
        <v>166</v>
      </c>
      <c r="R92" s="2" t="s">
        <v>167</v>
      </c>
      <c r="S92" s="11">
        <v>42219.6653125</v>
      </c>
    </row>
    <row r="93" ht="12.75" hidden="1" customHeight="1">
      <c r="A93" s="2" t="str">
        <f>IF(VLOOKUP(E93,Sheet4!$A$585:$B$786,2,0)=0,1, )</f>
        <v>1</v>
      </c>
      <c r="B93" s="2" t="str">
        <f t="shared" si="1"/>
        <v/>
      </c>
      <c r="C93" s="2" t="str">
        <f t="shared" si="2"/>
        <v>1400003017-16789</v>
      </c>
      <c r="D93" s="2">
        <v>3.20081048E8</v>
      </c>
      <c r="E93" s="2">
        <v>1.400003017E9</v>
      </c>
      <c r="F93" s="2">
        <v>16789.0</v>
      </c>
      <c r="G93" s="2">
        <v>5.0</v>
      </c>
      <c r="H93" s="2">
        <v>532500.0</v>
      </c>
      <c r="I93" s="2">
        <v>2130000.0</v>
      </c>
      <c r="J93" s="2">
        <v>1.0</v>
      </c>
      <c r="K93" s="2">
        <v>7.0</v>
      </c>
      <c r="O93" s="2" t="s">
        <v>252</v>
      </c>
      <c r="P93" s="2" t="s">
        <v>166</v>
      </c>
      <c r="R93" s="2" t="s">
        <v>167</v>
      </c>
      <c r="S93" s="11">
        <v>42219.6653125</v>
      </c>
    </row>
    <row r="94" ht="12.75" hidden="1" customHeight="1">
      <c r="A94" s="2" t="str">
        <f>IF(VLOOKUP(E94,Sheet4!$A$585:$B$786,2,0)=0,1, )</f>
        <v>1</v>
      </c>
      <c r="B94" s="2" t="str">
        <f t="shared" si="1"/>
        <v>1</v>
      </c>
      <c r="C94" s="2" t="str">
        <f t="shared" si="2"/>
        <v>1400003017-14000049</v>
      </c>
      <c r="D94" s="2">
        <v>3.20081061E8</v>
      </c>
      <c r="E94" s="2">
        <v>1.400003017E9</v>
      </c>
      <c r="F94" s="2">
        <v>1.4000049E7</v>
      </c>
      <c r="G94" s="2">
        <v>5.0</v>
      </c>
      <c r="H94" s="2">
        <v>618750.0</v>
      </c>
      <c r="I94" s="2">
        <v>2475000.0</v>
      </c>
      <c r="J94" s="2">
        <v>1.0</v>
      </c>
      <c r="K94" s="2">
        <v>7.0</v>
      </c>
      <c r="O94" s="2" t="s">
        <v>254</v>
      </c>
      <c r="P94" s="2" t="s">
        <v>166</v>
      </c>
      <c r="R94" s="2" t="s">
        <v>167</v>
      </c>
      <c r="S94" s="11">
        <v>42219.6653125</v>
      </c>
    </row>
    <row r="95" ht="12.75" hidden="1" customHeight="1">
      <c r="A95" s="2" t="str">
        <f>IF(VLOOKUP(E95,Sheet4!$A$585:$B$786,2,0)=0,1, )</f>
        <v>1</v>
      </c>
      <c r="B95" s="2" t="str">
        <f t="shared" si="1"/>
        <v/>
      </c>
      <c r="C95" s="2" t="str">
        <f t="shared" si="2"/>
        <v>1400003017-14000049</v>
      </c>
      <c r="D95" s="2">
        <v>3.2008106E8</v>
      </c>
      <c r="E95" s="2">
        <v>1.400003017E9</v>
      </c>
      <c r="F95" s="2">
        <v>1.4000049E7</v>
      </c>
      <c r="G95" s="2">
        <v>5.0</v>
      </c>
      <c r="H95" s="2">
        <v>618750.0</v>
      </c>
      <c r="I95" s="2">
        <v>2475000.0</v>
      </c>
      <c r="J95" s="2">
        <v>1.0</v>
      </c>
      <c r="K95" s="2">
        <v>7.0</v>
      </c>
      <c r="O95" s="2" t="s">
        <v>254</v>
      </c>
      <c r="P95" s="2" t="s">
        <v>166</v>
      </c>
      <c r="R95" s="2" t="s">
        <v>167</v>
      </c>
      <c r="S95" s="11">
        <v>42219.6653125</v>
      </c>
    </row>
    <row r="96" ht="12.75" hidden="1" customHeight="1">
      <c r="A96" s="2" t="str">
        <f>IF(VLOOKUP(E96,Sheet4!$A$585:$B$786,2,0)=0,1, )</f>
        <v>1</v>
      </c>
      <c r="B96" s="2" t="str">
        <f t="shared" si="1"/>
        <v>1</v>
      </c>
      <c r="C96" s="2" t="str">
        <f t="shared" si="2"/>
        <v>1400003094-5279</v>
      </c>
      <c r="D96" s="2">
        <v>3.20083889E8</v>
      </c>
      <c r="E96" s="2">
        <v>1.400003094E9</v>
      </c>
      <c r="F96" s="2">
        <v>5279.0</v>
      </c>
      <c r="G96" s="2">
        <v>5.0</v>
      </c>
      <c r="H96" s="2">
        <v>456250.0</v>
      </c>
      <c r="I96" s="2">
        <v>1825000.0</v>
      </c>
      <c r="J96" s="2">
        <v>1.0</v>
      </c>
      <c r="K96" s="2">
        <v>7.0</v>
      </c>
      <c r="O96" s="2" t="s">
        <v>256</v>
      </c>
      <c r="P96" s="2" t="s">
        <v>166</v>
      </c>
      <c r="R96" s="2" t="s">
        <v>167</v>
      </c>
      <c r="S96" s="11">
        <v>42222.425729166665</v>
      </c>
    </row>
    <row r="97" ht="12.75" hidden="1" customHeight="1">
      <c r="A97" s="2" t="str">
        <f>IF(VLOOKUP(E97,Sheet4!$A$585:$B$786,2,0)=0,1, )</f>
        <v>1</v>
      </c>
      <c r="B97" s="2" t="str">
        <f t="shared" si="1"/>
        <v>1</v>
      </c>
      <c r="C97" s="2" t="str">
        <f t="shared" si="2"/>
        <v>1400003094-5369</v>
      </c>
      <c r="D97" s="2">
        <v>3.2008389E8</v>
      </c>
      <c r="E97" s="2">
        <v>1.400003094E9</v>
      </c>
      <c r="F97" s="2">
        <v>5369.0</v>
      </c>
      <c r="G97" s="2">
        <v>2.0</v>
      </c>
      <c r="H97" s="2">
        <v>182500.0</v>
      </c>
      <c r="I97" s="2">
        <v>730000.0</v>
      </c>
      <c r="J97" s="2">
        <v>1.0</v>
      </c>
      <c r="K97" s="2">
        <v>7.0</v>
      </c>
      <c r="O97" s="2" t="s">
        <v>258</v>
      </c>
      <c r="P97" s="2" t="s">
        <v>166</v>
      </c>
      <c r="R97" s="2" t="s">
        <v>167</v>
      </c>
      <c r="S97" s="11">
        <v>42222.425729166665</v>
      </c>
    </row>
    <row r="98" ht="12.75" hidden="1" customHeight="1">
      <c r="A98" s="2" t="str">
        <f>IF(VLOOKUP(E98,Sheet4!$A$585:$B$786,2,0)=0,1, )</f>
        <v>1</v>
      </c>
      <c r="B98" s="2" t="str">
        <f t="shared" si="1"/>
        <v>1</v>
      </c>
      <c r="C98" s="2" t="str">
        <f t="shared" si="2"/>
        <v>1400003094-5397</v>
      </c>
      <c r="D98" s="2">
        <v>3.20083892E8</v>
      </c>
      <c r="E98" s="2">
        <v>1.400003094E9</v>
      </c>
      <c r="F98" s="2">
        <v>5397.0</v>
      </c>
      <c r="G98" s="2">
        <v>3.0</v>
      </c>
      <c r="H98" s="2">
        <v>251250.0</v>
      </c>
      <c r="I98" s="2">
        <v>1005000.0</v>
      </c>
      <c r="J98" s="2">
        <v>1.0</v>
      </c>
      <c r="K98" s="2">
        <v>7.0</v>
      </c>
      <c r="O98" s="2" t="s">
        <v>260</v>
      </c>
      <c r="P98" s="2" t="s">
        <v>166</v>
      </c>
      <c r="R98" s="2" t="s">
        <v>167</v>
      </c>
      <c r="S98" s="11">
        <v>42222.425729166665</v>
      </c>
    </row>
    <row r="99" ht="12.75" hidden="1" customHeight="1">
      <c r="A99" s="2" t="str">
        <f>IF(VLOOKUP(E99,Sheet4!$A$585:$B$786,2,0)=0,1, )</f>
        <v>1</v>
      </c>
      <c r="B99" s="2" t="str">
        <f t="shared" si="1"/>
        <v/>
      </c>
      <c r="C99" s="2" t="str">
        <f t="shared" si="2"/>
        <v>1400003094-5397</v>
      </c>
      <c r="D99" s="2">
        <v>3.20083891E8</v>
      </c>
      <c r="E99" s="2">
        <v>1.400003094E9</v>
      </c>
      <c r="F99" s="2">
        <v>5397.0</v>
      </c>
      <c r="G99" s="2">
        <v>3.0</v>
      </c>
      <c r="H99" s="2">
        <v>251250.0</v>
      </c>
      <c r="I99" s="2">
        <v>1005000.0</v>
      </c>
      <c r="J99" s="2">
        <v>1.0</v>
      </c>
      <c r="K99" s="2">
        <v>7.0</v>
      </c>
      <c r="O99" s="2" t="s">
        <v>260</v>
      </c>
      <c r="P99" s="2" t="s">
        <v>166</v>
      </c>
      <c r="R99" s="2" t="s">
        <v>167</v>
      </c>
      <c r="S99" s="11">
        <v>42222.425729166665</v>
      </c>
    </row>
    <row r="100" ht="12.75" hidden="1" customHeight="1">
      <c r="A100" s="2" t="str">
        <f>IF(VLOOKUP(E100,Sheet4!$A$585:$B$786,2,0)=0,1, )</f>
        <v>1</v>
      </c>
      <c r="B100" s="2" t="str">
        <f t="shared" si="1"/>
        <v>1</v>
      </c>
      <c r="C100" s="2" t="str">
        <f t="shared" si="2"/>
        <v>1400003094-6292</v>
      </c>
      <c r="D100" s="2">
        <v>3.20083901E8</v>
      </c>
      <c r="E100" s="2">
        <v>1.400003094E9</v>
      </c>
      <c r="F100" s="2">
        <v>6292.0</v>
      </c>
      <c r="G100" s="2">
        <v>4.0</v>
      </c>
      <c r="H100" s="2">
        <v>120000.0</v>
      </c>
      <c r="I100" s="2">
        <v>180000.0</v>
      </c>
      <c r="J100" s="2">
        <v>1.0</v>
      </c>
      <c r="K100" s="2">
        <v>7.0</v>
      </c>
      <c r="O100" s="2" t="s">
        <v>262</v>
      </c>
      <c r="P100" s="2" t="s">
        <v>166</v>
      </c>
      <c r="R100" s="2" t="s">
        <v>167</v>
      </c>
      <c r="S100" s="11">
        <v>42222.425729166665</v>
      </c>
    </row>
    <row r="101" ht="12.75" hidden="1" customHeight="1">
      <c r="A101" s="2" t="str">
        <f>IF(VLOOKUP(E101,Sheet4!$A$585:$B$786,2,0)=0,1, )</f>
        <v>1</v>
      </c>
      <c r="B101" s="2" t="str">
        <f t="shared" si="1"/>
        <v/>
      </c>
      <c r="C101" s="2" t="str">
        <f t="shared" si="2"/>
        <v>1400003094-6292</v>
      </c>
      <c r="D101" s="2">
        <v>3.20083902E8</v>
      </c>
      <c r="E101" s="2">
        <v>1.400003094E9</v>
      </c>
      <c r="F101" s="2">
        <v>6292.0</v>
      </c>
      <c r="G101" s="2">
        <v>4.0</v>
      </c>
      <c r="H101" s="2">
        <v>120000.0</v>
      </c>
      <c r="I101" s="2">
        <v>180000.0</v>
      </c>
      <c r="J101" s="2">
        <v>1.0</v>
      </c>
      <c r="K101" s="2">
        <v>7.0</v>
      </c>
      <c r="O101" s="2" t="s">
        <v>262</v>
      </c>
      <c r="P101" s="2" t="s">
        <v>166</v>
      </c>
      <c r="R101" s="2" t="s">
        <v>167</v>
      </c>
      <c r="S101" s="11">
        <v>42222.425729166665</v>
      </c>
    </row>
    <row r="102" ht="12.75" hidden="1" customHeight="1">
      <c r="A102" s="2" t="str">
        <f>IF(VLOOKUP(E102,Sheet4!$A$585:$B$786,2,0)=0,1, )</f>
        <v>1</v>
      </c>
      <c r="B102" s="2" t="str">
        <f t="shared" si="1"/>
        <v>1</v>
      </c>
      <c r="C102" s="2" t="str">
        <f t="shared" si="2"/>
        <v>1400003094-6312</v>
      </c>
      <c r="D102" s="2">
        <v>3.20083897E8</v>
      </c>
      <c r="E102" s="2">
        <v>1.400003094E9</v>
      </c>
      <c r="F102" s="2">
        <v>6312.0</v>
      </c>
      <c r="G102" s="2">
        <v>7.0</v>
      </c>
      <c r="H102" s="2">
        <v>560000.0</v>
      </c>
      <c r="I102" s="2">
        <v>840000.0</v>
      </c>
      <c r="J102" s="2">
        <v>1.0</v>
      </c>
      <c r="K102" s="2">
        <v>7.0</v>
      </c>
      <c r="O102" s="2" t="s">
        <v>264</v>
      </c>
      <c r="P102" s="2" t="s">
        <v>166</v>
      </c>
      <c r="R102" s="2" t="s">
        <v>167</v>
      </c>
      <c r="S102" s="11">
        <v>42222.425729166665</v>
      </c>
    </row>
    <row r="103" ht="12.75" hidden="1" customHeight="1">
      <c r="A103" s="2" t="str">
        <f>IF(VLOOKUP(E103,Sheet4!$A$585:$B$786,2,0)=0,1, )</f>
        <v>1</v>
      </c>
      <c r="B103" s="2" t="str">
        <f t="shared" si="1"/>
        <v/>
      </c>
      <c r="C103" s="2" t="str">
        <f t="shared" si="2"/>
        <v>1400003094-6312</v>
      </c>
      <c r="D103" s="2">
        <v>3.20083898E8</v>
      </c>
      <c r="E103" s="2">
        <v>1.400003094E9</v>
      </c>
      <c r="F103" s="2">
        <v>6312.0</v>
      </c>
      <c r="G103" s="2">
        <v>7.0</v>
      </c>
      <c r="H103" s="2">
        <v>560000.0</v>
      </c>
      <c r="I103" s="2">
        <v>840000.0</v>
      </c>
      <c r="J103" s="2">
        <v>1.0</v>
      </c>
      <c r="K103" s="2">
        <v>7.0</v>
      </c>
      <c r="O103" s="2" t="s">
        <v>264</v>
      </c>
      <c r="P103" s="2" t="s">
        <v>166</v>
      </c>
      <c r="R103" s="2" t="s">
        <v>167</v>
      </c>
      <c r="S103" s="11">
        <v>42222.425729166665</v>
      </c>
    </row>
    <row r="104" ht="12.75" hidden="1" customHeight="1">
      <c r="A104" s="2" t="str">
        <f>IF(VLOOKUP(E104,Sheet4!$A$585:$B$786,2,0)=0,1, )</f>
        <v>1</v>
      </c>
      <c r="B104" s="2" t="str">
        <f t="shared" si="1"/>
        <v>1</v>
      </c>
      <c r="C104" s="2" t="str">
        <f t="shared" si="2"/>
        <v>1400003094-6316</v>
      </c>
      <c r="D104" s="2">
        <v>3.200839E8</v>
      </c>
      <c r="E104" s="2">
        <v>1.400003094E9</v>
      </c>
      <c r="F104" s="2">
        <v>6316.0</v>
      </c>
      <c r="G104" s="2">
        <v>8.0</v>
      </c>
      <c r="H104" s="2">
        <v>240000.0</v>
      </c>
      <c r="I104" s="2">
        <v>480000.0</v>
      </c>
      <c r="J104" s="2">
        <v>1.0</v>
      </c>
      <c r="K104" s="2">
        <v>7.0</v>
      </c>
      <c r="O104" s="2" t="s">
        <v>266</v>
      </c>
      <c r="P104" s="2" t="s">
        <v>166</v>
      </c>
      <c r="R104" s="2" t="s">
        <v>167</v>
      </c>
      <c r="S104" s="11">
        <v>42222.425729166665</v>
      </c>
    </row>
    <row r="105" ht="12.75" hidden="1" customHeight="1">
      <c r="A105" s="2" t="str">
        <f>IF(VLOOKUP(E105,Sheet4!$A$585:$B$786,2,0)=0,1, )</f>
        <v>1</v>
      </c>
      <c r="B105" s="2" t="str">
        <f t="shared" si="1"/>
        <v/>
      </c>
      <c r="C105" s="2" t="str">
        <f t="shared" si="2"/>
        <v>1400003094-6316</v>
      </c>
      <c r="D105" s="2">
        <v>3.20083899E8</v>
      </c>
      <c r="E105" s="2">
        <v>1.400003094E9</v>
      </c>
      <c r="F105" s="2">
        <v>6316.0</v>
      </c>
      <c r="G105" s="2">
        <v>8.0</v>
      </c>
      <c r="H105" s="2">
        <v>240000.0</v>
      </c>
      <c r="I105" s="2">
        <v>480000.0</v>
      </c>
      <c r="J105" s="2">
        <v>1.0</v>
      </c>
      <c r="K105" s="2">
        <v>7.0</v>
      </c>
      <c r="O105" s="2" t="s">
        <v>266</v>
      </c>
      <c r="P105" s="2" t="s">
        <v>166</v>
      </c>
      <c r="R105" s="2" t="s">
        <v>167</v>
      </c>
      <c r="S105" s="11">
        <v>42222.425729166665</v>
      </c>
    </row>
    <row r="106" ht="12.75" hidden="1" customHeight="1">
      <c r="A106" s="2" t="str">
        <f>IF(VLOOKUP(E106,Sheet4!$A$585:$B$786,2,0)=0,1, )</f>
        <v>1</v>
      </c>
      <c r="B106" s="2" t="str">
        <f t="shared" si="1"/>
        <v>1</v>
      </c>
      <c r="C106" s="2" t="str">
        <f t="shared" si="2"/>
        <v>1400003094-7396</v>
      </c>
      <c r="D106" s="2">
        <v>3.20083877E8</v>
      </c>
      <c r="E106" s="2">
        <v>1.400003094E9</v>
      </c>
      <c r="F106" s="2">
        <v>7396.0</v>
      </c>
      <c r="G106" s="2">
        <v>1.0</v>
      </c>
      <c r="H106" s="2">
        <v>113750.0</v>
      </c>
      <c r="I106" s="2">
        <v>455000.0</v>
      </c>
      <c r="J106" s="2">
        <v>1.0</v>
      </c>
      <c r="K106" s="2">
        <v>7.0</v>
      </c>
      <c r="O106" s="2" t="s">
        <v>268</v>
      </c>
      <c r="P106" s="2" t="s">
        <v>166</v>
      </c>
      <c r="R106" s="2" t="s">
        <v>167</v>
      </c>
      <c r="S106" s="11">
        <v>42222.425717592596</v>
      </c>
    </row>
    <row r="107" ht="12.75" hidden="1" customHeight="1">
      <c r="A107" s="2" t="str">
        <f>IF(VLOOKUP(E107,Sheet4!$A$585:$B$786,2,0)=0,1, )</f>
        <v>1</v>
      </c>
      <c r="B107" s="2" t="str">
        <f t="shared" si="1"/>
        <v>1</v>
      </c>
      <c r="C107" s="2" t="str">
        <f t="shared" si="2"/>
        <v>1400003094-7421</v>
      </c>
      <c r="D107" s="2">
        <v>3.20083869E8</v>
      </c>
      <c r="E107" s="2">
        <v>1.400003094E9</v>
      </c>
      <c r="F107" s="2">
        <v>7421.0</v>
      </c>
      <c r="G107" s="2">
        <v>3.0</v>
      </c>
      <c r="H107" s="2">
        <v>289500.0</v>
      </c>
      <c r="I107" s="2">
        <v>1158000.0</v>
      </c>
      <c r="J107" s="2">
        <v>1.0</v>
      </c>
      <c r="K107" s="2">
        <v>7.0</v>
      </c>
      <c r="O107" s="2" t="s">
        <v>270</v>
      </c>
      <c r="P107" s="2" t="s">
        <v>166</v>
      </c>
      <c r="R107" s="2" t="s">
        <v>167</v>
      </c>
      <c r="S107" s="11">
        <v>42222.425717592596</v>
      </c>
    </row>
    <row r="108" ht="12.75" hidden="1" customHeight="1">
      <c r="A108" s="2" t="str">
        <f>IF(VLOOKUP(E108,Sheet4!$A$585:$B$786,2,0)=0,1, )</f>
        <v>1</v>
      </c>
      <c r="B108" s="2" t="str">
        <f t="shared" si="1"/>
        <v>1</v>
      </c>
      <c r="C108" s="2" t="str">
        <f t="shared" si="2"/>
        <v>1400003094-7422</v>
      </c>
      <c r="D108" s="2">
        <v>3.20083871E8</v>
      </c>
      <c r="E108" s="2">
        <v>1.400003094E9</v>
      </c>
      <c r="F108" s="2">
        <v>7422.0</v>
      </c>
      <c r="G108" s="2">
        <v>5.0</v>
      </c>
      <c r="H108" s="2">
        <v>482500.0</v>
      </c>
      <c r="I108" s="2">
        <v>1930000.0</v>
      </c>
      <c r="J108" s="2">
        <v>1.0</v>
      </c>
      <c r="K108" s="2">
        <v>7.0</v>
      </c>
      <c r="O108" s="2" t="s">
        <v>175</v>
      </c>
      <c r="P108" s="2" t="s">
        <v>166</v>
      </c>
      <c r="R108" s="2" t="s">
        <v>167</v>
      </c>
      <c r="S108" s="11">
        <v>42222.425717592596</v>
      </c>
    </row>
    <row r="109" ht="12.75" hidden="1" customHeight="1">
      <c r="A109" s="2" t="str">
        <f>IF(VLOOKUP(E109,Sheet4!$A$585:$B$786,2,0)=0,1, )</f>
        <v>1</v>
      </c>
      <c r="B109" s="2" t="str">
        <f t="shared" si="1"/>
        <v>1</v>
      </c>
      <c r="C109" s="2" t="str">
        <f t="shared" si="2"/>
        <v>1400003094-7547</v>
      </c>
      <c r="D109" s="2">
        <v>3.20083887E8</v>
      </c>
      <c r="E109" s="2">
        <v>1.400003094E9</v>
      </c>
      <c r="F109" s="2">
        <v>7547.0</v>
      </c>
      <c r="G109" s="2">
        <v>3.0</v>
      </c>
      <c r="H109" s="2">
        <v>247500.0</v>
      </c>
      <c r="I109" s="2">
        <v>990000.0</v>
      </c>
      <c r="J109" s="2">
        <v>1.0</v>
      </c>
      <c r="K109" s="2">
        <v>7.0</v>
      </c>
      <c r="O109" s="2" t="s">
        <v>221</v>
      </c>
      <c r="P109" s="2" t="s">
        <v>166</v>
      </c>
      <c r="R109" s="2" t="s">
        <v>167</v>
      </c>
      <c r="S109" s="11">
        <v>42222.425729166665</v>
      </c>
    </row>
    <row r="110" ht="12.75" hidden="1" customHeight="1">
      <c r="A110" s="2" t="str">
        <f>IF(VLOOKUP(E110,Sheet4!$A$585:$B$786,2,0)=0,1, )</f>
        <v>1</v>
      </c>
      <c r="B110" s="2" t="str">
        <f t="shared" si="1"/>
        <v>1</v>
      </c>
      <c r="C110" s="2" t="str">
        <f t="shared" si="2"/>
        <v>1400003094-7548</v>
      </c>
      <c r="D110" s="2">
        <v>3.20083888E8</v>
      </c>
      <c r="E110" s="2">
        <v>1.400003094E9</v>
      </c>
      <c r="F110" s="2">
        <v>7548.0</v>
      </c>
      <c r="G110" s="2">
        <v>1.0</v>
      </c>
      <c r="H110" s="2">
        <v>82500.0</v>
      </c>
      <c r="I110" s="2">
        <v>330000.0</v>
      </c>
      <c r="J110" s="2">
        <v>1.0</v>
      </c>
      <c r="K110" s="2">
        <v>7.0</v>
      </c>
      <c r="O110" s="2" t="s">
        <v>223</v>
      </c>
      <c r="P110" s="2" t="s">
        <v>166</v>
      </c>
      <c r="R110" s="2" t="s">
        <v>167</v>
      </c>
      <c r="S110" s="11">
        <v>42222.425729166665</v>
      </c>
    </row>
    <row r="111" ht="12.75" hidden="1" customHeight="1">
      <c r="A111" s="2" t="str">
        <f>IF(VLOOKUP(E111,Sheet4!$A$585:$B$786,2,0)=0,1, )</f>
        <v>1</v>
      </c>
      <c r="B111" s="2" t="str">
        <f t="shared" si="1"/>
        <v>1</v>
      </c>
      <c r="C111" s="2" t="str">
        <f t="shared" si="2"/>
        <v>1400003094-7698</v>
      </c>
      <c r="D111" s="2">
        <v>3.2008388E8</v>
      </c>
      <c r="E111" s="2">
        <v>1.400003094E9</v>
      </c>
      <c r="F111" s="2">
        <v>7698.0</v>
      </c>
      <c r="G111" s="2">
        <v>3.0</v>
      </c>
      <c r="H111" s="2">
        <v>285000.0</v>
      </c>
      <c r="I111" s="2">
        <v>1140000.0</v>
      </c>
      <c r="J111" s="2">
        <v>1.0</v>
      </c>
      <c r="K111" s="2">
        <v>7.0</v>
      </c>
      <c r="O111" s="2" t="s">
        <v>275</v>
      </c>
      <c r="P111" s="2" t="s">
        <v>166</v>
      </c>
      <c r="R111" s="2" t="s">
        <v>167</v>
      </c>
      <c r="S111" s="11">
        <v>42222.425717592596</v>
      </c>
    </row>
    <row r="112" ht="12.75" hidden="1" customHeight="1">
      <c r="A112" s="2" t="str">
        <f>IF(VLOOKUP(E112,Sheet4!$A$585:$B$786,2,0)=0,1, )</f>
        <v>1</v>
      </c>
      <c r="B112" s="2" t="str">
        <f t="shared" si="1"/>
        <v>1</v>
      </c>
      <c r="C112" s="2" t="str">
        <f t="shared" si="2"/>
        <v>1400003094-8626</v>
      </c>
      <c r="D112" s="2">
        <v>3.20083893E8</v>
      </c>
      <c r="E112" s="2">
        <v>1.400003094E9</v>
      </c>
      <c r="F112" s="2">
        <v>8626.0</v>
      </c>
      <c r="G112" s="2">
        <v>4.0</v>
      </c>
      <c r="H112" s="2">
        <v>379200.0</v>
      </c>
      <c r="I112" s="2">
        <v>1580000.0</v>
      </c>
      <c r="J112" s="2">
        <v>1.0</v>
      </c>
      <c r="K112" s="2">
        <v>7.0</v>
      </c>
      <c r="O112" s="2" t="s">
        <v>277</v>
      </c>
      <c r="P112" s="2" t="s">
        <v>166</v>
      </c>
      <c r="R112" s="2" t="s">
        <v>167</v>
      </c>
      <c r="S112" s="11">
        <v>42222.425729166665</v>
      </c>
    </row>
    <row r="113" ht="12.75" hidden="1" customHeight="1">
      <c r="A113" s="2" t="str">
        <f>IF(VLOOKUP(E113,Sheet4!$A$585:$B$786,2,0)=0,1, )</f>
        <v>1</v>
      </c>
      <c r="B113" s="2" t="str">
        <f t="shared" si="1"/>
        <v/>
      </c>
      <c r="C113" s="2" t="str">
        <f t="shared" si="2"/>
        <v>1400003094-8626</v>
      </c>
      <c r="D113" s="2">
        <v>3.20083894E8</v>
      </c>
      <c r="E113" s="2">
        <v>1.400003094E9</v>
      </c>
      <c r="F113" s="2">
        <v>8626.0</v>
      </c>
      <c r="G113" s="2">
        <v>4.0</v>
      </c>
      <c r="H113" s="2">
        <v>379200.0</v>
      </c>
      <c r="I113" s="2">
        <v>1580000.0</v>
      </c>
      <c r="J113" s="2">
        <v>1.0</v>
      </c>
      <c r="K113" s="2">
        <v>7.0</v>
      </c>
      <c r="O113" s="2" t="s">
        <v>277</v>
      </c>
      <c r="P113" s="2" t="s">
        <v>166</v>
      </c>
      <c r="R113" s="2" t="s">
        <v>167</v>
      </c>
      <c r="S113" s="11">
        <v>42222.425729166665</v>
      </c>
    </row>
    <row r="114" ht="12.75" hidden="1" customHeight="1">
      <c r="A114" s="2" t="str">
        <f>IF(VLOOKUP(E114,Sheet4!$A$585:$B$786,2,0)=0,1, )</f>
        <v>1</v>
      </c>
      <c r="B114" s="2" t="str">
        <f t="shared" si="1"/>
        <v>1</v>
      </c>
      <c r="C114" s="2" t="str">
        <f t="shared" si="2"/>
        <v>1400003094-11688</v>
      </c>
      <c r="D114" s="2">
        <v>3.20083868E8</v>
      </c>
      <c r="E114" s="2">
        <v>1.400003094E9</v>
      </c>
      <c r="F114" s="2">
        <v>11688.0</v>
      </c>
      <c r="G114" s="2">
        <v>2.0</v>
      </c>
      <c r="H114" s="2">
        <v>162800.0</v>
      </c>
      <c r="I114" s="2">
        <v>740000.0</v>
      </c>
      <c r="J114" s="2">
        <v>1.0</v>
      </c>
      <c r="K114" s="2">
        <v>7.0</v>
      </c>
      <c r="O114" s="2" t="s">
        <v>279</v>
      </c>
      <c r="P114" s="2" t="s">
        <v>166</v>
      </c>
      <c r="R114" s="2" t="s">
        <v>167</v>
      </c>
      <c r="S114" s="11">
        <v>42222.425717592596</v>
      </c>
    </row>
    <row r="115" ht="12.75" hidden="1" customHeight="1">
      <c r="A115" s="2" t="str">
        <f>IF(VLOOKUP(E115,Sheet4!$A$585:$B$786,2,0)=0,1, )</f>
        <v>1</v>
      </c>
      <c r="B115" s="2" t="str">
        <f t="shared" si="1"/>
        <v>1</v>
      </c>
      <c r="C115" s="2" t="str">
        <f t="shared" si="2"/>
        <v>1400003094-13316</v>
      </c>
      <c r="D115" s="2">
        <v>3.20083873E8</v>
      </c>
      <c r="E115" s="2">
        <v>1.400003094E9</v>
      </c>
      <c r="F115" s="2">
        <v>13316.0</v>
      </c>
      <c r="G115" s="2">
        <v>3.0</v>
      </c>
      <c r="H115" s="2">
        <v>441450.0</v>
      </c>
      <c r="I115" s="2">
        <v>1635000.0</v>
      </c>
      <c r="J115" s="2">
        <v>1.0</v>
      </c>
      <c r="K115" s="2">
        <v>7.0</v>
      </c>
      <c r="O115" s="2" t="s">
        <v>281</v>
      </c>
      <c r="P115" s="2" t="s">
        <v>166</v>
      </c>
      <c r="R115" s="2" t="s">
        <v>167</v>
      </c>
      <c r="S115" s="11">
        <v>42222.425717592596</v>
      </c>
    </row>
    <row r="116" ht="12.75" hidden="1" customHeight="1">
      <c r="A116" s="2" t="str">
        <f>IF(VLOOKUP(E116,Sheet4!$A$585:$B$786,2,0)=0,1, )</f>
        <v>1</v>
      </c>
      <c r="B116" s="2" t="str">
        <f t="shared" si="1"/>
        <v>1</v>
      </c>
      <c r="C116" s="2" t="str">
        <f t="shared" si="2"/>
        <v>1400003094-13737</v>
      </c>
      <c r="D116" s="2">
        <v>3.20083885E8</v>
      </c>
      <c r="E116" s="2">
        <v>1.400003094E9</v>
      </c>
      <c r="F116" s="2">
        <v>13737.0</v>
      </c>
      <c r="G116" s="2">
        <v>2.0</v>
      </c>
      <c r="H116" s="2">
        <v>140800.0</v>
      </c>
      <c r="I116" s="2">
        <v>640000.0</v>
      </c>
      <c r="J116" s="2">
        <v>1.0</v>
      </c>
      <c r="K116" s="2">
        <v>7.0</v>
      </c>
      <c r="O116" s="2" t="s">
        <v>201</v>
      </c>
      <c r="P116" s="2" t="s">
        <v>166</v>
      </c>
      <c r="R116" s="2" t="s">
        <v>167</v>
      </c>
      <c r="S116" s="11">
        <v>42222.425729166665</v>
      </c>
    </row>
    <row r="117" ht="12.75" hidden="1" customHeight="1">
      <c r="A117" s="2" t="str">
        <f>IF(VLOOKUP(E117,Sheet4!$A$585:$B$786,2,0)=0,1, )</f>
        <v>1</v>
      </c>
      <c r="B117" s="2" t="str">
        <f t="shared" si="1"/>
        <v>1</v>
      </c>
      <c r="C117" s="2" t="str">
        <f t="shared" si="2"/>
        <v>1400003094-14110</v>
      </c>
      <c r="D117" s="2">
        <v>3.20083884E8</v>
      </c>
      <c r="E117" s="2">
        <v>1.400003094E9</v>
      </c>
      <c r="F117" s="2">
        <v>14110.0</v>
      </c>
      <c r="G117" s="2">
        <v>1.0</v>
      </c>
      <c r="H117" s="2">
        <v>96500.0</v>
      </c>
      <c r="I117" s="2">
        <v>386000.0</v>
      </c>
      <c r="J117" s="2">
        <v>1.0</v>
      </c>
      <c r="K117" s="2">
        <v>7.0</v>
      </c>
      <c r="O117" s="2" t="s">
        <v>284</v>
      </c>
      <c r="P117" s="2" t="s">
        <v>166</v>
      </c>
      <c r="R117" s="2" t="s">
        <v>167</v>
      </c>
      <c r="S117" s="11">
        <v>42222.425729166665</v>
      </c>
    </row>
    <row r="118" ht="12.75" hidden="1" customHeight="1">
      <c r="A118" s="2" t="str">
        <f>IF(VLOOKUP(E118,Sheet4!$A$585:$B$786,2,0)=0,1, )</f>
        <v>1</v>
      </c>
      <c r="B118" s="2" t="str">
        <f t="shared" si="1"/>
        <v>1</v>
      </c>
      <c r="C118" s="2" t="str">
        <f t="shared" si="2"/>
        <v>1400003094-14127</v>
      </c>
      <c r="D118" s="2">
        <v>3.20083896E8</v>
      </c>
      <c r="E118" s="2">
        <v>1.400003094E9</v>
      </c>
      <c r="F118" s="2">
        <v>14127.0</v>
      </c>
      <c r="G118" s="2">
        <v>3.0</v>
      </c>
      <c r="H118" s="2">
        <v>392700.0</v>
      </c>
      <c r="I118" s="2">
        <v>1785000.0</v>
      </c>
      <c r="J118" s="2">
        <v>1.0</v>
      </c>
      <c r="K118" s="2">
        <v>7.0</v>
      </c>
      <c r="O118" s="2" t="s">
        <v>286</v>
      </c>
      <c r="P118" s="2" t="s">
        <v>166</v>
      </c>
      <c r="R118" s="2" t="s">
        <v>167</v>
      </c>
      <c r="S118" s="11">
        <v>42222.425729166665</v>
      </c>
    </row>
    <row r="119" ht="12.75" hidden="1" customHeight="1">
      <c r="A119" s="2" t="str">
        <f>IF(VLOOKUP(E119,Sheet4!$A$585:$B$786,2,0)=0,1, )</f>
        <v>1</v>
      </c>
      <c r="B119" s="2" t="str">
        <f t="shared" si="1"/>
        <v/>
      </c>
      <c r="C119" s="2" t="str">
        <f t="shared" si="2"/>
        <v>1400003094-14127</v>
      </c>
      <c r="D119" s="2">
        <v>3.20083895E8</v>
      </c>
      <c r="E119" s="2">
        <v>1.400003094E9</v>
      </c>
      <c r="F119" s="2">
        <v>14127.0</v>
      </c>
      <c r="G119" s="2">
        <v>3.0</v>
      </c>
      <c r="H119" s="2">
        <v>392700.0</v>
      </c>
      <c r="I119" s="2">
        <v>1785000.0</v>
      </c>
      <c r="J119" s="2">
        <v>1.0</v>
      </c>
      <c r="K119" s="2">
        <v>7.0</v>
      </c>
      <c r="O119" s="2" t="s">
        <v>286</v>
      </c>
      <c r="P119" s="2" t="s">
        <v>166</v>
      </c>
      <c r="R119" s="2" t="s">
        <v>167</v>
      </c>
      <c r="S119" s="11">
        <v>42222.425729166665</v>
      </c>
    </row>
    <row r="120" ht="12.75" hidden="1" customHeight="1">
      <c r="A120" s="2" t="str">
        <f>IF(VLOOKUP(E120,Sheet4!$A$585:$B$786,2,0)=0,1, )</f>
        <v>1</v>
      </c>
      <c r="B120" s="2" t="str">
        <f t="shared" si="1"/>
        <v>1</v>
      </c>
      <c r="C120" s="2" t="str">
        <f t="shared" si="2"/>
        <v>1400003094-14712</v>
      </c>
      <c r="D120" s="2">
        <v>3.20083881E8</v>
      </c>
      <c r="E120" s="2">
        <v>1.400003094E9</v>
      </c>
      <c r="F120" s="2">
        <v>14712.0</v>
      </c>
      <c r="G120" s="2">
        <v>4.0</v>
      </c>
      <c r="H120" s="2">
        <v>504000.0</v>
      </c>
      <c r="I120" s="2">
        <v>1680000.0</v>
      </c>
      <c r="J120" s="2">
        <v>1.0</v>
      </c>
      <c r="K120" s="2">
        <v>7.0</v>
      </c>
      <c r="O120" s="2" t="s">
        <v>288</v>
      </c>
      <c r="P120" s="2" t="s">
        <v>166</v>
      </c>
      <c r="R120" s="2" t="s">
        <v>167</v>
      </c>
      <c r="S120" s="11">
        <v>42222.425717592596</v>
      </c>
    </row>
    <row r="121" ht="12.75" hidden="1" customHeight="1">
      <c r="A121" s="2" t="str">
        <f>IF(VLOOKUP(E121,Sheet4!$A$585:$B$786,2,0)=0,1, )</f>
        <v>1</v>
      </c>
      <c r="B121" s="2" t="str">
        <f t="shared" si="1"/>
        <v>1</v>
      </c>
      <c r="C121" s="2" t="str">
        <f t="shared" si="2"/>
        <v>1400003094-14944</v>
      </c>
      <c r="D121" s="2">
        <v>3.20083878E8</v>
      </c>
      <c r="E121" s="2">
        <v>1.400003094E9</v>
      </c>
      <c r="F121" s="2">
        <v>14944.0</v>
      </c>
      <c r="G121" s="2">
        <v>1.0</v>
      </c>
      <c r="H121" s="2">
        <v>96500.0</v>
      </c>
      <c r="I121" s="2">
        <v>386000.0</v>
      </c>
      <c r="J121" s="2">
        <v>1.0</v>
      </c>
      <c r="K121" s="2">
        <v>7.0</v>
      </c>
      <c r="O121" s="2" t="s">
        <v>290</v>
      </c>
      <c r="P121" s="2" t="s">
        <v>166</v>
      </c>
      <c r="R121" s="2" t="s">
        <v>167</v>
      </c>
      <c r="S121" s="11">
        <v>42222.425717592596</v>
      </c>
    </row>
    <row r="122" ht="12.75" hidden="1" customHeight="1">
      <c r="A122" s="2" t="str">
        <f>IF(VLOOKUP(E122,Sheet4!$A$585:$B$786,2,0)=0,1, )</f>
        <v>1</v>
      </c>
      <c r="B122" s="2" t="str">
        <f t="shared" si="1"/>
        <v>1</v>
      </c>
      <c r="C122" s="2" t="str">
        <f t="shared" si="2"/>
        <v>1400003094-15987</v>
      </c>
      <c r="D122" s="2">
        <v>3.20083886E8</v>
      </c>
      <c r="E122" s="2">
        <v>1.400003094E9</v>
      </c>
      <c r="F122" s="2">
        <v>15987.0</v>
      </c>
      <c r="G122" s="2">
        <v>4.0</v>
      </c>
      <c r="H122" s="2">
        <v>220880.0</v>
      </c>
      <c r="I122" s="2">
        <v>1004000.0</v>
      </c>
      <c r="J122" s="2">
        <v>1.0</v>
      </c>
      <c r="K122" s="2">
        <v>7.0</v>
      </c>
      <c r="O122" s="2" t="s">
        <v>292</v>
      </c>
      <c r="P122" s="2" t="s">
        <v>166</v>
      </c>
      <c r="R122" s="2" t="s">
        <v>167</v>
      </c>
      <c r="S122" s="11">
        <v>42222.425729166665</v>
      </c>
    </row>
    <row r="123" ht="12.75" hidden="1" customHeight="1">
      <c r="A123" s="2" t="str">
        <f>IF(VLOOKUP(E123,Sheet4!$A$585:$B$786,2,0)=0,1, )</f>
        <v>1</v>
      </c>
      <c r="B123" s="2" t="str">
        <f t="shared" si="1"/>
        <v>1</v>
      </c>
      <c r="C123" s="2" t="str">
        <f t="shared" si="2"/>
        <v>1400003094-16096</v>
      </c>
      <c r="D123" s="2">
        <v>3.20083879E8</v>
      </c>
      <c r="E123" s="2">
        <v>1.400003094E9</v>
      </c>
      <c r="F123" s="2">
        <v>16096.0</v>
      </c>
      <c r="G123" s="2">
        <v>2.0</v>
      </c>
      <c r="H123" s="2">
        <v>194000.0</v>
      </c>
      <c r="I123" s="2">
        <v>776000.0</v>
      </c>
      <c r="J123" s="2">
        <v>1.0</v>
      </c>
      <c r="K123" s="2">
        <v>7.0</v>
      </c>
      <c r="O123" s="2" t="s">
        <v>294</v>
      </c>
      <c r="P123" s="2" t="s">
        <v>166</v>
      </c>
      <c r="R123" s="2" t="s">
        <v>167</v>
      </c>
      <c r="S123" s="11">
        <v>42222.425717592596</v>
      </c>
    </row>
    <row r="124" ht="12.75" hidden="1" customHeight="1">
      <c r="A124" s="2" t="str">
        <f>IF(VLOOKUP(E124,Sheet4!$A$585:$B$786,2,0)=0,1, )</f>
        <v>1</v>
      </c>
      <c r="B124" s="2" t="str">
        <f t="shared" si="1"/>
        <v>1</v>
      </c>
      <c r="C124" s="2" t="str">
        <f t="shared" si="2"/>
        <v>1400003094-16345</v>
      </c>
      <c r="D124" s="2">
        <v>3.2008387E8</v>
      </c>
      <c r="E124" s="2">
        <v>1.400003094E9</v>
      </c>
      <c r="F124" s="2">
        <v>16345.0</v>
      </c>
      <c r="G124" s="2">
        <v>3.0</v>
      </c>
      <c r="H124" s="2">
        <v>260700.0</v>
      </c>
      <c r="I124" s="2">
        <v>1185000.0</v>
      </c>
      <c r="J124" s="2">
        <v>1.0</v>
      </c>
      <c r="K124" s="2">
        <v>7.0</v>
      </c>
      <c r="O124" s="2" t="s">
        <v>247</v>
      </c>
      <c r="P124" s="2" t="s">
        <v>166</v>
      </c>
      <c r="R124" s="2" t="s">
        <v>167</v>
      </c>
      <c r="S124" s="11">
        <v>42222.425717592596</v>
      </c>
    </row>
    <row r="125" ht="12.75" hidden="1" customHeight="1">
      <c r="A125" s="2" t="str">
        <f>IF(VLOOKUP(E125,Sheet4!$A$585:$B$786,2,0)=0,1, )</f>
        <v>1</v>
      </c>
      <c r="B125" s="2" t="str">
        <f t="shared" si="1"/>
        <v>1</v>
      </c>
      <c r="C125" s="2" t="str">
        <f t="shared" si="2"/>
        <v>1400003094-16353</v>
      </c>
      <c r="D125" s="2">
        <v>3.20083872E8</v>
      </c>
      <c r="E125" s="2">
        <v>1.400003094E9</v>
      </c>
      <c r="F125" s="2">
        <v>16353.0</v>
      </c>
      <c r="G125" s="2">
        <v>2.0</v>
      </c>
      <c r="H125" s="2">
        <v>162800.0</v>
      </c>
      <c r="I125" s="2">
        <v>740000.0</v>
      </c>
      <c r="J125" s="2">
        <v>1.0</v>
      </c>
      <c r="K125" s="2">
        <v>7.0</v>
      </c>
      <c r="O125" s="2" t="s">
        <v>297</v>
      </c>
      <c r="P125" s="2" t="s">
        <v>166</v>
      </c>
      <c r="R125" s="2" t="s">
        <v>167</v>
      </c>
      <c r="S125" s="11">
        <v>42222.425717592596</v>
      </c>
    </row>
    <row r="126" ht="12.75" hidden="1" customHeight="1">
      <c r="A126" s="2" t="str">
        <f>IF(VLOOKUP(E126,Sheet4!$A$585:$B$786,2,0)=0,1, )</f>
        <v>1</v>
      </c>
      <c r="B126" s="2" t="str">
        <f t="shared" si="1"/>
        <v>1</v>
      </c>
      <c r="C126" s="2" t="str">
        <f t="shared" si="2"/>
        <v>1400003094-16356</v>
      </c>
      <c r="D126" s="2">
        <v>3.20083883E8</v>
      </c>
      <c r="E126" s="2">
        <v>1.400003094E9</v>
      </c>
      <c r="F126" s="2">
        <v>16356.0</v>
      </c>
      <c r="G126" s="2">
        <v>2.0</v>
      </c>
      <c r="H126" s="2">
        <v>187000.0</v>
      </c>
      <c r="I126" s="2">
        <v>850000.0</v>
      </c>
      <c r="J126" s="2">
        <v>1.0</v>
      </c>
      <c r="K126" s="2">
        <v>7.0</v>
      </c>
      <c r="O126" s="2" t="s">
        <v>299</v>
      </c>
      <c r="P126" s="2" t="s">
        <v>166</v>
      </c>
      <c r="R126" s="2" t="s">
        <v>167</v>
      </c>
      <c r="S126" s="11">
        <v>42222.425717592596</v>
      </c>
    </row>
    <row r="127" ht="12.75" hidden="1" customHeight="1">
      <c r="A127" s="2" t="str">
        <f>IF(VLOOKUP(E127,Sheet4!$A$585:$B$786,2,0)=0,1, )</f>
        <v>1</v>
      </c>
      <c r="B127" s="2" t="str">
        <f t="shared" si="1"/>
        <v>1</v>
      </c>
      <c r="C127" s="2" t="str">
        <f t="shared" si="2"/>
        <v>1400003094-16755</v>
      </c>
      <c r="D127" s="2">
        <v>3.20083874E8</v>
      </c>
      <c r="E127" s="2">
        <v>1.400003094E9</v>
      </c>
      <c r="F127" s="2">
        <v>16755.0</v>
      </c>
      <c r="G127" s="2">
        <v>3.0</v>
      </c>
      <c r="H127" s="2">
        <v>473850.0</v>
      </c>
      <c r="I127" s="2">
        <v>1755000.0</v>
      </c>
      <c r="J127" s="2">
        <v>1.0</v>
      </c>
      <c r="K127" s="2">
        <v>7.0</v>
      </c>
      <c r="O127" s="2" t="s">
        <v>301</v>
      </c>
      <c r="P127" s="2" t="s">
        <v>166</v>
      </c>
      <c r="R127" s="2" t="s">
        <v>167</v>
      </c>
      <c r="S127" s="11">
        <v>42222.425717592596</v>
      </c>
    </row>
    <row r="128" ht="12.75" hidden="1" customHeight="1">
      <c r="A128" s="2" t="str">
        <f>IF(VLOOKUP(E128,Sheet4!$A$585:$B$786,2,0)=0,1, )</f>
        <v>1</v>
      </c>
      <c r="B128" s="2" t="str">
        <f t="shared" si="1"/>
        <v>1</v>
      </c>
      <c r="C128" s="2" t="str">
        <f t="shared" si="2"/>
        <v>1400003094-16757</v>
      </c>
      <c r="D128" s="2">
        <v>3.20083876E8</v>
      </c>
      <c r="E128" s="2">
        <v>1.400003094E9</v>
      </c>
      <c r="F128" s="2">
        <v>16757.0</v>
      </c>
      <c r="G128" s="2">
        <v>4.0</v>
      </c>
      <c r="H128" s="2">
        <v>664200.0</v>
      </c>
      <c r="I128" s="2">
        <v>2460000.0</v>
      </c>
      <c r="J128" s="2">
        <v>1.0</v>
      </c>
      <c r="K128" s="2">
        <v>7.0</v>
      </c>
      <c r="O128" s="2" t="s">
        <v>303</v>
      </c>
      <c r="P128" s="2" t="s">
        <v>166</v>
      </c>
      <c r="R128" s="2" t="s">
        <v>167</v>
      </c>
      <c r="S128" s="11">
        <v>42222.425717592596</v>
      </c>
    </row>
    <row r="129" ht="12.75" hidden="1" customHeight="1">
      <c r="A129" s="2" t="str">
        <f>IF(VLOOKUP(E129,Sheet4!$A$585:$B$786,2,0)=0,1, )</f>
        <v>1</v>
      </c>
      <c r="B129" s="2" t="str">
        <f t="shared" si="1"/>
        <v>1</v>
      </c>
      <c r="C129" s="2" t="str">
        <f t="shared" si="2"/>
        <v>1400003094-16792</v>
      </c>
      <c r="D129" s="2">
        <v>3.20083875E8</v>
      </c>
      <c r="E129" s="2">
        <v>1.400003094E9</v>
      </c>
      <c r="F129" s="2">
        <v>16792.0</v>
      </c>
      <c r="G129" s="2">
        <v>4.0</v>
      </c>
      <c r="H129" s="2">
        <v>495000.0</v>
      </c>
      <c r="I129" s="2">
        <v>1980000.0</v>
      </c>
      <c r="J129" s="2">
        <v>1.0</v>
      </c>
      <c r="K129" s="2">
        <v>7.0</v>
      </c>
      <c r="O129" s="2" t="s">
        <v>305</v>
      </c>
      <c r="P129" s="2" t="s">
        <v>166</v>
      </c>
      <c r="R129" s="2" t="s">
        <v>167</v>
      </c>
      <c r="S129" s="11">
        <v>42222.425717592596</v>
      </c>
    </row>
    <row r="130" ht="12.75" hidden="1" customHeight="1">
      <c r="A130" s="2" t="str">
        <f>IF(VLOOKUP(E130,Sheet4!$A$585:$B$786,2,0)=0,1, )</f>
        <v>1</v>
      </c>
      <c r="B130" s="2" t="str">
        <f t="shared" si="1"/>
        <v>1</v>
      </c>
      <c r="C130" s="2" t="str">
        <f t="shared" si="2"/>
        <v>1400003094-16794</v>
      </c>
      <c r="D130" s="2">
        <v>3.20083882E8</v>
      </c>
      <c r="E130" s="2">
        <v>1.400003094E9</v>
      </c>
      <c r="F130" s="2">
        <v>16794.0</v>
      </c>
      <c r="G130" s="2">
        <v>3.0</v>
      </c>
      <c r="H130" s="2">
        <v>396000.0</v>
      </c>
      <c r="I130" s="2">
        <v>1320000.0</v>
      </c>
      <c r="J130" s="2">
        <v>1.0</v>
      </c>
      <c r="K130" s="2">
        <v>7.0</v>
      </c>
      <c r="O130" s="2" t="s">
        <v>307</v>
      </c>
      <c r="P130" s="2" t="s">
        <v>166</v>
      </c>
      <c r="R130" s="2" t="s">
        <v>167</v>
      </c>
      <c r="S130" s="11">
        <v>42222.425717592596</v>
      </c>
    </row>
    <row r="131" ht="12.75" hidden="1" customHeight="1">
      <c r="A131" s="2" t="str">
        <f>IF(VLOOKUP(E131,Sheet4!$A$585:$B$786,2,0)=0,1, )</f>
        <v>1</v>
      </c>
      <c r="B131" s="2" t="str">
        <f t="shared" si="1"/>
        <v>1</v>
      </c>
      <c r="C131" s="2" t="str">
        <f t="shared" si="2"/>
        <v>1400003094-16800</v>
      </c>
      <c r="D131" s="2">
        <v>3.20083867E8</v>
      </c>
      <c r="E131" s="2">
        <v>1.400003094E9</v>
      </c>
      <c r="F131" s="2">
        <v>16800.0</v>
      </c>
      <c r="G131" s="2">
        <v>3.0</v>
      </c>
      <c r="H131" s="2">
        <v>442500.0</v>
      </c>
      <c r="I131" s="2">
        <v>1770000.0</v>
      </c>
      <c r="J131" s="2">
        <v>1.0</v>
      </c>
      <c r="K131" s="2">
        <v>7.0</v>
      </c>
      <c r="O131" s="2" t="s">
        <v>309</v>
      </c>
      <c r="P131" s="2" t="s">
        <v>166</v>
      </c>
      <c r="R131" s="2" t="s">
        <v>167</v>
      </c>
      <c r="S131" s="11">
        <v>42222.425717592596</v>
      </c>
    </row>
    <row r="132" ht="12.75" hidden="1" customHeight="1">
      <c r="A132" s="2" t="str">
        <f>IF(VLOOKUP(E132,Sheet4!$A$585:$B$786,2,0)=0,1, )</f>
        <v>1</v>
      </c>
      <c r="B132" s="2" t="str">
        <f t="shared" si="1"/>
        <v>1</v>
      </c>
      <c r="C132" s="2" t="str">
        <f t="shared" si="2"/>
        <v>1400003095-7547</v>
      </c>
      <c r="D132" s="2">
        <v>3.20083916E8</v>
      </c>
      <c r="E132" s="2">
        <v>1.400003095E9</v>
      </c>
      <c r="F132" s="2">
        <v>7547.0</v>
      </c>
      <c r="G132" s="2">
        <v>3.0</v>
      </c>
      <c r="H132" s="2">
        <v>247500.0</v>
      </c>
      <c r="I132" s="2">
        <v>990000.0</v>
      </c>
      <c r="J132" s="2">
        <v>1.0</v>
      </c>
      <c r="K132" s="2">
        <v>7.0</v>
      </c>
      <c r="O132" s="2" t="s">
        <v>221</v>
      </c>
      <c r="P132" s="2" t="s">
        <v>166</v>
      </c>
      <c r="R132" s="2" t="s">
        <v>167</v>
      </c>
      <c r="S132" s="11">
        <v>42222.42575231481</v>
      </c>
    </row>
    <row r="133" ht="12.75" hidden="1" customHeight="1">
      <c r="A133" s="2" t="str">
        <f>IF(VLOOKUP(E133,Sheet4!$A$585:$B$786,2,0)=0,1, )</f>
        <v>1</v>
      </c>
      <c r="B133" s="2" t="str">
        <f t="shared" si="1"/>
        <v/>
      </c>
      <c r="C133" s="2" t="str">
        <f t="shared" si="2"/>
        <v>1400003095-7547</v>
      </c>
      <c r="D133" s="2">
        <v>3.20083915E8</v>
      </c>
      <c r="E133" s="2">
        <v>1.400003095E9</v>
      </c>
      <c r="F133" s="2">
        <v>7547.0</v>
      </c>
      <c r="G133" s="2">
        <v>3.0</v>
      </c>
      <c r="H133" s="2">
        <v>247500.0</v>
      </c>
      <c r="I133" s="2">
        <v>990000.0</v>
      </c>
      <c r="J133" s="2">
        <v>1.0</v>
      </c>
      <c r="K133" s="2">
        <v>7.0</v>
      </c>
      <c r="O133" s="2" t="s">
        <v>221</v>
      </c>
      <c r="P133" s="2" t="s">
        <v>166</v>
      </c>
      <c r="R133" s="2" t="s">
        <v>167</v>
      </c>
      <c r="S133" s="11">
        <v>42222.42575231481</v>
      </c>
    </row>
    <row r="134" ht="12.75" hidden="1" customHeight="1">
      <c r="A134" s="2" t="str">
        <f>IF(VLOOKUP(E134,Sheet4!$A$585:$B$786,2,0)=0,1, )</f>
        <v>1</v>
      </c>
      <c r="B134" s="2" t="str">
        <f t="shared" si="1"/>
        <v>1</v>
      </c>
      <c r="C134" s="2" t="str">
        <f t="shared" si="2"/>
        <v>1400003095-7548</v>
      </c>
      <c r="D134" s="2">
        <v>3.20083914E8</v>
      </c>
      <c r="E134" s="2">
        <v>1.400003095E9</v>
      </c>
      <c r="F134" s="2">
        <v>7548.0</v>
      </c>
      <c r="G134" s="2">
        <v>2.0</v>
      </c>
      <c r="H134" s="2">
        <v>165000.0</v>
      </c>
      <c r="I134" s="2">
        <v>660000.0</v>
      </c>
      <c r="J134" s="2">
        <v>1.0</v>
      </c>
      <c r="K134" s="2">
        <v>7.0</v>
      </c>
      <c r="O134" s="2" t="s">
        <v>223</v>
      </c>
      <c r="P134" s="2" t="s">
        <v>166</v>
      </c>
      <c r="R134" s="2" t="s">
        <v>167</v>
      </c>
      <c r="S134" s="11">
        <v>42222.42575231481</v>
      </c>
    </row>
    <row r="135" ht="12.75" hidden="1" customHeight="1">
      <c r="A135" s="2" t="str">
        <f>IF(VLOOKUP(E135,Sheet4!$A$585:$B$786,2,0)=0,1, )</f>
        <v>1</v>
      </c>
      <c r="B135" s="2" t="str">
        <f t="shared" si="1"/>
        <v/>
      </c>
      <c r="C135" s="2" t="str">
        <f t="shared" si="2"/>
        <v>1400003095-7548</v>
      </c>
      <c r="D135" s="2">
        <v>3.20083913E8</v>
      </c>
      <c r="E135" s="2">
        <v>1.400003095E9</v>
      </c>
      <c r="F135" s="2">
        <v>7548.0</v>
      </c>
      <c r="G135" s="2">
        <v>2.0</v>
      </c>
      <c r="H135" s="2">
        <v>165000.0</v>
      </c>
      <c r="I135" s="2">
        <v>660000.0</v>
      </c>
      <c r="J135" s="2">
        <v>1.0</v>
      </c>
      <c r="K135" s="2">
        <v>7.0</v>
      </c>
      <c r="O135" s="2" t="s">
        <v>223</v>
      </c>
      <c r="P135" s="2" t="s">
        <v>166</v>
      </c>
      <c r="R135" s="2" t="s">
        <v>167</v>
      </c>
      <c r="S135" s="11">
        <v>42222.42575231481</v>
      </c>
    </row>
    <row r="136" ht="12.75" hidden="1" customHeight="1">
      <c r="A136" s="2" t="str">
        <f>IF(VLOOKUP(E136,Sheet4!$A$585:$B$786,2,0)=0,1, )</f>
        <v>1</v>
      </c>
      <c r="B136" s="2" t="str">
        <f t="shared" si="1"/>
        <v>1</v>
      </c>
      <c r="C136" s="2" t="str">
        <f t="shared" si="2"/>
        <v>1400003095-16353</v>
      </c>
      <c r="D136" s="2">
        <v>3.20083908E8</v>
      </c>
      <c r="E136" s="2">
        <v>1.400003095E9</v>
      </c>
      <c r="F136" s="2">
        <v>16353.0</v>
      </c>
      <c r="G136" s="2">
        <v>6.0</v>
      </c>
      <c r="H136" s="2">
        <v>488400.0</v>
      </c>
      <c r="I136" s="2">
        <v>2220000.0</v>
      </c>
      <c r="J136" s="2">
        <v>1.0</v>
      </c>
      <c r="K136" s="2">
        <v>7.0</v>
      </c>
      <c r="O136" s="2" t="s">
        <v>297</v>
      </c>
      <c r="P136" s="2" t="s">
        <v>166</v>
      </c>
      <c r="R136" s="2" t="s">
        <v>167</v>
      </c>
      <c r="S136" s="11">
        <v>42222.42575231481</v>
      </c>
    </row>
    <row r="137" ht="12.75" hidden="1" customHeight="1">
      <c r="A137" s="2" t="str">
        <f>IF(VLOOKUP(E137,Sheet4!$A$585:$B$786,2,0)=0,1, )</f>
        <v>1</v>
      </c>
      <c r="B137" s="2" t="str">
        <f t="shared" si="1"/>
        <v/>
      </c>
      <c r="C137" s="2" t="str">
        <f t="shared" si="2"/>
        <v>1400003095-16353</v>
      </c>
      <c r="D137" s="2">
        <v>3.20083907E8</v>
      </c>
      <c r="E137" s="2">
        <v>1.400003095E9</v>
      </c>
      <c r="F137" s="2">
        <v>16353.0</v>
      </c>
      <c r="G137" s="2">
        <v>6.0</v>
      </c>
      <c r="H137" s="2">
        <v>488400.0</v>
      </c>
      <c r="I137" s="2">
        <v>2220000.0</v>
      </c>
      <c r="J137" s="2">
        <v>1.0</v>
      </c>
      <c r="K137" s="2">
        <v>7.0</v>
      </c>
      <c r="O137" s="2" t="s">
        <v>297</v>
      </c>
      <c r="P137" s="2" t="s">
        <v>166</v>
      </c>
      <c r="R137" s="2" t="s">
        <v>167</v>
      </c>
      <c r="S137" s="11">
        <v>42222.42575231481</v>
      </c>
    </row>
    <row r="138" ht="12.75" hidden="1" customHeight="1">
      <c r="A138" s="2" t="str">
        <f>IF(VLOOKUP(E138,Sheet4!$A$585:$B$786,2,0)=0,1, )</f>
        <v>1</v>
      </c>
      <c r="B138" s="2" t="str">
        <f t="shared" si="1"/>
        <v>1</v>
      </c>
      <c r="C138" s="2" t="str">
        <f t="shared" si="2"/>
        <v>1400003095-16712</v>
      </c>
      <c r="D138" s="2">
        <v>3.20083903E8</v>
      </c>
      <c r="E138" s="2">
        <v>1.400003095E9</v>
      </c>
      <c r="F138" s="2">
        <v>16712.0</v>
      </c>
      <c r="G138" s="2">
        <v>6.0</v>
      </c>
      <c r="H138" s="2">
        <v>679800.0</v>
      </c>
      <c r="I138" s="2">
        <v>3090000.0</v>
      </c>
      <c r="J138" s="2">
        <v>1.0</v>
      </c>
      <c r="K138" s="2">
        <v>7.0</v>
      </c>
      <c r="O138" s="2" t="s">
        <v>314</v>
      </c>
      <c r="P138" s="2" t="s">
        <v>166</v>
      </c>
      <c r="R138" s="2" t="s">
        <v>167</v>
      </c>
      <c r="S138" s="11">
        <v>42222.42575231481</v>
      </c>
    </row>
    <row r="139" ht="12.75" hidden="1" customHeight="1">
      <c r="A139" s="2" t="str">
        <f>IF(VLOOKUP(E139,Sheet4!$A$585:$B$786,2,0)=0,1, )</f>
        <v>1</v>
      </c>
      <c r="B139" s="2" t="str">
        <f t="shared" si="1"/>
        <v/>
      </c>
      <c r="C139" s="2" t="str">
        <f t="shared" si="2"/>
        <v>1400003095-16712</v>
      </c>
      <c r="D139" s="2">
        <v>3.20083904E8</v>
      </c>
      <c r="E139" s="2">
        <v>1.400003095E9</v>
      </c>
      <c r="F139" s="2">
        <v>16712.0</v>
      </c>
      <c r="G139" s="2">
        <v>6.0</v>
      </c>
      <c r="H139" s="2">
        <v>679800.0</v>
      </c>
      <c r="I139" s="2">
        <v>3090000.0</v>
      </c>
      <c r="J139" s="2">
        <v>1.0</v>
      </c>
      <c r="K139" s="2">
        <v>7.0</v>
      </c>
      <c r="O139" s="2" t="s">
        <v>314</v>
      </c>
      <c r="P139" s="2" t="s">
        <v>166</v>
      </c>
      <c r="R139" s="2" t="s">
        <v>167</v>
      </c>
      <c r="S139" s="11">
        <v>42222.42575231481</v>
      </c>
    </row>
    <row r="140" ht="12.75" hidden="1" customHeight="1">
      <c r="A140" s="2" t="str">
        <f>IF(VLOOKUP(E140,Sheet4!$A$585:$B$786,2,0)=0,1, )</f>
        <v>1</v>
      </c>
      <c r="B140" s="2" t="str">
        <f t="shared" si="1"/>
        <v>1</v>
      </c>
      <c r="C140" s="2" t="str">
        <f t="shared" si="2"/>
        <v>1400003095-16848</v>
      </c>
      <c r="D140" s="2">
        <v>3.20083906E8</v>
      </c>
      <c r="E140" s="2">
        <v>1.400003095E9</v>
      </c>
      <c r="F140" s="2">
        <v>16848.0</v>
      </c>
      <c r="G140" s="2">
        <v>6.0</v>
      </c>
      <c r="H140" s="2">
        <v>508200.0</v>
      </c>
      <c r="I140" s="2">
        <v>2310000.0</v>
      </c>
      <c r="J140" s="2">
        <v>1.0</v>
      </c>
      <c r="K140" s="2">
        <v>7.0</v>
      </c>
      <c r="O140" s="2" t="s">
        <v>316</v>
      </c>
      <c r="P140" s="2" t="s">
        <v>166</v>
      </c>
      <c r="R140" s="2" t="s">
        <v>167</v>
      </c>
      <c r="S140" s="11">
        <v>42222.42575231481</v>
      </c>
    </row>
    <row r="141" ht="12.75" hidden="1" customHeight="1">
      <c r="A141" s="2" t="str">
        <f>IF(VLOOKUP(E141,Sheet4!$A$585:$B$786,2,0)=0,1, )</f>
        <v>1</v>
      </c>
      <c r="B141" s="2" t="str">
        <f t="shared" si="1"/>
        <v/>
      </c>
      <c r="C141" s="2" t="str">
        <f t="shared" si="2"/>
        <v>1400003095-16848</v>
      </c>
      <c r="D141" s="2">
        <v>3.20083905E8</v>
      </c>
      <c r="E141" s="2">
        <v>1.400003095E9</v>
      </c>
      <c r="F141" s="2">
        <v>16848.0</v>
      </c>
      <c r="G141" s="2">
        <v>6.0</v>
      </c>
      <c r="H141" s="2">
        <v>508200.0</v>
      </c>
      <c r="I141" s="2">
        <v>2310000.0</v>
      </c>
      <c r="J141" s="2">
        <v>1.0</v>
      </c>
      <c r="K141" s="2">
        <v>7.0</v>
      </c>
      <c r="O141" s="2" t="s">
        <v>316</v>
      </c>
      <c r="P141" s="2" t="s">
        <v>166</v>
      </c>
      <c r="R141" s="2" t="s">
        <v>167</v>
      </c>
      <c r="S141" s="11">
        <v>42222.42575231481</v>
      </c>
    </row>
    <row r="142" ht="12.75" hidden="1" customHeight="1">
      <c r="A142" s="2" t="str">
        <f>IF(VLOOKUP(E142,Sheet4!$A$585:$B$786,2,0)=0,1, )</f>
        <v>1</v>
      </c>
      <c r="B142" s="2" t="str">
        <f t="shared" si="1"/>
        <v>1</v>
      </c>
      <c r="C142" s="2" t="str">
        <f t="shared" si="2"/>
        <v>1400003095-16857</v>
      </c>
      <c r="D142" s="2">
        <v>3.20083911E8</v>
      </c>
      <c r="E142" s="2">
        <v>1.400003095E9</v>
      </c>
      <c r="F142" s="2">
        <v>16857.0</v>
      </c>
      <c r="G142" s="2">
        <v>5.0</v>
      </c>
      <c r="H142" s="2">
        <v>618750.0</v>
      </c>
      <c r="I142" s="2">
        <v>2475000.0</v>
      </c>
      <c r="J142" s="2">
        <v>1.0</v>
      </c>
      <c r="K142" s="2">
        <v>7.0</v>
      </c>
      <c r="O142" s="2" t="s">
        <v>318</v>
      </c>
      <c r="P142" s="2" t="s">
        <v>166</v>
      </c>
      <c r="R142" s="2" t="s">
        <v>167</v>
      </c>
      <c r="S142" s="11">
        <v>42222.42575231481</v>
      </c>
    </row>
    <row r="143" ht="12.75" hidden="1" customHeight="1">
      <c r="A143" s="2" t="str">
        <f>IF(VLOOKUP(E143,Sheet4!$A$585:$B$786,2,0)=0,1, )</f>
        <v>1</v>
      </c>
      <c r="B143" s="2" t="str">
        <f t="shared" si="1"/>
        <v/>
      </c>
      <c r="C143" s="2" t="str">
        <f t="shared" si="2"/>
        <v>1400003095-16857</v>
      </c>
      <c r="D143" s="2">
        <v>3.20083912E8</v>
      </c>
      <c r="E143" s="2">
        <v>1.400003095E9</v>
      </c>
      <c r="F143" s="2">
        <v>16857.0</v>
      </c>
      <c r="G143" s="2">
        <v>5.0</v>
      </c>
      <c r="H143" s="2">
        <v>618750.0</v>
      </c>
      <c r="I143" s="2">
        <v>2475000.0</v>
      </c>
      <c r="J143" s="2">
        <v>1.0</v>
      </c>
      <c r="K143" s="2">
        <v>7.0</v>
      </c>
      <c r="O143" s="2" t="s">
        <v>318</v>
      </c>
      <c r="P143" s="2" t="s">
        <v>166</v>
      </c>
      <c r="R143" s="2" t="s">
        <v>167</v>
      </c>
      <c r="S143" s="11">
        <v>42222.42575231481</v>
      </c>
    </row>
    <row r="144" ht="12.75" hidden="1" customHeight="1">
      <c r="A144" s="2" t="str">
        <f>IF(VLOOKUP(E144,Sheet4!$A$585:$B$786,2,0)=0,1, )</f>
        <v>1</v>
      </c>
      <c r="B144" s="2" t="str">
        <f t="shared" si="1"/>
        <v>1</v>
      </c>
      <c r="C144" s="2" t="str">
        <f t="shared" si="2"/>
        <v>1400003095-16866</v>
      </c>
      <c r="D144" s="2">
        <v>3.2008391E8</v>
      </c>
      <c r="E144" s="2">
        <v>1.400003095E9</v>
      </c>
      <c r="F144" s="2">
        <v>16866.0</v>
      </c>
      <c r="G144" s="2">
        <v>5.0</v>
      </c>
      <c r="H144" s="2">
        <v>618750.0</v>
      </c>
      <c r="I144" s="2">
        <v>2475000.0</v>
      </c>
      <c r="J144" s="2">
        <v>1.0</v>
      </c>
      <c r="K144" s="2">
        <v>7.0</v>
      </c>
      <c r="O144" s="2" t="s">
        <v>318</v>
      </c>
      <c r="P144" s="2" t="s">
        <v>166</v>
      </c>
      <c r="R144" s="2" t="s">
        <v>167</v>
      </c>
      <c r="S144" s="11">
        <v>42222.42575231481</v>
      </c>
    </row>
    <row r="145" ht="12.75" hidden="1" customHeight="1">
      <c r="A145" s="2" t="str">
        <f>IF(VLOOKUP(E145,Sheet4!$A$585:$B$786,2,0)=0,1, )</f>
        <v>1</v>
      </c>
      <c r="B145" s="2" t="str">
        <f t="shared" si="1"/>
        <v/>
      </c>
      <c r="C145" s="2" t="str">
        <f t="shared" si="2"/>
        <v>1400003095-16866</v>
      </c>
      <c r="D145" s="2">
        <v>3.20083909E8</v>
      </c>
      <c r="E145" s="2">
        <v>1.400003095E9</v>
      </c>
      <c r="F145" s="2">
        <v>16866.0</v>
      </c>
      <c r="G145" s="2">
        <v>5.0</v>
      </c>
      <c r="H145" s="2">
        <v>618750.0</v>
      </c>
      <c r="I145" s="2">
        <v>2475000.0</v>
      </c>
      <c r="J145" s="2">
        <v>1.0</v>
      </c>
      <c r="K145" s="2">
        <v>7.0</v>
      </c>
      <c r="O145" s="2" t="s">
        <v>318</v>
      </c>
      <c r="P145" s="2" t="s">
        <v>166</v>
      </c>
      <c r="R145" s="2" t="s">
        <v>167</v>
      </c>
      <c r="S145" s="11">
        <v>42222.42575231481</v>
      </c>
    </row>
    <row r="146" ht="12.75" hidden="1" customHeight="1">
      <c r="A146" s="2" t="str">
        <f>IF(VLOOKUP(E146,Sheet4!$A$585:$B$786,2,0)=0,1, )</f>
        <v>1</v>
      </c>
      <c r="B146" s="2" t="str">
        <f t="shared" si="1"/>
        <v>1</v>
      </c>
      <c r="C146" s="2" t="str">
        <f t="shared" si="2"/>
        <v>1400003096-8942</v>
      </c>
      <c r="D146" s="2">
        <v>3.20083918E8</v>
      </c>
      <c r="E146" s="2">
        <v>1.400003096E9</v>
      </c>
      <c r="F146" s="2">
        <v>8942.0</v>
      </c>
      <c r="G146" s="2">
        <v>-1.0</v>
      </c>
      <c r="H146" s="2">
        <v>0.0</v>
      </c>
      <c r="I146" s="2">
        <v>-340000.0</v>
      </c>
      <c r="J146" s="2">
        <v>1.0</v>
      </c>
      <c r="K146" s="2">
        <v>7.0</v>
      </c>
      <c r="O146" s="2" t="s">
        <v>321</v>
      </c>
      <c r="P146" s="2" t="s">
        <v>166</v>
      </c>
      <c r="R146" s="2" t="s">
        <v>167</v>
      </c>
      <c r="S146" s="11">
        <v>42222.42575231481</v>
      </c>
    </row>
    <row r="147" ht="12.75" hidden="1" customHeight="1">
      <c r="A147" s="2" t="str">
        <f>IF(VLOOKUP(E147,Sheet4!$A$585:$B$786,2,0)=0,1, )</f>
        <v>1</v>
      </c>
      <c r="B147" s="2" t="str">
        <f t="shared" si="1"/>
        <v/>
      </c>
      <c r="C147" s="2" t="str">
        <f t="shared" si="2"/>
        <v>1400003096-8942</v>
      </c>
      <c r="D147" s="2">
        <v>3.20083917E8</v>
      </c>
      <c r="E147" s="2">
        <v>1.400003096E9</v>
      </c>
      <c r="F147" s="2">
        <v>8942.0</v>
      </c>
      <c r="G147" s="2">
        <v>-1.0</v>
      </c>
      <c r="H147" s="2">
        <v>0.0</v>
      </c>
      <c r="I147" s="2">
        <v>-340000.0</v>
      </c>
      <c r="J147" s="2">
        <v>1.0</v>
      </c>
      <c r="K147" s="2">
        <v>7.0</v>
      </c>
      <c r="O147" s="2" t="s">
        <v>321</v>
      </c>
      <c r="P147" s="2" t="s">
        <v>166</v>
      </c>
      <c r="R147" s="2" t="s">
        <v>167</v>
      </c>
      <c r="S147" s="11">
        <v>42222.42575231481</v>
      </c>
    </row>
    <row r="148" ht="12.75" hidden="1" customHeight="1">
      <c r="A148" s="2" t="str">
        <f>IF(VLOOKUP(E148,Sheet4!$A$585:$B$786,2,0)=0,1, )</f>
        <v>1</v>
      </c>
      <c r="B148" s="2" t="str">
        <f t="shared" si="1"/>
        <v>1</v>
      </c>
      <c r="C148" s="2" t="str">
        <f t="shared" si="2"/>
        <v>1400003096-8943</v>
      </c>
      <c r="D148" s="2">
        <v>3.2008392E8</v>
      </c>
      <c r="E148" s="2">
        <v>1.400003096E9</v>
      </c>
      <c r="F148" s="2">
        <v>8943.0</v>
      </c>
      <c r="G148" s="2">
        <v>-1.0</v>
      </c>
      <c r="H148" s="2">
        <v>0.0</v>
      </c>
      <c r="I148" s="2">
        <v>-370000.0</v>
      </c>
      <c r="J148" s="2">
        <v>1.0</v>
      </c>
      <c r="K148" s="2">
        <v>7.0</v>
      </c>
      <c r="O148" s="2" t="s">
        <v>323</v>
      </c>
      <c r="P148" s="2" t="s">
        <v>166</v>
      </c>
      <c r="R148" s="2" t="s">
        <v>167</v>
      </c>
      <c r="S148" s="11">
        <v>42222.42575231481</v>
      </c>
    </row>
    <row r="149" ht="12.75" hidden="1" customHeight="1">
      <c r="A149" s="2" t="str">
        <f>IF(VLOOKUP(E149,Sheet4!$A$585:$B$786,2,0)=0,1, )</f>
        <v>1</v>
      </c>
      <c r="B149" s="2" t="str">
        <f t="shared" si="1"/>
        <v/>
      </c>
      <c r="C149" s="2" t="str">
        <f t="shared" si="2"/>
        <v>1400003096-8943</v>
      </c>
      <c r="D149" s="2">
        <v>3.20083919E8</v>
      </c>
      <c r="E149" s="2">
        <v>1.400003096E9</v>
      </c>
      <c r="F149" s="2">
        <v>8943.0</v>
      </c>
      <c r="G149" s="2">
        <v>-1.0</v>
      </c>
      <c r="H149" s="2">
        <v>0.0</v>
      </c>
      <c r="I149" s="2">
        <v>-370000.0</v>
      </c>
      <c r="J149" s="2">
        <v>1.0</v>
      </c>
      <c r="K149" s="2">
        <v>7.0</v>
      </c>
      <c r="O149" s="2" t="s">
        <v>323</v>
      </c>
      <c r="P149" s="2" t="s">
        <v>166</v>
      </c>
      <c r="R149" s="2" t="s">
        <v>167</v>
      </c>
      <c r="S149" s="11">
        <v>42222.42575231481</v>
      </c>
    </row>
    <row r="150" ht="12.75" hidden="1" customHeight="1">
      <c r="A150" s="2" t="str">
        <f>IF(VLOOKUP(E150,Sheet4!$A$585:$B$786,2,0)=0,1, )</f>
        <v>1</v>
      </c>
      <c r="B150" s="2" t="str">
        <f t="shared" si="1"/>
        <v>1</v>
      </c>
      <c r="C150" s="2" t="str">
        <f t="shared" si="2"/>
        <v>1400003096-15125</v>
      </c>
      <c r="D150" s="2">
        <v>3.20083921E8</v>
      </c>
      <c r="E150" s="2">
        <v>1.400003096E9</v>
      </c>
      <c r="F150" s="2">
        <v>15125.0</v>
      </c>
      <c r="G150" s="2">
        <v>-1.0</v>
      </c>
      <c r="H150" s="2">
        <v>0.0</v>
      </c>
      <c r="I150" s="2">
        <v>-630000.0</v>
      </c>
      <c r="J150" s="2">
        <v>1.0</v>
      </c>
      <c r="K150" s="2">
        <v>7.0</v>
      </c>
      <c r="O150" s="2" t="s">
        <v>237</v>
      </c>
      <c r="P150" s="2" t="s">
        <v>166</v>
      </c>
      <c r="R150" s="2" t="s">
        <v>167</v>
      </c>
      <c r="S150" s="11">
        <v>42222.42575231481</v>
      </c>
    </row>
    <row r="151" ht="12.75" hidden="1" customHeight="1">
      <c r="A151" s="2" t="str">
        <f>IF(VLOOKUP(E151,Sheet4!$A$585:$B$786,2,0)=0,1, )</f>
        <v>1</v>
      </c>
      <c r="B151" s="2" t="str">
        <f t="shared" si="1"/>
        <v/>
      </c>
      <c r="C151" s="2" t="str">
        <f t="shared" si="2"/>
        <v>1400003096-15125</v>
      </c>
      <c r="D151" s="2">
        <v>3.20083922E8</v>
      </c>
      <c r="E151" s="2">
        <v>1.400003096E9</v>
      </c>
      <c r="F151" s="2">
        <v>15125.0</v>
      </c>
      <c r="G151" s="2">
        <v>-1.0</v>
      </c>
      <c r="H151" s="2">
        <v>0.0</v>
      </c>
      <c r="I151" s="2">
        <v>-630000.0</v>
      </c>
      <c r="J151" s="2">
        <v>1.0</v>
      </c>
      <c r="K151" s="2">
        <v>7.0</v>
      </c>
      <c r="O151" s="2" t="s">
        <v>237</v>
      </c>
      <c r="P151" s="2" t="s">
        <v>166</v>
      </c>
      <c r="R151" s="2" t="s">
        <v>167</v>
      </c>
      <c r="S151" s="11">
        <v>42222.42575231481</v>
      </c>
    </row>
    <row r="152" ht="12.75" hidden="1" customHeight="1">
      <c r="A152" s="2" t="str">
        <f>IF(VLOOKUP(E152,Sheet4!$A$585:$B$786,2,0)=0,1, )</f>
        <v>1</v>
      </c>
      <c r="B152" s="2" t="str">
        <f t="shared" si="1"/>
        <v>1</v>
      </c>
      <c r="C152" s="2" t="str">
        <f t="shared" si="2"/>
        <v>1400003096-15951</v>
      </c>
      <c r="D152" s="2">
        <v>3.20083923E8</v>
      </c>
      <c r="E152" s="2">
        <v>1.400003096E9</v>
      </c>
      <c r="F152" s="2">
        <v>15951.0</v>
      </c>
      <c r="G152" s="2">
        <v>-4.0</v>
      </c>
      <c r="H152" s="2">
        <v>0.0</v>
      </c>
      <c r="I152" s="2">
        <v>-2380000.0</v>
      </c>
      <c r="J152" s="2">
        <v>1.0</v>
      </c>
      <c r="K152" s="2">
        <v>7.0</v>
      </c>
      <c r="O152" s="2" t="s">
        <v>326</v>
      </c>
      <c r="P152" s="2" t="s">
        <v>166</v>
      </c>
      <c r="R152" s="2" t="s">
        <v>167</v>
      </c>
      <c r="S152" s="11">
        <v>42222.42575231481</v>
      </c>
    </row>
    <row r="153" ht="12.75" hidden="1" customHeight="1">
      <c r="A153" s="2" t="str">
        <f>IF(VLOOKUP(E153,Sheet4!$A$585:$B$786,2,0)=0,1, )</f>
        <v>1</v>
      </c>
      <c r="B153" s="2" t="str">
        <f t="shared" si="1"/>
        <v/>
      </c>
      <c r="C153" s="2" t="str">
        <f t="shared" si="2"/>
        <v>1400003096-15951</v>
      </c>
      <c r="D153" s="2">
        <v>3.20083924E8</v>
      </c>
      <c r="E153" s="2">
        <v>1.400003096E9</v>
      </c>
      <c r="F153" s="2">
        <v>15951.0</v>
      </c>
      <c r="G153" s="2">
        <v>-4.0</v>
      </c>
      <c r="H153" s="2">
        <v>0.0</v>
      </c>
      <c r="I153" s="2">
        <v>-2380000.0</v>
      </c>
      <c r="J153" s="2">
        <v>1.0</v>
      </c>
      <c r="K153" s="2">
        <v>7.0</v>
      </c>
      <c r="O153" s="2" t="s">
        <v>326</v>
      </c>
      <c r="P153" s="2" t="s">
        <v>166</v>
      </c>
      <c r="R153" s="2" t="s">
        <v>167</v>
      </c>
      <c r="S153" s="11">
        <v>42222.42575231481</v>
      </c>
    </row>
    <row r="154" ht="12.75" hidden="1" customHeight="1">
      <c r="A154" s="2" t="str">
        <f>IF(VLOOKUP(E154,Sheet4!$A$585:$B$786,2,0)=0,1, )</f>
        <v>1</v>
      </c>
      <c r="B154" s="2" t="str">
        <f t="shared" si="1"/>
        <v>1</v>
      </c>
      <c r="C154" s="2" t="str">
        <f t="shared" si="2"/>
        <v>1400003097-6343</v>
      </c>
      <c r="D154" s="2">
        <v>3.2008394E8</v>
      </c>
      <c r="E154" s="2">
        <v>1.400003097E9</v>
      </c>
      <c r="F154" s="2">
        <v>6343.0</v>
      </c>
      <c r="G154" s="2">
        <v>1.0</v>
      </c>
      <c r="H154" s="2">
        <v>0.0</v>
      </c>
      <c r="I154" s="2">
        <v>800000.0</v>
      </c>
      <c r="J154" s="2">
        <v>1.0</v>
      </c>
      <c r="K154" s="2">
        <v>7.0</v>
      </c>
      <c r="O154" s="2" t="s">
        <v>328</v>
      </c>
      <c r="P154" s="2" t="s">
        <v>166</v>
      </c>
      <c r="R154" s="2" t="s">
        <v>167</v>
      </c>
      <c r="S154" s="11">
        <v>42222.42576388889</v>
      </c>
    </row>
    <row r="155" ht="12.75" hidden="1" customHeight="1">
      <c r="A155" s="2" t="str">
        <f>IF(VLOOKUP(E155,Sheet4!$A$585:$B$786,2,0)=0,1, )</f>
        <v>1</v>
      </c>
      <c r="B155" s="2" t="str">
        <f t="shared" si="1"/>
        <v/>
      </c>
      <c r="C155" s="2" t="str">
        <f t="shared" si="2"/>
        <v>1400003097-6343</v>
      </c>
      <c r="D155" s="2">
        <v>3.20083939E8</v>
      </c>
      <c r="E155" s="2">
        <v>1.400003097E9</v>
      </c>
      <c r="F155" s="2">
        <v>6343.0</v>
      </c>
      <c r="G155" s="2">
        <v>1.0</v>
      </c>
      <c r="H155" s="2">
        <v>0.0</v>
      </c>
      <c r="I155" s="2">
        <v>800000.0</v>
      </c>
      <c r="J155" s="2">
        <v>1.0</v>
      </c>
      <c r="K155" s="2">
        <v>7.0</v>
      </c>
      <c r="O155" s="2" t="s">
        <v>328</v>
      </c>
      <c r="P155" s="2" t="s">
        <v>166</v>
      </c>
      <c r="R155" s="2" t="s">
        <v>167</v>
      </c>
      <c r="S155" s="11">
        <v>42222.42576388889</v>
      </c>
    </row>
    <row r="156" ht="12.75" hidden="1" customHeight="1">
      <c r="A156" s="2" t="str">
        <f>IF(VLOOKUP(E156,Sheet4!$A$585:$B$786,2,0)=0,1, )</f>
        <v>1</v>
      </c>
      <c r="B156" s="2" t="str">
        <f t="shared" si="1"/>
        <v>1</v>
      </c>
      <c r="C156" s="2" t="str">
        <f t="shared" si="2"/>
        <v>1400003097-15869</v>
      </c>
      <c r="D156" s="2">
        <v>3.20083941E8</v>
      </c>
      <c r="E156" s="2">
        <v>1.400003097E9</v>
      </c>
      <c r="F156" s="2">
        <v>15869.0</v>
      </c>
      <c r="G156" s="2">
        <v>4.0</v>
      </c>
      <c r="H156" s="2">
        <v>388800.0</v>
      </c>
      <c r="I156" s="2">
        <v>1296000.0</v>
      </c>
      <c r="J156" s="2">
        <v>1.0</v>
      </c>
      <c r="K156" s="2">
        <v>7.0</v>
      </c>
      <c r="O156" s="2" t="s">
        <v>330</v>
      </c>
      <c r="P156" s="2" t="s">
        <v>166</v>
      </c>
      <c r="R156" s="2" t="s">
        <v>167</v>
      </c>
      <c r="S156" s="11">
        <v>42222.42576388889</v>
      </c>
    </row>
    <row r="157" ht="12.75" hidden="1" customHeight="1">
      <c r="A157" s="2" t="str">
        <f>IF(VLOOKUP(E157,Sheet4!$A$585:$B$786,2,0)=0,1, )</f>
        <v>1</v>
      </c>
      <c r="B157" s="2" t="str">
        <f t="shared" si="1"/>
        <v/>
      </c>
      <c r="C157" s="2" t="str">
        <f t="shared" si="2"/>
        <v>1400003097-15869</v>
      </c>
      <c r="D157" s="2">
        <v>3.20083942E8</v>
      </c>
      <c r="E157" s="2">
        <v>1.400003097E9</v>
      </c>
      <c r="F157" s="2">
        <v>15869.0</v>
      </c>
      <c r="G157" s="2">
        <v>4.0</v>
      </c>
      <c r="H157" s="2">
        <v>388800.0</v>
      </c>
      <c r="I157" s="2">
        <v>1296000.0</v>
      </c>
      <c r="J157" s="2">
        <v>1.0</v>
      </c>
      <c r="K157" s="2">
        <v>7.0</v>
      </c>
      <c r="O157" s="2" t="s">
        <v>330</v>
      </c>
      <c r="P157" s="2" t="s">
        <v>166</v>
      </c>
      <c r="R157" s="2" t="s">
        <v>167</v>
      </c>
      <c r="S157" s="11">
        <v>42222.42576388889</v>
      </c>
    </row>
    <row r="158" ht="12.75" hidden="1" customHeight="1">
      <c r="A158" s="2" t="str">
        <f>IF(VLOOKUP(E158,Sheet4!$A$585:$B$786,2,0)=0,1, )</f>
        <v>1</v>
      </c>
      <c r="B158" s="2" t="str">
        <f t="shared" si="1"/>
        <v>1</v>
      </c>
      <c r="C158" s="2" t="str">
        <f t="shared" si="2"/>
        <v>1400003097-16237</v>
      </c>
      <c r="D158" s="2">
        <v>3.20083943E8</v>
      </c>
      <c r="E158" s="2">
        <v>1.400003097E9</v>
      </c>
      <c r="F158" s="2">
        <v>16237.0</v>
      </c>
      <c r="G158" s="2">
        <v>2.0</v>
      </c>
      <c r="H158" s="2">
        <v>128920.0</v>
      </c>
      <c r="I158" s="2">
        <v>586000.0</v>
      </c>
      <c r="J158" s="2">
        <v>1.0</v>
      </c>
      <c r="K158" s="2">
        <v>7.0</v>
      </c>
      <c r="O158" s="2" t="s">
        <v>245</v>
      </c>
      <c r="P158" s="2" t="s">
        <v>166</v>
      </c>
      <c r="R158" s="2" t="s">
        <v>167</v>
      </c>
      <c r="S158" s="11">
        <v>42222.42576388889</v>
      </c>
    </row>
    <row r="159" ht="12.75" hidden="1" customHeight="1">
      <c r="A159" s="2" t="str">
        <f>IF(VLOOKUP(E159,Sheet4!$A$585:$B$786,2,0)=0,1, )</f>
        <v>1</v>
      </c>
      <c r="B159" s="2" t="str">
        <f t="shared" si="1"/>
        <v/>
      </c>
      <c r="C159" s="2" t="str">
        <f t="shared" si="2"/>
        <v>1400003097-16237</v>
      </c>
      <c r="D159" s="2">
        <v>3.20083944E8</v>
      </c>
      <c r="E159" s="2">
        <v>1.400003097E9</v>
      </c>
      <c r="F159" s="2">
        <v>16237.0</v>
      </c>
      <c r="G159" s="2">
        <v>2.0</v>
      </c>
      <c r="H159" s="2">
        <v>128920.0</v>
      </c>
      <c r="I159" s="2">
        <v>586000.0</v>
      </c>
      <c r="J159" s="2">
        <v>1.0</v>
      </c>
      <c r="K159" s="2">
        <v>7.0</v>
      </c>
      <c r="O159" s="2" t="s">
        <v>245</v>
      </c>
      <c r="P159" s="2" t="s">
        <v>166</v>
      </c>
      <c r="R159" s="2" t="s">
        <v>167</v>
      </c>
      <c r="S159" s="11">
        <v>42222.42576388889</v>
      </c>
    </row>
    <row r="160" ht="12.75" hidden="1" customHeight="1">
      <c r="A160" s="2" t="str">
        <f>IF(VLOOKUP(E160,Sheet4!$A$585:$B$786,2,0)=0,1, )</f>
        <v>1</v>
      </c>
      <c r="B160" s="2" t="str">
        <f t="shared" si="1"/>
        <v>1</v>
      </c>
      <c r="C160" s="2" t="str">
        <f t="shared" si="2"/>
        <v>1400003097-16344</v>
      </c>
      <c r="D160" s="2">
        <v>3.20083938E8</v>
      </c>
      <c r="E160" s="2">
        <v>1.400003097E9</v>
      </c>
      <c r="F160" s="2">
        <v>16344.0</v>
      </c>
      <c r="G160" s="2">
        <v>2.0</v>
      </c>
      <c r="H160" s="2">
        <v>226600.0</v>
      </c>
      <c r="I160" s="2">
        <v>1030000.0</v>
      </c>
      <c r="J160" s="2">
        <v>1.0</v>
      </c>
      <c r="K160" s="2">
        <v>7.0</v>
      </c>
      <c r="O160" s="2" t="s">
        <v>333</v>
      </c>
      <c r="P160" s="2" t="s">
        <v>166</v>
      </c>
      <c r="R160" s="2" t="s">
        <v>167</v>
      </c>
      <c r="S160" s="11">
        <v>42222.42576388889</v>
      </c>
    </row>
    <row r="161" ht="12.75" hidden="1" customHeight="1">
      <c r="A161" s="2" t="str">
        <f>IF(VLOOKUP(E161,Sheet4!$A$585:$B$786,2,0)=0,1, )</f>
        <v>1</v>
      </c>
      <c r="B161" s="2" t="str">
        <f t="shared" si="1"/>
        <v/>
      </c>
      <c r="C161" s="2" t="str">
        <f t="shared" si="2"/>
        <v>1400003097-16344</v>
      </c>
      <c r="D161" s="2">
        <v>3.20083937E8</v>
      </c>
      <c r="E161" s="2">
        <v>1.400003097E9</v>
      </c>
      <c r="F161" s="2">
        <v>16344.0</v>
      </c>
      <c r="G161" s="2">
        <v>2.0</v>
      </c>
      <c r="H161" s="2">
        <v>226600.0</v>
      </c>
      <c r="I161" s="2">
        <v>1030000.0</v>
      </c>
      <c r="J161" s="2">
        <v>1.0</v>
      </c>
      <c r="K161" s="2">
        <v>7.0</v>
      </c>
      <c r="O161" s="2" t="s">
        <v>333</v>
      </c>
      <c r="P161" s="2" t="s">
        <v>166</v>
      </c>
      <c r="R161" s="2" t="s">
        <v>167</v>
      </c>
      <c r="S161" s="11">
        <v>42222.42576388889</v>
      </c>
    </row>
    <row r="162" ht="12.75" hidden="1" customHeight="1">
      <c r="A162" s="2" t="str">
        <f>IF(VLOOKUP(E162,Sheet4!$A$585:$B$786,2,0)=0,1, )</f>
        <v>1</v>
      </c>
      <c r="B162" s="2" t="str">
        <f t="shared" si="1"/>
        <v>1</v>
      </c>
      <c r="C162" s="2" t="str">
        <f t="shared" si="2"/>
        <v>1400003097-16346</v>
      </c>
      <c r="D162" s="2">
        <v>3.20083935E8</v>
      </c>
      <c r="E162" s="2">
        <v>1.400003097E9</v>
      </c>
      <c r="F162" s="2">
        <v>16346.0</v>
      </c>
      <c r="G162" s="2">
        <v>3.0</v>
      </c>
      <c r="H162" s="2">
        <v>221100.0</v>
      </c>
      <c r="I162" s="2">
        <v>1005000.0</v>
      </c>
      <c r="J162" s="2">
        <v>1.0</v>
      </c>
      <c r="K162" s="2">
        <v>7.0</v>
      </c>
      <c r="O162" s="2" t="s">
        <v>335</v>
      </c>
      <c r="P162" s="2" t="s">
        <v>166</v>
      </c>
      <c r="R162" s="2" t="s">
        <v>167</v>
      </c>
      <c r="S162" s="11">
        <v>42222.42576388889</v>
      </c>
    </row>
    <row r="163" ht="12.75" hidden="1" customHeight="1">
      <c r="A163" s="2" t="str">
        <f>IF(VLOOKUP(E163,Sheet4!$A$585:$B$786,2,0)=0,1, )</f>
        <v>1</v>
      </c>
      <c r="B163" s="2" t="str">
        <f t="shared" si="1"/>
        <v/>
      </c>
      <c r="C163" s="2" t="str">
        <f t="shared" si="2"/>
        <v>1400003097-16346</v>
      </c>
      <c r="D163" s="2">
        <v>3.20083936E8</v>
      </c>
      <c r="E163" s="2">
        <v>1.400003097E9</v>
      </c>
      <c r="F163" s="2">
        <v>16346.0</v>
      </c>
      <c r="G163" s="2">
        <v>3.0</v>
      </c>
      <c r="H163" s="2">
        <v>221100.0</v>
      </c>
      <c r="I163" s="2">
        <v>1005000.0</v>
      </c>
      <c r="J163" s="2">
        <v>1.0</v>
      </c>
      <c r="K163" s="2">
        <v>7.0</v>
      </c>
      <c r="O163" s="2" t="s">
        <v>335</v>
      </c>
      <c r="P163" s="2" t="s">
        <v>166</v>
      </c>
      <c r="R163" s="2" t="s">
        <v>167</v>
      </c>
      <c r="S163" s="11">
        <v>42222.42576388889</v>
      </c>
    </row>
    <row r="164" ht="12.75" hidden="1" customHeight="1">
      <c r="A164" s="2" t="str">
        <f>IF(VLOOKUP(E164,Sheet4!$A$585:$B$786,2,0)=0,1, )</f>
        <v>1</v>
      </c>
      <c r="B164" s="2" t="str">
        <f t="shared" si="1"/>
        <v>1</v>
      </c>
      <c r="C164" s="2" t="str">
        <f t="shared" si="2"/>
        <v>1400003097-16348</v>
      </c>
      <c r="D164" s="2">
        <v>3.20083931E8</v>
      </c>
      <c r="E164" s="2">
        <v>1.400003097E9</v>
      </c>
      <c r="F164" s="2">
        <v>16348.0</v>
      </c>
      <c r="G164" s="2">
        <v>6.0</v>
      </c>
      <c r="H164" s="2">
        <v>495000.0</v>
      </c>
      <c r="I164" s="2">
        <v>2250000.0</v>
      </c>
      <c r="J164" s="2">
        <v>1.0</v>
      </c>
      <c r="K164" s="2">
        <v>7.0</v>
      </c>
      <c r="O164" s="2" t="s">
        <v>337</v>
      </c>
      <c r="P164" s="2" t="s">
        <v>166</v>
      </c>
      <c r="R164" s="2" t="s">
        <v>167</v>
      </c>
      <c r="S164" s="11">
        <v>42222.42576388889</v>
      </c>
    </row>
    <row r="165" ht="12.75" hidden="1" customHeight="1">
      <c r="A165" s="2" t="str">
        <f>IF(VLOOKUP(E165,Sheet4!$A$585:$B$786,2,0)=0,1, )</f>
        <v>1</v>
      </c>
      <c r="B165" s="2" t="str">
        <f t="shared" si="1"/>
        <v/>
      </c>
      <c r="C165" s="2" t="str">
        <f t="shared" si="2"/>
        <v>1400003097-16348</v>
      </c>
      <c r="D165" s="2">
        <v>3.20083932E8</v>
      </c>
      <c r="E165" s="2">
        <v>1.400003097E9</v>
      </c>
      <c r="F165" s="2">
        <v>16348.0</v>
      </c>
      <c r="G165" s="2">
        <v>6.0</v>
      </c>
      <c r="H165" s="2">
        <v>495000.0</v>
      </c>
      <c r="I165" s="2">
        <v>2250000.0</v>
      </c>
      <c r="J165" s="2">
        <v>1.0</v>
      </c>
      <c r="K165" s="2">
        <v>7.0</v>
      </c>
      <c r="O165" s="2" t="s">
        <v>337</v>
      </c>
      <c r="P165" s="2" t="s">
        <v>166</v>
      </c>
      <c r="R165" s="2" t="s">
        <v>167</v>
      </c>
      <c r="S165" s="11">
        <v>42222.42576388889</v>
      </c>
    </row>
    <row r="166" ht="12.75" hidden="1" customHeight="1">
      <c r="A166" s="2" t="str">
        <f>IF(VLOOKUP(E166,Sheet4!$A$585:$B$786,2,0)=0,1, )</f>
        <v>1</v>
      </c>
      <c r="B166" s="2" t="str">
        <f t="shared" si="1"/>
        <v>1</v>
      </c>
      <c r="C166" s="2" t="str">
        <f t="shared" si="2"/>
        <v>1400003097-16866</v>
      </c>
      <c r="D166" s="2">
        <v>3.20083933E8</v>
      </c>
      <c r="E166" s="2">
        <v>1.400003097E9</v>
      </c>
      <c r="F166" s="2">
        <v>16866.0</v>
      </c>
      <c r="G166" s="2">
        <v>5.0</v>
      </c>
      <c r="H166" s="2">
        <v>618750.0</v>
      </c>
      <c r="I166" s="2">
        <v>2475000.0</v>
      </c>
      <c r="J166" s="2">
        <v>1.0</v>
      </c>
      <c r="K166" s="2">
        <v>7.0</v>
      </c>
      <c r="O166" s="2" t="s">
        <v>318</v>
      </c>
      <c r="P166" s="2" t="s">
        <v>166</v>
      </c>
      <c r="R166" s="2" t="s">
        <v>167</v>
      </c>
      <c r="S166" s="11">
        <v>42222.42576388889</v>
      </c>
    </row>
    <row r="167" ht="12.75" hidden="1" customHeight="1">
      <c r="A167" s="2" t="str">
        <f>IF(VLOOKUP(E167,Sheet4!$A$585:$B$786,2,0)=0,1, )</f>
        <v>1</v>
      </c>
      <c r="B167" s="2" t="str">
        <f t="shared" si="1"/>
        <v/>
      </c>
      <c r="C167" s="2" t="str">
        <f t="shared" si="2"/>
        <v>1400003097-16866</v>
      </c>
      <c r="D167" s="2">
        <v>3.20083934E8</v>
      </c>
      <c r="E167" s="2">
        <v>1.400003097E9</v>
      </c>
      <c r="F167" s="2">
        <v>16866.0</v>
      </c>
      <c r="G167" s="2">
        <v>5.0</v>
      </c>
      <c r="H167" s="2">
        <v>618750.0</v>
      </c>
      <c r="I167" s="2">
        <v>2475000.0</v>
      </c>
      <c r="J167" s="2">
        <v>1.0</v>
      </c>
      <c r="K167" s="2">
        <v>7.0</v>
      </c>
      <c r="O167" s="2" t="s">
        <v>318</v>
      </c>
      <c r="P167" s="2" t="s">
        <v>166</v>
      </c>
      <c r="R167" s="2" t="s">
        <v>167</v>
      </c>
      <c r="S167" s="11">
        <v>42222.42576388889</v>
      </c>
    </row>
    <row r="168" ht="12.75" hidden="1" customHeight="1">
      <c r="A168" s="2" t="str">
        <f>IF(VLOOKUP(E168,Sheet4!$A$585:$B$786,2,0)=0,1, )</f>
        <v>1</v>
      </c>
      <c r="B168" s="2" t="str">
        <f t="shared" si="1"/>
        <v>1</v>
      </c>
      <c r="C168" s="2" t="str">
        <f t="shared" si="2"/>
        <v>1400003098-16130</v>
      </c>
      <c r="D168" s="2">
        <v>3.20083928E8</v>
      </c>
      <c r="E168" s="2">
        <v>1.400003098E9</v>
      </c>
      <c r="F168" s="2">
        <v>16130.0</v>
      </c>
      <c r="G168" s="2">
        <v>1.0</v>
      </c>
      <c r="H168" s="2">
        <v>64460.0</v>
      </c>
      <c r="I168" s="2">
        <v>293000.0</v>
      </c>
      <c r="J168" s="2">
        <v>1.0</v>
      </c>
      <c r="K168" s="2">
        <v>7.0</v>
      </c>
      <c r="O168" s="2" t="s">
        <v>243</v>
      </c>
      <c r="P168" s="2" t="s">
        <v>166</v>
      </c>
      <c r="R168" s="2" t="s">
        <v>167</v>
      </c>
      <c r="S168" s="11">
        <v>42222.42576388889</v>
      </c>
    </row>
    <row r="169" ht="12.75" hidden="1" customHeight="1">
      <c r="A169" s="2" t="str">
        <f>IF(VLOOKUP(E169,Sheet4!$A$585:$B$786,2,0)=0,1, )</f>
        <v>1</v>
      </c>
      <c r="B169" s="2" t="str">
        <f t="shared" si="1"/>
        <v/>
      </c>
      <c r="C169" s="2" t="str">
        <f t="shared" si="2"/>
        <v>1400003098-16130</v>
      </c>
      <c r="D169" s="2">
        <v>3.20083927E8</v>
      </c>
      <c r="E169" s="2">
        <v>1.400003098E9</v>
      </c>
      <c r="F169" s="2">
        <v>16130.0</v>
      </c>
      <c r="G169" s="2">
        <v>1.0</v>
      </c>
      <c r="H169" s="2">
        <v>64460.0</v>
      </c>
      <c r="I169" s="2">
        <v>293000.0</v>
      </c>
      <c r="J169" s="2">
        <v>1.0</v>
      </c>
      <c r="K169" s="2">
        <v>7.0</v>
      </c>
      <c r="O169" s="2" t="s">
        <v>243</v>
      </c>
      <c r="P169" s="2" t="s">
        <v>166</v>
      </c>
      <c r="R169" s="2" t="s">
        <v>167</v>
      </c>
      <c r="S169" s="11">
        <v>42222.42576388889</v>
      </c>
    </row>
    <row r="170" ht="12.75" hidden="1" customHeight="1">
      <c r="A170" s="2" t="str">
        <f>IF(VLOOKUP(E170,Sheet4!$A$585:$B$786,2,0)=0,1, )</f>
        <v>1</v>
      </c>
      <c r="B170" s="2" t="str">
        <f t="shared" si="1"/>
        <v>1</v>
      </c>
      <c r="C170" s="2" t="str">
        <f t="shared" si="2"/>
        <v>1400003098-16237</v>
      </c>
      <c r="D170" s="2">
        <v>3.20083929E8</v>
      </c>
      <c r="E170" s="2">
        <v>1.400003098E9</v>
      </c>
      <c r="F170" s="2">
        <v>16237.0</v>
      </c>
      <c r="G170" s="2">
        <v>1.0</v>
      </c>
      <c r="H170" s="2">
        <v>64460.0</v>
      </c>
      <c r="I170" s="2">
        <v>293000.0</v>
      </c>
      <c r="J170" s="2">
        <v>1.0</v>
      </c>
      <c r="K170" s="2">
        <v>7.0</v>
      </c>
      <c r="O170" s="2" t="s">
        <v>245</v>
      </c>
      <c r="P170" s="2" t="s">
        <v>166</v>
      </c>
      <c r="R170" s="2" t="s">
        <v>167</v>
      </c>
      <c r="S170" s="11">
        <v>42222.42576388889</v>
      </c>
    </row>
    <row r="171" ht="12.75" hidden="1" customHeight="1">
      <c r="A171" s="2" t="str">
        <f>IF(VLOOKUP(E171,Sheet4!$A$585:$B$786,2,0)=0,1, )</f>
        <v>1</v>
      </c>
      <c r="B171" s="2" t="str">
        <f t="shared" si="1"/>
        <v/>
      </c>
      <c r="C171" s="2" t="str">
        <f t="shared" si="2"/>
        <v>1400003098-16237</v>
      </c>
      <c r="D171" s="2">
        <v>3.2008393E8</v>
      </c>
      <c r="E171" s="2">
        <v>1.400003098E9</v>
      </c>
      <c r="F171" s="2">
        <v>16237.0</v>
      </c>
      <c r="G171" s="2">
        <v>1.0</v>
      </c>
      <c r="H171" s="2">
        <v>64460.0</v>
      </c>
      <c r="I171" s="2">
        <v>293000.0</v>
      </c>
      <c r="J171" s="2">
        <v>1.0</v>
      </c>
      <c r="K171" s="2">
        <v>7.0</v>
      </c>
      <c r="O171" s="2" t="s">
        <v>245</v>
      </c>
      <c r="P171" s="2" t="s">
        <v>166</v>
      </c>
      <c r="R171" s="2" t="s">
        <v>167</v>
      </c>
      <c r="S171" s="11">
        <v>42222.42576388889</v>
      </c>
    </row>
    <row r="172" ht="12.75" hidden="1" customHeight="1">
      <c r="A172" s="2" t="str">
        <f>IF(VLOOKUP(E172,Sheet4!$A$585:$B$786,2,0)=0,1, )</f>
        <v>1</v>
      </c>
      <c r="B172" s="2" t="str">
        <f t="shared" si="1"/>
        <v>1</v>
      </c>
      <c r="C172" s="2" t="str">
        <f t="shared" si="2"/>
        <v>1400003098-16866</v>
      </c>
      <c r="D172" s="2">
        <v>3.20083925E8</v>
      </c>
      <c r="E172" s="2">
        <v>1.400003098E9</v>
      </c>
      <c r="F172" s="2">
        <v>16866.0</v>
      </c>
      <c r="G172" s="2">
        <v>1.0</v>
      </c>
      <c r="H172" s="2">
        <v>123750.0</v>
      </c>
      <c r="I172" s="2">
        <v>495000.0</v>
      </c>
      <c r="J172" s="2">
        <v>1.0</v>
      </c>
      <c r="K172" s="2">
        <v>7.0</v>
      </c>
      <c r="O172" s="2" t="s">
        <v>318</v>
      </c>
      <c r="P172" s="2" t="s">
        <v>166</v>
      </c>
      <c r="R172" s="2" t="s">
        <v>167</v>
      </c>
      <c r="S172" s="11">
        <v>42222.42576388889</v>
      </c>
    </row>
    <row r="173" ht="12.75" hidden="1" customHeight="1">
      <c r="A173" s="2" t="str">
        <f>IF(VLOOKUP(E173,Sheet4!$A$585:$B$786,2,0)=0,1, )</f>
        <v>1</v>
      </c>
      <c r="B173" s="2" t="str">
        <f t="shared" si="1"/>
        <v/>
      </c>
      <c r="C173" s="2" t="str">
        <f t="shared" si="2"/>
        <v>1400003098-16866</v>
      </c>
      <c r="D173" s="2">
        <v>3.20083926E8</v>
      </c>
      <c r="E173" s="2">
        <v>1.400003098E9</v>
      </c>
      <c r="F173" s="2">
        <v>16866.0</v>
      </c>
      <c r="G173" s="2">
        <v>1.0</v>
      </c>
      <c r="H173" s="2">
        <v>123750.0</v>
      </c>
      <c r="I173" s="2">
        <v>495000.0</v>
      </c>
      <c r="J173" s="2">
        <v>1.0</v>
      </c>
      <c r="K173" s="2">
        <v>7.0</v>
      </c>
      <c r="O173" s="2" t="s">
        <v>318</v>
      </c>
      <c r="P173" s="2" t="s">
        <v>166</v>
      </c>
      <c r="R173" s="2" t="s">
        <v>167</v>
      </c>
      <c r="S173" s="11">
        <v>42222.42576388889</v>
      </c>
    </row>
    <row r="174" ht="12.75" hidden="1" customHeight="1">
      <c r="A174" s="2" t="str">
        <f>IF(VLOOKUP(E174,Sheet4!$A$585:$B$786,2,0)=0,1, )</f>
        <v>1</v>
      </c>
      <c r="B174" s="2" t="str">
        <f t="shared" si="1"/>
        <v>1</v>
      </c>
      <c r="C174" s="2" t="str">
        <f t="shared" si="2"/>
        <v>1400003103-12122</v>
      </c>
      <c r="D174" s="2">
        <v>3.20083963E8</v>
      </c>
      <c r="E174" s="2">
        <v>1.400003103E9</v>
      </c>
      <c r="F174" s="2">
        <v>12122.0</v>
      </c>
      <c r="G174" s="2">
        <v>1.0</v>
      </c>
      <c r="H174" s="2">
        <v>138600.0</v>
      </c>
      <c r="I174" s="2">
        <v>630000.0</v>
      </c>
      <c r="J174" s="2">
        <v>1.0</v>
      </c>
      <c r="K174" s="2">
        <v>7.0</v>
      </c>
      <c r="O174" s="2" t="s">
        <v>343</v>
      </c>
      <c r="P174" s="2" t="s">
        <v>166</v>
      </c>
      <c r="R174" s="2" t="s">
        <v>167</v>
      </c>
      <c r="S174" s="11">
        <v>42222.435208333336</v>
      </c>
    </row>
    <row r="175" ht="12.75" hidden="1" customHeight="1">
      <c r="A175" s="2" t="str">
        <f>IF(VLOOKUP(E175,Sheet4!$A$585:$B$786,2,0)=0,1, )</f>
        <v>1</v>
      </c>
      <c r="B175" s="2" t="str">
        <f t="shared" si="1"/>
        <v/>
      </c>
      <c r="C175" s="2" t="str">
        <f t="shared" si="2"/>
        <v>1400003103-12122</v>
      </c>
      <c r="D175" s="2">
        <v>3.20083964E8</v>
      </c>
      <c r="E175" s="2">
        <v>1.400003103E9</v>
      </c>
      <c r="F175" s="2">
        <v>12122.0</v>
      </c>
      <c r="G175" s="2">
        <v>1.0</v>
      </c>
      <c r="H175" s="2">
        <v>138600.0</v>
      </c>
      <c r="I175" s="2">
        <v>630000.0</v>
      </c>
      <c r="J175" s="2">
        <v>1.0</v>
      </c>
      <c r="K175" s="2">
        <v>7.0</v>
      </c>
      <c r="O175" s="2" t="s">
        <v>343</v>
      </c>
      <c r="P175" s="2" t="s">
        <v>166</v>
      </c>
      <c r="R175" s="2" t="s">
        <v>167</v>
      </c>
      <c r="S175" s="11">
        <v>42222.435208333336</v>
      </c>
    </row>
    <row r="176" ht="12.75" hidden="1" customHeight="1">
      <c r="A176" s="2" t="str">
        <f>IF(VLOOKUP(E176,Sheet4!$A$585:$B$786,2,0)=0,1, )</f>
        <v>1</v>
      </c>
      <c r="B176" s="2" t="str">
        <f t="shared" si="1"/>
        <v>1</v>
      </c>
      <c r="C176" s="2" t="str">
        <f t="shared" si="2"/>
        <v>1400003103-12524</v>
      </c>
      <c r="D176" s="2">
        <v>3.20083965E8</v>
      </c>
      <c r="E176" s="2">
        <v>1.400003103E9</v>
      </c>
      <c r="F176" s="2">
        <v>12524.0</v>
      </c>
      <c r="G176" s="2">
        <v>3.0</v>
      </c>
      <c r="H176" s="2">
        <v>60060.0</v>
      </c>
      <c r="I176" s="2">
        <v>273000.0</v>
      </c>
      <c r="J176" s="2">
        <v>1.0</v>
      </c>
      <c r="K176" s="2">
        <v>7.0</v>
      </c>
      <c r="O176" s="2" t="s">
        <v>345</v>
      </c>
      <c r="P176" s="2" t="s">
        <v>166</v>
      </c>
      <c r="R176" s="2" t="s">
        <v>167</v>
      </c>
      <c r="S176" s="11">
        <v>42222.435208333336</v>
      </c>
    </row>
    <row r="177" ht="12.75" hidden="1" customHeight="1">
      <c r="A177" s="2" t="str">
        <f>IF(VLOOKUP(E177,Sheet4!$A$585:$B$786,2,0)=0,1, )</f>
        <v>1</v>
      </c>
      <c r="B177" s="2" t="str">
        <f t="shared" si="1"/>
        <v/>
      </c>
      <c r="C177" s="2" t="str">
        <f t="shared" si="2"/>
        <v>1400003103-12524</v>
      </c>
      <c r="D177" s="2">
        <v>3.20083966E8</v>
      </c>
      <c r="E177" s="2">
        <v>1.400003103E9</v>
      </c>
      <c r="F177" s="2">
        <v>12524.0</v>
      </c>
      <c r="G177" s="2">
        <v>3.0</v>
      </c>
      <c r="H177" s="2">
        <v>60060.0</v>
      </c>
      <c r="I177" s="2">
        <v>273000.0</v>
      </c>
      <c r="J177" s="2">
        <v>1.0</v>
      </c>
      <c r="K177" s="2">
        <v>7.0</v>
      </c>
      <c r="O177" s="2" t="s">
        <v>345</v>
      </c>
      <c r="P177" s="2" t="s">
        <v>166</v>
      </c>
      <c r="R177" s="2" t="s">
        <v>167</v>
      </c>
      <c r="S177" s="11">
        <v>42222.435208333336</v>
      </c>
    </row>
    <row r="178" ht="12.75" hidden="1" customHeight="1">
      <c r="A178" s="2" t="str">
        <f>IF(VLOOKUP(E178,Sheet4!$A$585:$B$786,2,0)=0,1, )</f>
        <v>1</v>
      </c>
      <c r="B178" s="2" t="str">
        <f t="shared" si="1"/>
        <v>1</v>
      </c>
      <c r="C178" s="2" t="str">
        <f t="shared" si="2"/>
        <v>1400003103-13686</v>
      </c>
      <c r="D178" s="2">
        <v>3.20083968E8</v>
      </c>
      <c r="E178" s="2">
        <v>1.400003103E9</v>
      </c>
      <c r="F178" s="2">
        <v>13686.0</v>
      </c>
      <c r="G178" s="2">
        <v>3.0</v>
      </c>
      <c r="H178" s="2">
        <v>60060.0</v>
      </c>
      <c r="I178" s="2">
        <v>273000.0</v>
      </c>
      <c r="J178" s="2">
        <v>1.0</v>
      </c>
      <c r="K178" s="2">
        <v>7.0</v>
      </c>
      <c r="O178" s="2" t="s">
        <v>347</v>
      </c>
      <c r="P178" s="2" t="s">
        <v>166</v>
      </c>
      <c r="R178" s="2" t="s">
        <v>167</v>
      </c>
      <c r="S178" s="11">
        <v>42222.435208333336</v>
      </c>
    </row>
    <row r="179" ht="12.75" hidden="1" customHeight="1">
      <c r="A179" s="2" t="str">
        <f>IF(VLOOKUP(E179,Sheet4!$A$585:$B$786,2,0)=0,1, )</f>
        <v>1</v>
      </c>
      <c r="B179" s="2" t="str">
        <f t="shared" si="1"/>
        <v/>
      </c>
      <c r="C179" s="2" t="str">
        <f t="shared" si="2"/>
        <v>1400003103-13686</v>
      </c>
      <c r="D179" s="2">
        <v>3.20083967E8</v>
      </c>
      <c r="E179" s="2">
        <v>1.400003103E9</v>
      </c>
      <c r="F179" s="2">
        <v>13686.0</v>
      </c>
      <c r="G179" s="2">
        <v>3.0</v>
      </c>
      <c r="H179" s="2">
        <v>60060.0</v>
      </c>
      <c r="I179" s="2">
        <v>273000.0</v>
      </c>
      <c r="J179" s="2">
        <v>1.0</v>
      </c>
      <c r="K179" s="2">
        <v>7.0</v>
      </c>
      <c r="O179" s="2" t="s">
        <v>347</v>
      </c>
      <c r="P179" s="2" t="s">
        <v>166</v>
      </c>
      <c r="R179" s="2" t="s">
        <v>167</v>
      </c>
      <c r="S179" s="11">
        <v>42222.435208333336</v>
      </c>
    </row>
    <row r="180" ht="12.75" hidden="1" customHeight="1">
      <c r="A180" s="2" t="str">
        <f>IF(VLOOKUP(E180,Sheet4!$A$585:$B$786,2,0)=0,1, )</f>
        <v>1</v>
      </c>
      <c r="B180" s="2" t="str">
        <f t="shared" si="1"/>
        <v>1</v>
      </c>
      <c r="C180" s="2" t="str">
        <f t="shared" si="2"/>
        <v>1400003103-15125</v>
      </c>
      <c r="D180" s="2">
        <v>3.20083961E8</v>
      </c>
      <c r="E180" s="2">
        <v>1.400003103E9</v>
      </c>
      <c r="F180" s="2">
        <v>15125.0</v>
      </c>
      <c r="G180" s="2">
        <v>1.0</v>
      </c>
      <c r="H180" s="2">
        <v>138600.0</v>
      </c>
      <c r="I180" s="2">
        <v>630000.0</v>
      </c>
      <c r="J180" s="2">
        <v>1.0</v>
      </c>
      <c r="K180" s="2">
        <v>7.0</v>
      </c>
      <c r="O180" s="2" t="s">
        <v>237</v>
      </c>
      <c r="P180" s="2" t="s">
        <v>166</v>
      </c>
      <c r="R180" s="2" t="s">
        <v>167</v>
      </c>
      <c r="S180" s="11">
        <v>42222.435208333336</v>
      </c>
    </row>
    <row r="181" ht="12.75" hidden="1" customHeight="1">
      <c r="A181" s="2" t="str">
        <f>IF(VLOOKUP(E181,Sheet4!$A$585:$B$786,2,0)=0,1, )</f>
        <v>1</v>
      </c>
      <c r="B181" s="2" t="str">
        <f t="shared" si="1"/>
        <v/>
      </c>
      <c r="C181" s="2" t="str">
        <f t="shared" si="2"/>
        <v>1400003103-15125</v>
      </c>
      <c r="D181" s="2">
        <v>3.20083962E8</v>
      </c>
      <c r="E181" s="2">
        <v>1.400003103E9</v>
      </c>
      <c r="F181" s="2">
        <v>15125.0</v>
      </c>
      <c r="G181" s="2">
        <v>1.0</v>
      </c>
      <c r="H181" s="2">
        <v>138600.0</v>
      </c>
      <c r="I181" s="2">
        <v>630000.0</v>
      </c>
      <c r="J181" s="2">
        <v>1.0</v>
      </c>
      <c r="K181" s="2">
        <v>7.0</v>
      </c>
      <c r="O181" s="2" t="s">
        <v>237</v>
      </c>
      <c r="P181" s="2" t="s">
        <v>166</v>
      </c>
      <c r="R181" s="2" t="s">
        <v>167</v>
      </c>
      <c r="S181" s="11">
        <v>42222.435208333336</v>
      </c>
    </row>
    <row r="182" ht="12.75" hidden="1" customHeight="1">
      <c r="A182" s="2" t="str">
        <f>IF(VLOOKUP(E182,Sheet4!$A$585:$B$786,2,0)=0,1, )</f>
        <v>1</v>
      </c>
      <c r="B182" s="2" t="str">
        <f t="shared" si="1"/>
        <v>1</v>
      </c>
      <c r="C182" s="2" t="str">
        <f t="shared" si="2"/>
        <v>1400003103-15951</v>
      </c>
      <c r="D182" s="2">
        <v>3.2008396E8</v>
      </c>
      <c r="E182" s="2">
        <v>1.400003103E9</v>
      </c>
      <c r="F182" s="2">
        <v>15951.0</v>
      </c>
      <c r="G182" s="2">
        <v>4.0</v>
      </c>
      <c r="H182" s="2">
        <v>523600.0</v>
      </c>
      <c r="I182" s="2">
        <v>2380000.0</v>
      </c>
      <c r="J182" s="2">
        <v>1.0</v>
      </c>
      <c r="K182" s="2">
        <v>7.0</v>
      </c>
      <c r="O182" s="2" t="s">
        <v>326</v>
      </c>
      <c r="P182" s="2" t="s">
        <v>166</v>
      </c>
      <c r="R182" s="2" t="s">
        <v>167</v>
      </c>
      <c r="S182" s="11">
        <v>42222.435208333336</v>
      </c>
    </row>
    <row r="183" ht="12.75" hidden="1" customHeight="1">
      <c r="A183" s="2" t="str">
        <f>IF(VLOOKUP(E183,Sheet4!$A$585:$B$786,2,0)=0,1, )</f>
        <v>1</v>
      </c>
      <c r="B183" s="2" t="str">
        <f t="shared" si="1"/>
        <v/>
      </c>
      <c r="C183" s="2" t="str">
        <f t="shared" si="2"/>
        <v>1400003103-15951</v>
      </c>
      <c r="D183" s="2">
        <v>3.20083959E8</v>
      </c>
      <c r="E183" s="2">
        <v>1.400003103E9</v>
      </c>
      <c r="F183" s="2">
        <v>15951.0</v>
      </c>
      <c r="G183" s="2">
        <v>4.0</v>
      </c>
      <c r="H183" s="2">
        <v>523600.0</v>
      </c>
      <c r="I183" s="2">
        <v>2380000.0</v>
      </c>
      <c r="J183" s="2">
        <v>1.0</v>
      </c>
      <c r="K183" s="2">
        <v>7.0</v>
      </c>
      <c r="O183" s="2" t="s">
        <v>326</v>
      </c>
      <c r="P183" s="2" t="s">
        <v>166</v>
      </c>
      <c r="R183" s="2" t="s">
        <v>167</v>
      </c>
      <c r="S183" s="11">
        <v>42222.435208333336</v>
      </c>
    </row>
    <row r="184" ht="12.75" hidden="1" customHeight="1">
      <c r="A184" s="2" t="str">
        <f>IF(VLOOKUP(E184,Sheet4!$A$585:$B$786,2,0)=0,1, )</f>
        <v>1</v>
      </c>
      <c r="B184" s="2" t="str">
        <f t="shared" si="1"/>
        <v>1</v>
      </c>
      <c r="C184" s="2" t="str">
        <f t="shared" si="2"/>
        <v>1400003104-7738</v>
      </c>
      <c r="D184" s="2">
        <v>3.20083999E8</v>
      </c>
      <c r="E184" s="2">
        <v>1.400003104E9</v>
      </c>
      <c r="F184" s="2">
        <v>7738.0</v>
      </c>
      <c r="G184" s="2">
        <v>1.0</v>
      </c>
      <c r="H184" s="2">
        <v>113750.0</v>
      </c>
      <c r="I184" s="2">
        <v>455000.0</v>
      </c>
      <c r="J184" s="2">
        <v>1.0</v>
      </c>
      <c r="K184" s="2">
        <v>7.0</v>
      </c>
      <c r="O184" s="2" t="s">
        <v>351</v>
      </c>
      <c r="P184" s="2" t="s">
        <v>166</v>
      </c>
      <c r="R184" s="2" t="s">
        <v>167</v>
      </c>
      <c r="S184" s="11">
        <v>42222.44206018518</v>
      </c>
    </row>
    <row r="185" ht="12.75" hidden="1" customHeight="1">
      <c r="A185" s="2" t="str">
        <f>IF(VLOOKUP(E185,Sheet4!$A$585:$B$786,2,0)=0,1, )</f>
        <v>1</v>
      </c>
      <c r="B185" s="2" t="str">
        <f t="shared" si="1"/>
        <v/>
      </c>
      <c r="C185" s="2" t="str">
        <f t="shared" si="2"/>
        <v>1400003104-7738</v>
      </c>
      <c r="D185" s="2">
        <v>3.20084E8</v>
      </c>
      <c r="E185" s="2">
        <v>1.400003104E9</v>
      </c>
      <c r="F185" s="2">
        <v>7738.0</v>
      </c>
      <c r="G185" s="2">
        <v>1.0</v>
      </c>
      <c r="H185" s="2">
        <v>113750.0</v>
      </c>
      <c r="I185" s="2">
        <v>455000.0</v>
      </c>
      <c r="J185" s="2">
        <v>1.0</v>
      </c>
      <c r="K185" s="2">
        <v>7.0</v>
      </c>
      <c r="O185" s="2" t="s">
        <v>351</v>
      </c>
      <c r="P185" s="2" t="s">
        <v>166</v>
      </c>
      <c r="R185" s="2" t="s">
        <v>167</v>
      </c>
      <c r="S185" s="11">
        <v>42222.44206018518</v>
      </c>
    </row>
    <row r="186" ht="12.75" hidden="1" customHeight="1">
      <c r="A186" s="2" t="str">
        <f>IF(VLOOKUP(E186,Sheet4!$A$585:$B$786,2,0)=0,1, )</f>
        <v>1</v>
      </c>
      <c r="B186" s="2" t="str">
        <f t="shared" si="1"/>
        <v>1</v>
      </c>
      <c r="C186" s="2" t="str">
        <f t="shared" si="2"/>
        <v>1400003104-11878</v>
      </c>
      <c r="D186" s="2">
        <v>3.20083991E8</v>
      </c>
      <c r="E186" s="2">
        <v>1.400003104E9</v>
      </c>
      <c r="F186" s="2">
        <v>11878.0</v>
      </c>
      <c r="G186" s="2">
        <v>3.0</v>
      </c>
      <c r="H186" s="2">
        <v>193380.0</v>
      </c>
      <c r="I186" s="2">
        <v>879000.0</v>
      </c>
      <c r="J186" s="2">
        <v>1.0</v>
      </c>
      <c r="K186" s="2">
        <v>7.0</v>
      </c>
      <c r="O186" s="2" t="s">
        <v>353</v>
      </c>
      <c r="P186" s="2" t="s">
        <v>166</v>
      </c>
      <c r="R186" s="2" t="s">
        <v>167</v>
      </c>
      <c r="S186" s="11">
        <v>42222.44206018518</v>
      </c>
    </row>
    <row r="187" ht="12.75" hidden="1" customHeight="1">
      <c r="A187" s="2" t="str">
        <f>IF(VLOOKUP(E187,Sheet4!$A$585:$B$786,2,0)=0,1, )</f>
        <v>1</v>
      </c>
      <c r="B187" s="2" t="str">
        <f t="shared" si="1"/>
        <v/>
      </c>
      <c r="C187" s="2" t="str">
        <f t="shared" si="2"/>
        <v>1400003104-11878</v>
      </c>
      <c r="D187" s="2">
        <v>3.20083992E8</v>
      </c>
      <c r="E187" s="2">
        <v>1.400003104E9</v>
      </c>
      <c r="F187" s="2">
        <v>11878.0</v>
      </c>
      <c r="G187" s="2">
        <v>3.0</v>
      </c>
      <c r="H187" s="2">
        <v>193380.0</v>
      </c>
      <c r="I187" s="2">
        <v>879000.0</v>
      </c>
      <c r="J187" s="2">
        <v>1.0</v>
      </c>
      <c r="K187" s="2">
        <v>7.0</v>
      </c>
      <c r="O187" s="2" t="s">
        <v>353</v>
      </c>
      <c r="P187" s="2" t="s">
        <v>166</v>
      </c>
      <c r="R187" s="2" t="s">
        <v>167</v>
      </c>
      <c r="S187" s="11">
        <v>42222.44206018518</v>
      </c>
    </row>
    <row r="188" ht="12.75" hidden="1" customHeight="1">
      <c r="A188" s="2" t="str">
        <f>IF(VLOOKUP(E188,Sheet4!$A$585:$B$786,2,0)=0,1, )</f>
        <v>1</v>
      </c>
      <c r="B188" s="2" t="str">
        <f t="shared" si="1"/>
        <v>1</v>
      </c>
      <c r="C188" s="2" t="str">
        <f t="shared" si="2"/>
        <v>1400003104-12494</v>
      </c>
      <c r="D188" s="2">
        <v>3.20084006E8</v>
      </c>
      <c r="E188" s="2">
        <v>1.400003104E9</v>
      </c>
      <c r="F188" s="2">
        <v>12494.0</v>
      </c>
      <c r="G188" s="2">
        <v>2.0</v>
      </c>
      <c r="H188" s="2">
        <v>191400.0</v>
      </c>
      <c r="I188" s="2">
        <v>870000.0</v>
      </c>
      <c r="J188" s="2">
        <v>1.0</v>
      </c>
      <c r="K188" s="2">
        <v>7.0</v>
      </c>
      <c r="O188" s="2" t="s">
        <v>355</v>
      </c>
      <c r="P188" s="2" t="s">
        <v>166</v>
      </c>
      <c r="R188" s="2" t="s">
        <v>167</v>
      </c>
      <c r="S188" s="11">
        <v>42222.44206018518</v>
      </c>
    </row>
    <row r="189" ht="12.75" hidden="1" customHeight="1">
      <c r="A189" s="2" t="str">
        <f>IF(VLOOKUP(E189,Sheet4!$A$585:$B$786,2,0)=0,1, )</f>
        <v>1</v>
      </c>
      <c r="B189" s="2" t="str">
        <f t="shared" si="1"/>
        <v/>
      </c>
      <c r="C189" s="2" t="str">
        <f t="shared" si="2"/>
        <v>1400003104-12494</v>
      </c>
      <c r="D189" s="2">
        <v>3.20084005E8</v>
      </c>
      <c r="E189" s="2">
        <v>1.400003104E9</v>
      </c>
      <c r="F189" s="2">
        <v>12494.0</v>
      </c>
      <c r="G189" s="2">
        <v>2.0</v>
      </c>
      <c r="H189" s="2">
        <v>191400.0</v>
      </c>
      <c r="I189" s="2">
        <v>870000.0</v>
      </c>
      <c r="J189" s="2">
        <v>1.0</v>
      </c>
      <c r="K189" s="2">
        <v>7.0</v>
      </c>
      <c r="O189" s="2" t="s">
        <v>355</v>
      </c>
      <c r="P189" s="2" t="s">
        <v>166</v>
      </c>
      <c r="R189" s="2" t="s">
        <v>167</v>
      </c>
      <c r="S189" s="11">
        <v>42222.44206018518</v>
      </c>
    </row>
    <row r="190" ht="12.75" hidden="1" customHeight="1">
      <c r="A190" s="2" t="str">
        <f>IF(VLOOKUP(E190,Sheet4!$A$585:$B$786,2,0)=0,1, )</f>
        <v>1</v>
      </c>
      <c r="B190" s="2" t="str">
        <f t="shared" si="1"/>
        <v>1</v>
      </c>
      <c r="C190" s="2" t="str">
        <f t="shared" si="2"/>
        <v>1400003104-12731</v>
      </c>
      <c r="D190" s="2">
        <v>3.20084003E8</v>
      </c>
      <c r="E190" s="2">
        <v>1.400003104E9</v>
      </c>
      <c r="F190" s="2">
        <v>12731.0</v>
      </c>
      <c r="G190" s="2">
        <v>2.0</v>
      </c>
      <c r="H190" s="2">
        <v>138600.0</v>
      </c>
      <c r="I190" s="2">
        <v>630000.0</v>
      </c>
      <c r="J190" s="2">
        <v>1.0</v>
      </c>
      <c r="K190" s="2">
        <v>7.0</v>
      </c>
      <c r="O190" s="2" t="s">
        <v>191</v>
      </c>
      <c r="P190" s="2" t="s">
        <v>166</v>
      </c>
      <c r="R190" s="2" t="s">
        <v>167</v>
      </c>
      <c r="S190" s="11">
        <v>42222.44206018518</v>
      </c>
    </row>
    <row r="191" ht="12.75" hidden="1" customHeight="1">
      <c r="A191" s="2" t="str">
        <f>IF(VLOOKUP(E191,Sheet4!$A$585:$B$786,2,0)=0,1, )</f>
        <v>1</v>
      </c>
      <c r="B191" s="2" t="str">
        <f t="shared" si="1"/>
        <v/>
      </c>
      <c r="C191" s="2" t="str">
        <f t="shared" si="2"/>
        <v>1400003104-12731</v>
      </c>
      <c r="D191" s="2">
        <v>3.20084004E8</v>
      </c>
      <c r="E191" s="2">
        <v>1.400003104E9</v>
      </c>
      <c r="F191" s="2">
        <v>12731.0</v>
      </c>
      <c r="G191" s="2">
        <v>2.0</v>
      </c>
      <c r="H191" s="2">
        <v>138600.0</v>
      </c>
      <c r="I191" s="2">
        <v>630000.0</v>
      </c>
      <c r="J191" s="2">
        <v>1.0</v>
      </c>
      <c r="K191" s="2">
        <v>7.0</v>
      </c>
      <c r="O191" s="2" t="s">
        <v>191</v>
      </c>
      <c r="P191" s="2" t="s">
        <v>166</v>
      </c>
      <c r="R191" s="2" t="s">
        <v>167</v>
      </c>
      <c r="S191" s="11">
        <v>42222.44206018518</v>
      </c>
    </row>
    <row r="192" ht="12.75" hidden="1" customHeight="1">
      <c r="A192" s="2" t="str">
        <f>IF(VLOOKUP(E192,Sheet4!$A$585:$B$786,2,0)=0,1, )</f>
        <v>1</v>
      </c>
      <c r="B192" s="2" t="str">
        <f t="shared" si="1"/>
        <v>1</v>
      </c>
      <c r="C192" s="2" t="str">
        <f t="shared" si="2"/>
        <v>1400003104-15869</v>
      </c>
      <c r="D192" s="2">
        <v>3.20083997E8</v>
      </c>
      <c r="E192" s="2">
        <v>1.400003104E9</v>
      </c>
      <c r="F192" s="2">
        <v>15869.0</v>
      </c>
      <c r="G192" s="2">
        <v>4.0</v>
      </c>
      <c r="H192" s="2">
        <v>388800.0</v>
      </c>
      <c r="I192" s="2">
        <v>1296000.0</v>
      </c>
      <c r="J192" s="2">
        <v>1.0</v>
      </c>
      <c r="K192" s="2">
        <v>7.0</v>
      </c>
      <c r="O192" s="2" t="s">
        <v>330</v>
      </c>
      <c r="P192" s="2" t="s">
        <v>166</v>
      </c>
      <c r="R192" s="2" t="s">
        <v>167</v>
      </c>
      <c r="S192" s="11">
        <v>42222.44206018518</v>
      </c>
    </row>
    <row r="193" ht="12.75" hidden="1" customHeight="1">
      <c r="A193" s="2" t="str">
        <f>IF(VLOOKUP(E193,Sheet4!$A$585:$B$786,2,0)=0,1, )</f>
        <v>1</v>
      </c>
      <c r="B193" s="2" t="str">
        <f t="shared" si="1"/>
        <v/>
      </c>
      <c r="C193" s="2" t="str">
        <f t="shared" si="2"/>
        <v>1400003104-15869</v>
      </c>
      <c r="D193" s="2">
        <v>3.20083998E8</v>
      </c>
      <c r="E193" s="2">
        <v>1.400003104E9</v>
      </c>
      <c r="F193" s="2">
        <v>15869.0</v>
      </c>
      <c r="G193" s="2">
        <v>4.0</v>
      </c>
      <c r="H193" s="2">
        <v>388800.0</v>
      </c>
      <c r="I193" s="2">
        <v>1296000.0</v>
      </c>
      <c r="J193" s="2">
        <v>1.0</v>
      </c>
      <c r="K193" s="2">
        <v>7.0</v>
      </c>
      <c r="O193" s="2" t="s">
        <v>330</v>
      </c>
      <c r="P193" s="2" t="s">
        <v>166</v>
      </c>
      <c r="R193" s="2" t="s">
        <v>167</v>
      </c>
      <c r="S193" s="11">
        <v>42222.44206018518</v>
      </c>
    </row>
    <row r="194" ht="12.75" hidden="1" customHeight="1">
      <c r="A194" s="2" t="str">
        <f>IF(VLOOKUP(E194,Sheet4!$A$585:$B$786,2,0)=0,1, )</f>
        <v>1</v>
      </c>
      <c r="B194" s="2" t="str">
        <f t="shared" si="1"/>
        <v>1</v>
      </c>
      <c r="C194" s="2" t="str">
        <f t="shared" si="2"/>
        <v>1400003104-16130</v>
      </c>
      <c r="D194" s="2">
        <v>3.2008399E8</v>
      </c>
      <c r="E194" s="2">
        <v>1.400003104E9</v>
      </c>
      <c r="F194" s="2">
        <v>16130.0</v>
      </c>
      <c r="G194" s="2">
        <v>3.0</v>
      </c>
      <c r="H194" s="2">
        <v>193380.0</v>
      </c>
      <c r="I194" s="2">
        <v>879000.0</v>
      </c>
      <c r="J194" s="2">
        <v>1.0</v>
      </c>
      <c r="K194" s="2">
        <v>7.0</v>
      </c>
      <c r="O194" s="2" t="s">
        <v>243</v>
      </c>
      <c r="P194" s="2" t="s">
        <v>166</v>
      </c>
      <c r="R194" s="2" t="s">
        <v>167</v>
      </c>
      <c r="S194" s="11">
        <v>42222.44206018518</v>
      </c>
    </row>
    <row r="195" ht="12.75" hidden="1" customHeight="1">
      <c r="A195" s="2" t="str">
        <f>IF(VLOOKUP(E195,Sheet4!$A$585:$B$786,2,0)=0,1, )</f>
        <v>1</v>
      </c>
      <c r="B195" s="2" t="str">
        <f t="shared" si="1"/>
        <v/>
      </c>
      <c r="C195" s="2" t="str">
        <f t="shared" si="2"/>
        <v>1400003104-16130</v>
      </c>
      <c r="D195" s="2">
        <v>3.20083989E8</v>
      </c>
      <c r="E195" s="2">
        <v>1.400003104E9</v>
      </c>
      <c r="F195" s="2">
        <v>16130.0</v>
      </c>
      <c r="G195" s="2">
        <v>3.0</v>
      </c>
      <c r="H195" s="2">
        <v>193380.0</v>
      </c>
      <c r="I195" s="2">
        <v>879000.0</v>
      </c>
      <c r="J195" s="2">
        <v>1.0</v>
      </c>
      <c r="K195" s="2">
        <v>7.0</v>
      </c>
      <c r="O195" s="2" t="s">
        <v>243</v>
      </c>
      <c r="P195" s="2" t="s">
        <v>166</v>
      </c>
      <c r="R195" s="2" t="s">
        <v>167</v>
      </c>
      <c r="S195" s="11">
        <v>42222.44204861111</v>
      </c>
    </row>
    <row r="196" ht="12.75" hidden="1" customHeight="1">
      <c r="A196" s="2" t="str">
        <f>IF(VLOOKUP(E196,Sheet4!$A$585:$B$786,2,0)=0,1, )</f>
        <v>1</v>
      </c>
      <c r="B196" s="2" t="str">
        <f t="shared" si="1"/>
        <v>1</v>
      </c>
      <c r="C196" s="2" t="str">
        <f t="shared" si="2"/>
        <v>1400003104-16353</v>
      </c>
      <c r="D196" s="2">
        <v>3.2008401E8</v>
      </c>
      <c r="E196" s="2">
        <v>1.400003104E9</v>
      </c>
      <c r="F196" s="2">
        <v>16353.0</v>
      </c>
      <c r="G196" s="2">
        <v>3.0</v>
      </c>
      <c r="H196" s="2">
        <v>244200.0</v>
      </c>
      <c r="I196" s="2">
        <v>1110000.0</v>
      </c>
      <c r="J196" s="2">
        <v>1.0</v>
      </c>
      <c r="K196" s="2">
        <v>7.0</v>
      </c>
      <c r="O196" s="2" t="s">
        <v>297</v>
      </c>
      <c r="P196" s="2" t="s">
        <v>166</v>
      </c>
      <c r="R196" s="2" t="s">
        <v>167</v>
      </c>
      <c r="S196" s="11">
        <v>42222.44206018518</v>
      </c>
    </row>
    <row r="197" ht="12.75" hidden="1" customHeight="1">
      <c r="A197" s="2" t="str">
        <f>IF(VLOOKUP(E197,Sheet4!$A$585:$B$786,2,0)=0,1, )</f>
        <v>1</v>
      </c>
      <c r="B197" s="2" t="str">
        <f t="shared" si="1"/>
        <v/>
      </c>
      <c r="C197" s="2" t="str">
        <f t="shared" si="2"/>
        <v>1400003104-16353</v>
      </c>
      <c r="D197" s="2">
        <v>3.20084009E8</v>
      </c>
      <c r="E197" s="2">
        <v>1.400003104E9</v>
      </c>
      <c r="F197" s="2">
        <v>16353.0</v>
      </c>
      <c r="G197" s="2">
        <v>3.0</v>
      </c>
      <c r="H197" s="2">
        <v>244200.0</v>
      </c>
      <c r="I197" s="2">
        <v>1110000.0</v>
      </c>
      <c r="J197" s="2">
        <v>1.0</v>
      </c>
      <c r="K197" s="2">
        <v>7.0</v>
      </c>
      <c r="O197" s="2" t="s">
        <v>297</v>
      </c>
      <c r="P197" s="2" t="s">
        <v>166</v>
      </c>
      <c r="R197" s="2" t="s">
        <v>167</v>
      </c>
      <c r="S197" s="11">
        <v>42222.44206018518</v>
      </c>
    </row>
    <row r="198" ht="12.75" hidden="1" customHeight="1">
      <c r="A198" s="2" t="str">
        <f>IF(VLOOKUP(E198,Sheet4!$A$585:$B$786,2,0)=0,1, )</f>
        <v>1</v>
      </c>
      <c r="B198" s="2" t="str">
        <f t="shared" si="1"/>
        <v>1</v>
      </c>
      <c r="C198" s="2" t="str">
        <f t="shared" si="2"/>
        <v>1400003104-16357</v>
      </c>
      <c r="D198" s="2">
        <v>3.20083988E8</v>
      </c>
      <c r="E198" s="2">
        <v>1.400003104E9</v>
      </c>
      <c r="F198" s="2">
        <v>16357.0</v>
      </c>
      <c r="G198" s="2">
        <v>5.0</v>
      </c>
      <c r="H198" s="2">
        <v>438900.0</v>
      </c>
      <c r="I198" s="2">
        <v>1995000.0</v>
      </c>
      <c r="J198" s="2">
        <v>1.0</v>
      </c>
      <c r="K198" s="2">
        <v>7.0</v>
      </c>
      <c r="O198" s="2" t="s">
        <v>361</v>
      </c>
      <c r="P198" s="2" t="s">
        <v>166</v>
      </c>
      <c r="R198" s="2" t="s">
        <v>167</v>
      </c>
      <c r="S198" s="11">
        <v>42222.44204861111</v>
      </c>
    </row>
    <row r="199" ht="12.75" hidden="1" customHeight="1">
      <c r="A199" s="2" t="str">
        <f>IF(VLOOKUP(E199,Sheet4!$A$585:$B$786,2,0)=0,1, )</f>
        <v>1</v>
      </c>
      <c r="B199" s="2" t="str">
        <f t="shared" si="1"/>
        <v/>
      </c>
      <c r="C199" s="2" t="str">
        <f t="shared" si="2"/>
        <v>1400003104-16357</v>
      </c>
      <c r="D199" s="2">
        <v>3.20083986E8</v>
      </c>
      <c r="E199" s="2">
        <v>1.400003104E9</v>
      </c>
      <c r="F199" s="2">
        <v>16357.0</v>
      </c>
      <c r="G199" s="2">
        <v>5.0</v>
      </c>
      <c r="H199" s="2">
        <v>438900.0</v>
      </c>
      <c r="I199" s="2">
        <v>1995000.0</v>
      </c>
      <c r="J199" s="2">
        <v>1.0</v>
      </c>
      <c r="K199" s="2">
        <v>7.0</v>
      </c>
      <c r="O199" s="2" t="s">
        <v>361</v>
      </c>
      <c r="P199" s="2" t="s">
        <v>166</v>
      </c>
      <c r="R199" s="2" t="s">
        <v>167</v>
      </c>
      <c r="S199" s="11">
        <v>42222.442037037035</v>
      </c>
    </row>
    <row r="200" ht="12.75" hidden="1" customHeight="1">
      <c r="A200" s="2" t="str">
        <f>IF(VLOOKUP(E200,Sheet4!$A$585:$B$786,2,0)=0,1, )</f>
        <v>1</v>
      </c>
      <c r="B200" s="2" t="str">
        <f t="shared" si="1"/>
        <v>1</v>
      </c>
      <c r="C200" s="2" t="str">
        <f t="shared" si="2"/>
        <v>1400003104-16790</v>
      </c>
      <c r="D200" s="2">
        <v>3.20083995E8</v>
      </c>
      <c r="E200" s="2">
        <v>1.400003104E9</v>
      </c>
      <c r="F200" s="2">
        <v>16790.0</v>
      </c>
      <c r="G200" s="2">
        <v>5.0</v>
      </c>
      <c r="H200" s="2">
        <v>528750.0</v>
      </c>
      <c r="I200" s="2">
        <v>2115000.0</v>
      </c>
      <c r="J200" s="2">
        <v>1.0</v>
      </c>
      <c r="K200" s="2">
        <v>7.0</v>
      </c>
      <c r="O200" s="2" t="s">
        <v>363</v>
      </c>
      <c r="P200" s="2" t="s">
        <v>166</v>
      </c>
      <c r="R200" s="2" t="s">
        <v>167</v>
      </c>
      <c r="S200" s="11">
        <v>42222.44206018518</v>
      </c>
    </row>
    <row r="201" ht="12.75" hidden="1" customHeight="1">
      <c r="A201" s="2" t="str">
        <f>IF(VLOOKUP(E201,Sheet4!$A$585:$B$786,2,0)=0,1, )</f>
        <v>1</v>
      </c>
      <c r="B201" s="2" t="str">
        <f t="shared" si="1"/>
        <v/>
      </c>
      <c r="C201" s="2" t="str">
        <f t="shared" si="2"/>
        <v>1400003104-16790</v>
      </c>
      <c r="D201" s="2">
        <v>3.20083996E8</v>
      </c>
      <c r="E201" s="2">
        <v>1.400003104E9</v>
      </c>
      <c r="F201" s="2">
        <v>16790.0</v>
      </c>
      <c r="G201" s="2">
        <v>5.0</v>
      </c>
      <c r="H201" s="2">
        <v>528750.0</v>
      </c>
      <c r="I201" s="2">
        <v>2115000.0</v>
      </c>
      <c r="J201" s="2">
        <v>1.0</v>
      </c>
      <c r="K201" s="2">
        <v>7.0</v>
      </c>
      <c r="O201" s="2" t="s">
        <v>363</v>
      </c>
      <c r="P201" s="2" t="s">
        <v>166</v>
      </c>
      <c r="R201" s="2" t="s">
        <v>167</v>
      </c>
      <c r="S201" s="11">
        <v>42222.44206018518</v>
      </c>
    </row>
    <row r="202" ht="12.75" hidden="1" customHeight="1">
      <c r="A202" s="2" t="str">
        <f>IF(VLOOKUP(E202,Sheet4!$A$585:$B$786,2,0)=0,1, )</f>
        <v>1</v>
      </c>
      <c r="B202" s="2" t="str">
        <f t="shared" si="1"/>
        <v>1</v>
      </c>
      <c r="C202" s="2" t="str">
        <f t="shared" si="2"/>
        <v>1400003104-16845</v>
      </c>
      <c r="D202" s="2">
        <v>3.20084008E8</v>
      </c>
      <c r="E202" s="2">
        <v>1.400003104E9</v>
      </c>
      <c r="F202" s="2">
        <v>16845.0</v>
      </c>
      <c r="G202" s="2">
        <v>5.0</v>
      </c>
      <c r="H202" s="2">
        <v>423500.0</v>
      </c>
      <c r="I202" s="2">
        <v>1925000.0</v>
      </c>
      <c r="J202" s="2">
        <v>1.0</v>
      </c>
      <c r="K202" s="2">
        <v>7.0</v>
      </c>
      <c r="O202" s="2" t="s">
        <v>316</v>
      </c>
      <c r="P202" s="2" t="s">
        <v>166</v>
      </c>
      <c r="R202" s="2" t="s">
        <v>167</v>
      </c>
      <c r="S202" s="11">
        <v>42222.44206018518</v>
      </c>
    </row>
    <row r="203" ht="12.75" hidden="1" customHeight="1">
      <c r="A203" s="2" t="str">
        <f>IF(VLOOKUP(E203,Sheet4!$A$585:$B$786,2,0)=0,1, )</f>
        <v>1</v>
      </c>
      <c r="B203" s="2" t="str">
        <f t="shared" si="1"/>
        <v/>
      </c>
      <c r="C203" s="2" t="str">
        <f t="shared" si="2"/>
        <v>1400003104-16845</v>
      </c>
      <c r="D203" s="2">
        <v>3.20084007E8</v>
      </c>
      <c r="E203" s="2">
        <v>1.400003104E9</v>
      </c>
      <c r="F203" s="2">
        <v>16845.0</v>
      </c>
      <c r="G203" s="2">
        <v>5.0</v>
      </c>
      <c r="H203" s="2">
        <v>423500.0</v>
      </c>
      <c r="I203" s="2">
        <v>1925000.0</v>
      </c>
      <c r="J203" s="2">
        <v>1.0</v>
      </c>
      <c r="K203" s="2">
        <v>7.0</v>
      </c>
      <c r="O203" s="2" t="s">
        <v>316</v>
      </c>
      <c r="P203" s="2" t="s">
        <v>166</v>
      </c>
      <c r="R203" s="2" t="s">
        <v>167</v>
      </c>
      <c r="S203" s="11">
        <v>42222.44206018518</v>
      </c>
    </row>
    <row r="204" ht="12.75" hidden="1" customHeight="1">
      <c r="A204" s="2" t="str">
        <f>IF(VLOOKUP(E204,Sheet4!$A$585:$B$786,2,0)=0,1, )</f>
        <v>1</v>
      </c>
      <c r="B204" s="2" t="str">
        <f t="shared" si="1"/>
        <v>1</v>
      </c>
      <c r="C204" s="2" t="str">
        <f t="shared" si="2"/>
        <v>1400003104-16867</v>
      </c>
      <c r="D204" s="2">
        <v>3.20083994E8</v>
      </c>
      <c r="E204" s="2">
        <v>1.400003104E9</v>
      </c>
      <c r="F204" s="2">
        <v>16867.0</v>
      </c>
      <c r="G204" s="2">
        <v>5.0</v>
      </c>
      <c r="H204" s="2">
        <v>618750.0</v>
      </c>
      <c r="I204" s="2">
        <v>2475000.0</v>
      </c>
      <c r="J204" s="2">
        <v>1.0</v>
      </c>
      <c r="K204" s="2">
        <v>7.0</v>
      </c>
      <c r="O204" s="2" t="s">
        <v>318</v>
      </c>
      <c r="P204" s="2" t="s">
        <v>166</v>
      </c>
      <c r="R204" s="2" t="s">
        <v>167</v>
      </c>
      <c r="S204" s="11">
        <v>42222.44206018518</v>
      </c>
    </row>
    <row r="205" ht="12.75" hidden="1" customHeight="1">
      <c r="A205" s="2" t="str">
        <f>IF(VLOOKUP(E205,Sheet4!$A$585:$B$786,2,0)=0,1, )</f>
        <v>1</v>
      </c>
      <c r="B205" s="2" t="str">
        <f t="shared" si="1"/>
        <v/>
      </c>
      <c r="C205" s="2" t="str">
        <f t="shared" si="2"/>
        <v>1400003104-16867</v>
      </c>
      <c r="D205" s="2">
        <v>3.20083993E8</v>
      </c>
      <c r="E205" s="2">
        <v>1.400003104E9</v>
      </c>
      <c r="F205" s="2">
        <v>16867.0</v>
      </c>
      <c r="G205" s="2">
        <v>5.0</v>
      </c>
      <c r="H205" s="2">
        <v>618750.0</v>
      </c>
      <c r="I205" s="2">
        <v>2475000.0</v>
      </c>
      <c r="J205" s="2">
        <v>1.0</v>
      </c>
      <c r="K205" s="2">
        <v>7.0</v>
      </c>
      <c r="O205" s="2" t="s">
        <v>318</v>
      </c>
      <c r="P205" s="2" t="s">
        <v>166</v>
      </c>
      <c r="R205" s="2" t="s">
        <v>167</v>
      </c>
      <c r="S205" s="11">
        <v>42222.44206018518</v>
      </c>
    </row>
    <row r="206" ht="12.75" hidden="1" customHeight="1">
      <c r="A206" s="2" t="str">
        <f>IF(VLOOKUP(E206,Sheet4!$A$585:$B$786,2,0)=0,1, )</f>
        <v>1</v>
      </c>
      <c r="B206" s="2" t="str">
        <f t="shared" si="1"/>
        <v>1</v>
      </c>
      <c r="C206" s="2" t="str">
        <f t="shared" si="2"/>
        <v>1400003104-14000045</v>
      </c>
      <c r="D206" s="2">
        <v>3.20084001E8</v>
      </c>
      <c r="E206" s="2">
        <v>1.400003104E9</v>
      </c>
      <c r="F206" s="2">
        <v>1.4000045E7</v>
      </c>
      <c r="G206" s="2">
        <v>1.0</v>
      </c>
      <c r="H206" s="2">
        <v>113750.0</v>
      </c>
      <c r="I206" s="2">
        <v>455000.0</v>
      </c>
      <c r="J206" s="2">
        <v>1.0</v>
      </c>
      <c r="K206" s="2">
        <v>7.0</v>
      </c>
      <c r="O206" s="2" t="s">
        <v>367</v>
      </c>
      <c r="P206" s="2" t="s">
        <v>166</v>
      </c>
      <c r="R206" s="2" t="s">
        <v>167</v>
      </c>
      <c r="S206" s="11">
        <v>42222.44206018518</v>
      </c>
    </row>
    <row r="207" ht="12.75" hidden="1" customHeight="1">
      <c r="A207" s="2" t="str">
        <f>IF(VLOOKUP(E207,Sheet4!$A$585:$B$786,2,0)=0,1, )</f>
        <v>1</v>
      </c>
      <c r="B207" s="2" t="str">
        <f t="shared" si="1"/>
        <v/>
      </c>
      <c r="C207" s="2" t="str">
        <f t="shared" si="2"/>
        <v>1400003104-14000045</v>
      </c>
      <c r="D207" s="2">
        <v>3.20084002E8</v>
      </c>
      <c r="E207" s="2">
        <v>1.400003104E9</v>
      </c>
      <c r="F207" s="2">
        <v>1.4000045E7</v>
      </c>
      <c r="G207" s="2">
        <v>1.0</v>
      </c>
      <c r="H207" s="2">
        <v>113750.0</v>
      </c>
      <c r="I207" s="2">
        <v>455000.0</v>
      </c>
      <c r="J207" s="2">
        <v>1.0</v>
      </c>
      <c r="K207" s="2">
        <v>7.0</v>
      </c>
      <c r="O207" s="2" t="s">
        <v>367</v>
      </c>
      <c r="P207" s="2" t="s">
        <v>166</v>
      </c>
      <c r="R207" s="2" t="s">
        <v>167</v>
      </c>
      <c r="S207" s="11">
        <v>42222.44206018518</v>
      </c>
    </row>
    <row r="208" ht="12.75" hidden="1" customHeight="1">
      <c r="A208" s="2" t="str">
        <f>IF(VLOOKUP(E208,Sheet4!$A$585:$B$786,2,0)=0,1, )</f>
        <v>1</v>
      </c>
      <c r="B208" s="2" t="str">
        <f t="shared" si="1"/>
        <v>1</v>
      </c>
      <c r="C208" s="2" t="str">
        <f t="shared" si="2"/>
        <v>1400003110-7269</v>
      </c>
      <c r="D208" s="2">
        <v>3.20084077E8</v>
      </c>
      <c r="E208" s="2">
        <v>1.40000311E9</v>
      </c>
      <c r="F208" s="2">
        <v>7269.0</v>
      </c>
      <c r="G208" s="2">
        <v>5.0</v>
      </c>
      <c r="H208" s="2">
        <v>0.0</v>
      </c>
      <c r="I208" s="2">
        <v>2090000.0</v>
      </c>
      <c r="J208" s="2">
        <v>1.0</v>
      </c>
      <c r="K208" s="2">
        <v>7.0</v>
      </c>
      <c r="O208" s="2" t="s">
        <v>369</v>
      </c>
      <c r="P208" s="2" t="s">
        <v>166</v>
      </c>
      <c r="R208" s="2" t="s">
        <v>167</v>
      </c>
      <c r="S208" s="11">
        <v>42222.46579861111</v>
      </c>
    </row>
    <row r="209" ht="12.75" hidden="1" customHeight="1">
      <c r="A209" s="2" t="str">
        <f>IF(VLOOKUP(E209,Sheet4!$A$585:$B$786,2,0)=0,1, )</f>
        <v>1</v>
      </c>
      <c r="B209" s="2" t="str">
        <f t="shared" si="1"/>
        <v/>
      </c>
      <c r="C209" s="2" t="str">
        <f t="shared" si="2"/>
        <v>1400003110-7269</v>
      </c>
      <c r="D209" s="2">
        <v>3.20084076E8</v>
      </c>
      <c r="E209" s="2">
        <v>1.40000311E9</v>
      </c>
      <c r="F209" s="2">
        <v>7269.0</v>
      </c>
      <c r="G209" s="2">
        <v>5.0</v>
      </c>
      <c r="H209" s="2">
        <v>0.0</v>
      </c>
      <c r="I209" s="2">
        <v>2090000.0</v>
      </c>
      <c r="J209" s="2">
        <v>1.0</v>
      </c>
      <c r="K209" s="2">
        <v>7.0</v>
      </c>
      <c r="O209" s="2" t="s">
        <v>369</v>
      </c>
      <c r="P209" s="2" t="s">
        <v>166</v>
      </c>
      <c r="R209" s="2" t="s">
        <v>167</v>
      </c>
      <c r="S209" s="11">
        <v>42222.46579861111</v>
      </c>
    </row>
    <row r="210" ht="12.75" hidden="1" customHeight="1">
      <c r="A210" s="2" t="str">
        <f>IF(VLOOKUP(E210,Sheet4!$A$585:$B$786,2,0)=0,1, )</f>
        <v>1</v>
      </c>
      <c r="B210" s="2" t="str">
        <f t="shared" si="1"/>
        <v>1</v>
      </c>
      <c r="C210" s="2" t="str">
        <f t="shared" si="2"/>
        <v>1400003110-16342</v>
      </c>
      <c r="D210" s="2">
        <v>3.20084078E8</v>
      </c>
      <c r="E210" s="2">
        <v>1.40000311E9</v>
      </c>
      <c r="F210" s="2">
        <v>16342.0</v>
      </c>
      <c r="G210" s="2">
        <v>5.0</v>
      </c>
      <c r="H210" s="2">
        <v>0.0</v>
      </c>
      <c r="I210" s="2">
        <v>1975000.0</v>
      </c>
      <c r="J210" s="2">
        <v>1.0</v>
      </c>
      <c r="K210" s="2">
        <v>7.0</v>
      </c>
      <c r="O210" s="2" t="s">
        <v>247</v>
      </c>
      <c r="P210" s="2" t="s">
        <v>166</v>
      </c>
      <c r="R210" s="2" t="s">
        <v>167</v>
      </c>
      <c r="S210" s="11">
        <v>42222.46579861111</v>
      </c>
    </row>
    <row r="211" ht="12.75" hidden="1" customHeight="1">
      <c r="A211" s="2" t="str">
        <f>IF(VLOOKUP(E211,Sheet4!$A$585:$B$786,2,0)=0,1, )</f>
        <v>1</v>
      </c>
      <c r="B211" s="2" t="str">
        <f t="shared" si="1"/>
        <v/>
      </c>
      <c r="C211" s="2" t="str">
        <f t="shared" si="2"/>
        <v>1400003110-16342</v>
      </c>
      <c r="D211" s="2">
        <v>3.20084079E8</v>
      </c>
      <c r="E211" s="2">
        <v>1.40000311E9</v>
      </c>
      <c r="F211" s="2">
        <v>16342.0</v>
      </c>
      <c r="G211" s="2">
        <v>5.0</v>
      </c>
      <c r="H211" s="2">
        <v>0.0</v>
      </c>
      <c r="I211" s="2">
        <v>1975000.0</v>
      </c>
      <c r="J211" s="2">
        <v>1.0</v>
      </c>
      <c r="K211" s="2">
        <v>7.0</v>
      </c>
      <c r="O211" s="2" t="s">
        <v>247</v>
      </c>
      <c r="P211" s="2" t="s">
        <v>166</v>
      </c>
      <c r="R211" s="2" t="s">
        <v>167</v>
      </c>
      <c r="S211" s="11">
        <v>42222.46579861111</v>
      </c>
    </row>
    <row r="212" ht="12.75" hidden="1" customHeight="1">
      <c r="A212" s="2" t="str">
        <f>IF(VLOOKUP(E212,Sheet4!$A$585:$B$786,2,0)=0,1, )</f>
        <v>1</v>
      </c>
      <c r="B212" s="2" t="str">
        <f t="shared" si="1"/>
        <v>1</v>
      </c>
      <c r="C212" s="2" t="str">
        <f t="shared" si="2"/>
        <v>1400003110-16867</v>
      </c>
      <c r="D212" s="2">
        <v>3.2008408E8</v>
      </c>
      <c r="E212" s="2">
        <v>1.40000311E9</v>
      </c>
      <c r="F212" s="2">
        <v>16867.0</v>
      </c>
      <c r="G212" s="2">
        <v>1.0</v>
      </c>
      <c r="H212" s="2">
        <v>0.0</v>
      </c>
      <c r="I212" s="2">
        <v>495000.0</v>
      </c>
      <c r="J212" s="2">
        <v>1.0</v>
      </c>
      <c r="K212" s="2">
        <v>7.0</v>
      </c>
      <c r="O212" s="2" t="s">
        <v>318</v>
      </c>
      <c r="P212" s="2" t="s">
        <v>166</v>
      </c>
      <c r="R212" s="2" t="s">
        <v>167</v>
      </c>
      <c r="S212" s="11">
        <v>42222.46579861111</v>
      </c>
    </row>
    <row r="213" ht="12.75" hidden="1" customHeight="1">
      <c r="A213" s="2" t="str">
        <f>IF(VLOOKUP(E213,Sheet4!$A$585:$B$786,2,0)=0,1, )</f>
        <v>1</v>
      </c>
      <c r="B213" s="2" t="str">
        <f t="shared" si="1"/>
        <v/>
      </c>
      <c r="C213" s="2" t="str">
        <f t="shared" si="2"/>
        <v>1400003110-16867</v>
      </c>
      <c r="D213" s="2">
        <v>3.20084081E8</v>
      </c>
      <c r="E213" s="2">
        <v>1.40000311E9</v>
      </c>
      <c r="F213" s="2">
        <v>16867.0</v>
      </c>
      <c r="G213" s="2">
        <v>1.0</v>
      </c>
      <c r="H213" s="2">
        <v>0.0</v>
      </c>
      <c r="I213" s="2">
        <v>495000.0</v>
      </c>
      <c r="J213" s="2">
        <v>1.0</v>
      </c>
      <c r="K213" s="2">
        <v>7.0</v>
      </c>
      <c r="O213" s="2" t="s">
        <v>318</v>
      </c>
      <c r="P213" s="2" t="s">
        <v>166</v>
      </c>
      <c r="R213" s="2" t="s">
        <v>167</v>
      </c>
      <c r="S213" s="11">
        <v>42222.46579861111</v>
      </c>
    </row>
    <row r="214" ht="12.75" hidden="1" customHeight="1">
      <c r="A214" s="2" t="str">
        <f>IF(VLOOKUP(E214,Sheet4!$A$585:$B$786,2,0)=0,1, )</f>
        <v>1</v>
      </c>
      <c r="B214" s="2" t="str">
        <f t="shared" si="1"/>
        <v>1</v>
      </c>
      <c r="C214" s="2" t="str">
        <f t="shared" si="2"/>
        <v>1400003111-11978</v>
      </c>
      <c r="D214" s="2">
        <v>3.20084124E8</v>
      </c>
      <c r="E214" s="2">
        <v>1.400003111E9</v>
      </c>
      <c r="F214" s="2">
        <v>11978.0</v>
      </c>
      <c r="G214" s="2">
        <v>1.0</v>
      </c>
      <c r="H214" s="2">
        <v>140800.0</v>
      </c>
      <c r="I214" s="2">
        <v>640000.0</v>
      </c>
      <c r="J214" s="2">
        <v>1.0</v>
      </c>
      <c r="K214" s="2">
        <v>7.0</v>
      </c>
      <c r="O214" s="2" t="s">
        <v>373</v>
      </c>
      <c r="P214" s="2" t="s">
        <v>166</v>
      </c>
      <c r="R214" s="2" t="s">
        <v>167</v>
      </c>
      <c r="S214" s="11">
        <v>42222.47541666667</v>
      </c>
    </row>
    <row r="215" ht="12.75" hidden="1" customHeight="1">
      <c r="A215" s="2" t="str">
        <f>IF(VLOOKUP(E215,Sheet4!$A$585:$B$786,2,0)=0,1, )</f>
        <v>1</v>
      </c>
      <c r="B215" s="2" t="str">
        <f t="shared" si="1"/>
        <v>1</v>
      </c>
      <c r="C215" s="2" t="str">
        <f t="shared" si="2"/>
        <v>1400003111-16347</v>
      </c>
      <c r="D215" s="2">
        <v>3.20084125E8</v>
      </c>
      <c r="E215" s="2">
        <v>1.400003111E9</v>
      </c>
      <c r="F215" s="2">
        <v>16347.0</v>
      </c>
      <c r="G215" s="2">
        <v>6.0</v>
      </c>
      <c r="H215" s="2">
        <v>645480.0</v>
      </c>
      <c r="I215" s="2">
        <v>2934000.0</v>
      </c>
      <c r="J215" s="2">
        <v>1.0</v>
      </c>
      <c r="K215" s="2">
        <v>7.0</v>
      </c>
      <c r="O215" s="2" t="s">
        <v>375</v>
      </c>
      <c r="P215" s="2" t="s">
        <v>166</v>
      </c>
      <c r="R215" s="2" t="s">
        <v>167</v>
      </c>
      <c r="S215" s="11">
        <v>42222.47541666667</v>
      </c>
    </row>
    <row r="216" ht="12.75" hidden="1" customHeight="1">
      <c r="A216" s="2" t="str">
        <f>IF(VLOOKUP(E216,Sheet4!$A$585:$B$786,2,0)=0,1, )</f>
        <v>1</v>
      </c>
      <c r="B216" s="2" t="str">
        <f t="shared" si="1"/>
        <v/>
      </c>
      <c r="C216" s="2" t="str">
        <f t="shared" si="2"/>
        <v>1400003111-16347</v>
      </c>
      <c r="D216" s="2">
        <v>3.20084126E8</v>
      </c>
      <c r="E216" s="2">
        <v>1.400003111E9</v>
      </c>
      <c r="F216" s="2">
        <v>16347.0</v>
      </c>
      <c r="G216" s="2">
        <v>6.0</v>
      </c>
      <c r="H216" s="2">
        <v>645480.0</v>
      </c>
      <c r="I216" s="2">
        <v>2934000.0</v>
      </c>
      <c r="J216" s="2">
        <v>1.0</v>
      </c>
      <c r="K216" s="2">
        <v>7.0</v>
      </c>
      <c r="O216" s="2" t="s">
        <v>375</v>
      </c>
      <c r="P216" s="2" t="s">
        <v>166</v>
      </c>
      <c r="R216" s="2" t="s">
        <v>167</v>
      </c>
      <c r="S216" s="11">
        <v>42222.47541666667</v>
      </c>
    </row>
    <row r="217" ht="12.75" hidden="1" customHeight="1">
      <c r="A217" s="2" t="str">
        <f>IF(VLOOKUP(E217,Sheet4!$A$585:$B$786,2,0)=0,1, )</f>
        <v>1</v>
      </c>
      <c r="B217" s="2" t="str">
        <f t="shared" si="1"/>
        <v>1</v>
      </c>
      <c r="C217" s="2" t="str">
        <f t="shared" si="2"/>
        <v>1400003111-16348</v>
      </c>
      <c r="D217" s="2">
        <v>3.20084132E8</v>
      </c>
      <c r="E217" s="2">
        <v>1.400003111E9</v>
      </c>
      <c r="F217" s="2">
        <v>16348.0</v>
      </c>
      <c r="G217" s="2">
        <v>1.0</v>
      </c>
      <c r="H217" s="2">
        <v>82500.0</v>
      </c>
      <c r="I217" s="2">
        <v>375000.0</v>
      </c>
      <c r="J217" s="2">
        <v>1.0</v>
      </c>
      <c r="K217" s="2">
        <v>7.0</v>
      </c>
      <c r="O217" s="2" t="s">
        <v>337</v>
      </c>
      <c r="P217" s="2" t="s">
        <v>166</v>
      </c>
      <c r="R217" s="2" t="s">
        <v>167</v>
      </c>
      <c r="S217" s="11">
        <v>42222.47542824074</v>
      </c>
    </row>
    <row r="218" ht="12.75" hidden="1" customHeight="1">
      <c r="A218" s="2" t="str">
        <f>IF(VLOOKUP(E218,Sheet4!$A$585:$B$786,2,0)=0,1, )</f>
        <v>1</v>
      </c>
      <c r="B218" s="2" t="str">
        <f t="shared" si="1"/>
        <v/>
      </c>
      <c r="C218" s="2" t="str">
        <f t="shared" si="2"/>
        <v>1400003111-16348</v>
      </c>
      <c r="D218" s="2">
        <v>3.20084131E8</v>
      </c>
      <c r="E218" s="2">
        <v>1.400003111E9</v>
      </c>
      <c r="F218" s="2">
        <v>16348.0</v>
      </c>
      <c r="G218" s="2">
        <v>1.0</v>
      </c>
      <c r="H218" s="2">
        <v>82500.0</v>
      </c>
      <c r="I218" s="2">
        <v>375000.0</v>
      </c>
      <c r="J218" s="2">
        <v>1.0</v>
      </c>
      <c r="K218" s="2">
        <v>7.0</v>
      </c>
      <c r="O218" s="2" t="s">
        <v>337</v>
      </c>
      <c r="P218" s="2" t="s">
        <v>166</v>
      </c>
      <c r="R218" s="2" t="s">
        <v>167</v>
      </c>
      <c r="S218" s="11">
        <v>42222.47542824074</v>
      </c>
    </row>
    <row r="219" ht="12.75" hidden="1" customHeight="1">
      <c r="A219" s="2" t="str">
        <f>IF(VLOOKUP(E219,Sheet4!$A$585:$B$786,2,0)=0,1, )</f>
        <v>1</v>
      </c>
      <c r="B219" s="2" t="str">
        <f t="shared" si="1"/>
        <v>1</v>
      </c>
      <c r="C219" s="2" t="str">
        <f t="shared" si="2"/>
        <v>1400003111-16352</v>
      </c>
      <c r="D219" s="2">
        <v>3.20084127E8</v>
      </c>
      <c r="E219" s="2">
        <v>1.400003111E9</v>
      </c>
      <c r="F219" s="2">
        <v>16352.0</v>
      </c>
      <c r="G219" s="2">
        <v>1.0</v>
      </c>
      <c r="H219" s="2">
        <v>84700.0</v>
      </c>
      <c r="I219" s="2">
        <v>385000.0</v>
      </c>
      <c r="J219" s="2">
        <v>1.0</v>
      </c>
      <c r="K219" s="2">
        <v>7.0</v>
      </c>
      <c r="O219" s="2" t="s">
        <v>378</v>
      </c>
      <c r="P219" s="2" t="s">
        <v>166</v>
      </c>
      <c r="R219" s="2" t="s">
        <v>167</v>
      </c>
      <c r="S219" s="11">
        <v>42222.47541666667</v>
      </c>
    </row>
    <row r="220" ht="12.75" hidden="1" customHeight="1">
      <c r="A220" s="2" t="str">
        <f>IF(VLOOKUP(E220,Sheet4!$A$585:$B$786,2,0)=0,1, )</f>
        <v>1</v>
      </c>
      <c r="B220" s="2" t="str">
        <f t="shared" si="1"/>
        <v/>
      </c>
      <c r="C220" s="2" t="str">
        <f t="shared" si="2"/>
        <v>1400003111-16352</v>
      </c>
      <c r="D220" s="2">
        <v>3.20084128E8</v>
      </c>
      <c r="E220" s="2">
        <v>1.400003111E9</v>
      </c>
      <c r="F220" s="2">
        <v>16352.0</v>
      </c>
      <c r="G220" s="2">
        <v>1.0</v>
      </c>
      <c r="H220" s="2">
        <v>84700.0</v>
      </c>
      <c r="I220" s="2">
        <v>385000.0</v>
      </c>
      <c r="J220" s="2">
        <v>1.0</v>
      </c>
      <c r="K220" s="2">
        <v>7.0</v>
      </c>
      <c r="O220" s="2" t="s">
        <v>378</v>
      </c>
      <c r="P220" s="2" t="s">
        <v>166</v>
      </c>
      <c r="R220" s="2" t="s">
        <v>167</v>
      </c>
      <c r="S220" s="11">
        <v>42222.47541666667</v>
      </c>
    </row>
    <row r="221" ht="12.75" hidden="1" customHeight="1">
      <c r="A221" s="2" t="str">
        <f>IF(VLOOKUP(E221,Sheet4!$A$585:$B$786,2,0)=0,1, )</f>
        <v>1</v>
      </c>
      <c r="B221" s="2" t="str">
        <f t="shared" si="1"/>
        <v>1</v>
      </c>
      <c r="C221" s="2" t="str">
        <f t="shared" si="2"/>
        <v>1400003111-16353</v>
      </c>
      <c r="D221" s="2">
        <v>3.20084123E8</v>
      </c>
      <c r="E221" s="2">
        <v>1.400003111E9</v>
      </c>
      <c r="F221" s="2">
        <v>16353.0</v>
      </c>
      <c r="G221" s="2">
        <v>1.0</v>
      </c>
      <c r="H221" s="2">
        <v>81400.0</v>
      </c>
      <c r="I221" s="2">
        <v>370000.0</v>
      </c>
      <c r="J221" s="2">
        <v>1.0</v>
      </c>
      <c r="K221" s="2">
        <v>7.0</v>
      </c>
      <c r="O221" s="2" t="s">
        <v>297</v>
      </c>
      <c r="P221" s="2" t="s">
        <v>166</v>
      </c>
      <c r="R221" s="2" t="s">
        <v>167</v>
      </c>
      <c r="S221" s="11">
        <v>42222.47541666667</v>
      </c>
    </row>
    <row r="222" ht="12.75" hidden="1" customHeight="1">
      <c r="A222" s="2" t="str">
        <f>IF(VLOOKUP(E222,Sheet4!$A$585:$B$786,2,0)=0,1, )</f>
        <v>1</v>
      </c>
      <c r="B222" s="2" t="str">
        <f t="shared" si="1"/>
        <v>1</v>
      </c>
      <c r="C222" s="2" t="str">
        <f t="shared" si="2"/>
        <v>1400003111-16354</v>
      </c>
      <c r="D222" s="2">
        <v>3.20084122E8</v>
      </c>
      <c r="E222" s="2">
        <v>1.400003111E9</v>
      </c>
      <c r="F222" s="2">
        <v>16354.0</v>
      </c>
      <c r="G222" s="2">
        <v>1.0</v>
      </c>
      <c r="H222" s="2">
        <v>84700.0</v>
      </c>
      <c r="I222" s="2">
        <v>385000.0</v>
      </c>
      <c r="J222" s="2">
        <v>1.0</v>
      </c>
      <c r="K222" s="2">
        <v>7.0</v>
      </c>
      <c r="O222" s="2" t="s">
        <v>381</v>
      </c>
      <c r="P222" s="2" t="s">
        <v>166</v>
      </c>
      <c r="R222" s="2" t="s">
        <v>167</v>
      </c>
      <c r="S222" s="11">
        <v>42222.47541666667</v>
      </c>
    </row>
    <row r="223" ht="12.75" hidden="1" customHeight="1">
      <c r="A223" s="2" t="str">
        <f>IF(VLOOKUP(E223,Sheet4!$A$585:$B$786,2,0)=0,1, )</f>
        <v>1</v>
      </c>
      <c r="B223" s="2" t="str">
        <f t="shared" si="1"/>
        <v>1</v>
      </c>
      <c r="C223" s="2" t="str">
        <f t="shared" si="2"/>
        <v>1400003111-16850</v>
      </c>
      <c r="D223" s="2">
        <v>3.2008413E8</v>
      </c>
      <c r="E223" s="2">
        <v>1.400003111E9</v>
      </c>
      <c r="F223" s="2">
        <v>16850.0</v>
      </c>
      <c r="G223" s="2">
        <v>2.0</v>
      </c>
      <c r="H223" s="2">
        <v>226600.0</v>
      </c>
      <c r="I223" s="2">
        <v>1030000.0</v>
      </c>
      <c r="J223" s="2">
        <v>1.0</v>
      </c>
      <c r="K223" s="2">
        <v>7.0</v>
      </c>
      <c r="O223" s="2" t="s">
        <v>383</v>
      </c>
      <c r="P223" s="2" t="s">
        <v>166</v>
      </c>
      <c r="R223" s="2" t="s">
        <v>167</v>
      </c>
      <c r="S223" s="11">
        <v>42222.47541666667</v>
      </c>
    </row>
    <row r="224" ht="12.75" hidden="1" customHeight="1">
      <c r="A224" s="2" t="str">
        <f>IF(VLOOKUP(E224,Sheet4!$A$585:$B$786,2,0)=0,1, )</f>
        <v>1</v>
      </c>
      <c r="B224" s="2" t="str">
        <f t="shared" si="1"/>
        <v/>
      </c>
      <c r="C224" s="2" t="str">
        <f t="shared" si="2"/>
        <v>1400003111-16850</v>
      </c>
      <c r="D224" s="2">
        <v>3.20084129E8</v>
      </c>
      <c r="E224" s="2">
        <v>1.400003111E9</v>
      </c>
      <c r="F224" s="2">
        <v>16850.0</v>
      </c>
      <c r="G224" s="2">
        <v>2.0</v>
      </c>
      <c r="H224" s="2">
        <v>226600.0</v>
      </c>
      <c r="I224" s="2">
        <v>1030000.0</v>
      </c>
      <c r="J224" s="2">
        <v>1.0</v>
      </c>
      <c r="K224" s="2">
        <v>7.0</v>
      </c>
      <c r="O224" s="2" t="s">
        <v>383</v>
      </c>
      <c r="P224" s="2" t="s">
        <v>166</v>
      </c>
      <c r="R224" s="2" t="s">
        <v>167</v>
      </c>
      <c r="S224" s="11">
        <v>42222.47541666667</v>
      </c>
    </row>
    <row r="225" ht="12.75" hidden="1" customHeight="1">
      <c r="A225" s="2" t="str">
        <f>IF(VLOOKUP(E225,Sheet4!$A$585:$B$786,2,0)=0,1, )</f>
        <v>1</v>
      </c>
      <c r="B225" s="2" t="str">
        <f t="shared" si="1"/>
        <v>1</v>
      </c>
      <c r="C225" s="2" t="str">
        <f t="shared" si="2"/>
        <v>1400003112-6324</v>
      </c>
      <c r="D225" s="2">
        <v>3.20084177E8</v>
      </c>
      <c r="E225" s="2">
        <v>1.400003112E9</v>
      </c>
      <c r="F225" s="2">
        <v>6324.0</v>
      </c>
      <c r="G225" s="2">
        <v>2.0</v>
      </c>
      <c r="H225" s="2">
        <v>75000.0</v>
      </c>
      <c r="I225" s="2">
        <v>430000.0</v>
      </c>
      <c r="J225" s="2">
        <v>1.0</v>
      </c>
      <c r="K225" s="2">
        <v>7.0</v>
      </c>
      <c r="O225" s="2" t="s">
        <v>385</v>
      </c>
      <c r="P225" s="2" t="s">
        <v>166</v>
      </c>
      <c r="R225" s="2" t="s">
        <v>167</v>
      </c>
      <c r="S225" s="11">
        <v>42222.48364583333</v>
      </c>
    </row>
    <row r="226" ht="12.75" hidden="1" customHeight="1">
      <c r="A226" s="2" t="str">
        <f>IF(VLOOKUP(E226,Sheet4!$A$585:$B$786,2,0)=0,1, )</f>
        <v>1</v>
      </c>
      <c r="B226" s="2" t="str">
        <f t="shared" si="1"/>
        <v/>
      </c>
      <c r="C226" s="2" t="str">
        <f t="shared" si="2"/>
        <v>1400003112-6324</v>
      </c>
      <c r="D226" s="2">
        <v>3.20084176E8</v>
      </c>
      <c r="E226" s="2">
        <v>1.400003112E9</v>
      </c>
      <c r="F226" s="2">
        <v>6324.0</v>
      </c>
      <c r="G226" s="2">
        <v>2.0</v>
      </c>
      <c r="H226" s="2">
        <v>75000.0</v>
      </c>
      <c r="I226" s="2">
        <v>430000.0</v>
      </c>
      <c r="J226" s="2">
        <v>1.0</v>
      </c>
      <c r="K226" s="2">
        <v>7.0</v>
      </c>
      <c r="O226" s="2" t="s">
        <v>385</v>
      </c>
      <c r="P226" s="2" t="s">
        <v>166</v>
      </c>
      <c r="R226" s="2" t="s">
        <v>167</v>
      </c>
      <c r="S226" s="11">
        <v>42222.48364583333</v>
      </c>
    </row>
    <row r="227" ht="12.75" hidden="1" customHeight="1">
      <c r="A227" s="2" t="str">
        <f>IF(VLOOKUP(E227,Sheet4!$A$585:$B$786,2,0)=0,1, )</f>
        <v>1</v>
      </c>
      <c r="B227" s="2" t="str">
        <f t="shared" si="1"/>
        <v>1</v>
      </c>
      <c r="C227" s="2" t="str">
        <f t="shared" si="2"/>
        <v>1400003112-6326</v>
      </c>
      <c r="D227" s="2">
        <v>3.20084175E8</v>
      </c>
      <c r="E227" s="2">
        <v>1.400003112E9</v>
      </c>
      <c r="F227" s="2">
        <v>6326.0</v>
      </c>
      <c r="G227" s="2">
        <v>5.0</v>
      </c>
      <c r="H227" s="2">
        <v>0.0</v>
      </c>
      <c r="I227" s="2">
        <v>775000.0</v>
      </c>
      <c r="J227" s="2">
        <v>1.0</v>
      </c>
      <c r="K227" s="2">
        <v>7.0</v>
      </c>
      <c r="O227" s="2" t="s">
        <v>387</v>
      </c>
      <c r="P227" s="2" t="s">
        <v>166</v>
      </c>
      <c r="R227" s="2" t="s">
        <v>167</v>
      </c>
      <c r="S227" s="11">
        <v>42222.48364583333</v>
      </c>
    </row>
    <row r="228" ht="12.75" hidden="1" customHeight="1">
      <c r="A228" s="2" t="str">
        <f>IF(VLOOKUP(E228,Sheet4!$A$585:$B$786,2,0)=0,1, )</f>
        <v>1</v>
      </c>
      <c r="B228" s="2" t="str">
        <f t="shared" si="1"/>
        <v/>
      </c>
      <c r="C228" s="2" t="str">
        <f t="shared" si="2"/>
        <v>1400003112-6326</v>
      </c>
      <c r="D228" s="2">
        <v>3.20084174E8</v>
      </c>
      <c r="E228" s="2">
        <v>1.400003112E9</v>
      </c>
      <c r="F228" s="2">
        <v>6326.0</v>
      </c>
      <c r="G228" s="2">
        <v>5.0</v>
      </c>
      <c r="H228" s="2">
        <v>0.0</v>
      </c>
      <c r="I228" s="2">
        <v>775000.0</v>
      </c>
      <c r="J228" s="2">
        <v>1.0</v>
      </c>
      <c r="K228" s="2">
        <v>7.0</v>
      </c>
      <c r="O228" s="2" t="s">
        <v>387</v>
      </c>
      <c r="P228" s="2" t="s">
        <v>166</v>
      </c>
      <c r="R228" s="2" t="s">
        <v>167</v>
      </c>
      <c r="S228" s="11">
        <v>42222.48364583333</v>
      </c>
    </row>
    <row r="229" ht="12.75" hidden="1" customHeight="1">
      <c r="A229" s="2" t="str">
        <f>IF(VLOOKUP(E229,Sheet4!$A$585:$B$786,2,0)=0,1, )</f>
        <v>1</v>
      </c>
      <c r="B229" s="2" t="str">
        <f t="shared" si="1"/>
        <v>1</v>
      </c>
      <c r="C229" s="2" t="str">
        <f t="shared" si="2"/>
        <v>1400003112-7269</v>
      </c>
      <c r="D229" s="2">
        <v>3.20084154E8</v>
      </c>
      <c r="E229" s="2">
        <v>1.400003112E9</v>
      </c>
      <c r="F229" s="2">
        <v>7269.0</v>
      </c>
      <c r="G229" s="2">
        <v>5.0</v>
      </c>
      <c r="H229" s="2">
        <v>522500.0</v>
      </c>
      <c r="I229" s="2">
        <v>2090000.0</v>
      </c>
      <c r="J229" s="2">
        <v>1.0</v>
      </c>
      <c r="K229" s="2">
        <v>7.0</v>
      </c>
      <c r="O229" s="2" t="s">
        <v>369</v>
      </c>
      <c r="P229" s="2" t="s">
        <v>166</v>
      </c>
      <c r="R229" s="2" t="s">
        <v>167</v>
      </c>
      <c r="S229" s="11">
        <v>42222.48363425926</v>
      </c>
    </row>
    <row r="230" ht="12.75" hidden="1" customHeight="1">
      <c r="A230" s="2" t="str">
        <f>IF(VLOOKUP(E230,Sheet4!$A$585:$B$786,2,0)=0,1, )</f>
        <v>1</v>
      </c>
      <c r="B230" s="2" t="str">
        <f t="shared" si="1"/>
        <v>1</v>
      </c>
      <c r="C230" s="2" t="str">
        <f t="shared" si="2"/>
        <v>1400003112-7301</v>
      </c>
      <c r="D230" s="2">
        <v>3.20084153E8</v>
      </c>
      <c r="E230" s="2">
        <v>1.400003112E9</v>
      </c>
      <c r="F230" s="2">
        <v>7301.0</v>
      </c>
      <c r="G230" s="2">
        <v>4.0</v>
      </c>
      <c r="H230" s="2">
        <v>420000.0</v>
      </c>
      <c r="I230" s="2">
        <v>1680000.0</v>
      </c>
      <c r="J230" s="2">
        <v>1.0</v>
      </c>
      <c r="K230" s="2">
        <v>7.0</v>
      </c>
      <c r="O230" s="2" t="s">
        <v>390</v>
      </c>
      <c r="P230" s="2" t="s">
        <v>166</v>
      </c>
      <c r="R230" s="2" t="s">
        <v>167</v>
      </c>
      <c r="S230" s="11">
        <v>42222.48363425926</v>
      </c>
    </row>
    <row r="231" ht="12.75" hidden="1" customHeight="1">
      <c r="A231" s="2" t="str">
        <f>IF(VLOOKUP(E231,Sheet4!$A$585:$B$786,2,0)=0,1, )</f>
        <v>1</v>
      </c>
      <c r="B231" s="2" t="str">
        <f t="shared" si="1"/>
        <v>1</v>
      </c>
      <c r="C231" s="2" t="str">
        <f t="shared" si="2"/>
        <v>1400003112-7420</v>
      </c>
      <c r="D231" s="2">
        <v>3.20084173E8</v>
      </c>
      <c r="E231" s="2">
        <v>1.400003112E9</v>
      </c>
      <c r="F231" s="2">
        <v>7420.0</v>
      </c>
      <c r="G231" s="2">
        <v>4.0</v>
      </c>
      <c r="H231" s="2">
        <v>386000.0</v>
      </c>
      <c r="I231" s="2">
        <v>1544000.0</v>
      </c>
      <c r="J231" s="2">
        <v>1.0</v>
      </c>
      <c r="K231" s="2">
        <v>7.0</v>
      </c>
      <c r="O231" s="2" t="s">
        <v>392</v>
      </c>
      <c r="P231" s="2" t="s">
        <v>166</v>
      </c>
      <c r="R231" s="2" t="s">
        <v>167</v>
      </c>
      <c r="S231" s="11">
        <v>42222.48364583333</v>
      </c>
    </row>
    <row r="232" ht="12.75" hidden="1" customHeight="1">
      <c r="A232" s="2" t="str">
        <f>IF(VLOOKUP(E232,Sheet4!$A$585:$B$786,2,0)=0,1, )</f>
        <v>1</v>
      </c>
      <c r="B232" s="2" t="str">
        <f t="shared" si="1"/>
        <v/>
      </c>
      <c r="C232" s="2" t="str">
        <f t="shared" si="2"/>
        <v>1400003112-7420</v>
      </c>
      <c r="D232" s="2">
        <v>3.20084172E8</v>
      </c>
      <c r="E232" s="2">
        <v>1.400003112E9</v>
      </c>
      <c r="F232" s="2">
        <v>7420.0</v>
      </c>
      <c r="G232" s="2">
        <v>4.0</v>
      </c>
      <c r="H232" s="2">
        <v>386000.0</v>
      </c>
      <c r="I232" s="2">
        <v>1544000.0</v>
      </c>
      <c r="J232" s="2">
        <v>1.0</v>
      </c>
      <c r="K232" s="2">
        <v>7.0</v>
      </c>
      <c r="O232" s="2" t="s">
        <v>392</v>
      </c>
      <c r="P232" s="2" t="s">
        <v>166</v>
      </c>
      <c r="R232" s="2" t="s">
        <v>167</v>
      </c>
      <c r="S232" s="11">
        <v>42222.48364583333</v>
      </c>
    </row>
    <row r="233" ht="12.75" hidden="1" customHeight="1">
      <c r="A233" s="2" t="str">
        <f>IF(VLOOKUP(E233,Sheet4!$A$585:$B$786,2,0)=0,1, )</f>
        <v>1</v>
      </c>
      <c r="B233" s="2" t="str">
        <f t="shared" si="1"/>
        <v>1</v>
      </c>
      <c r="C233" s="2" t="str">
        <f t="shared" si="2"/>
        <v>1400003112-7422</v>
      </c>
      <c r="D233" s="2">
        <v>3.20084155E8</v>
      </c>
      <c r="E233" s="2">
        <v>1.400003112E9</v>
      </c>
      <c r="F233" s="2">
        <v>7422.0</v>
      </c>
      <c r="G233" s="2">
        <v>5.0</v>
      </c>
      <c r="H233" s="2">
        <v>482500.0</v>
      </c>
      <c r="I233" s="2">
        <v>1930000.0</v>
      </c>
      <c r="J233" s="2">
        <v>1.0</v>
      </c>
      <c r="K233" s="2">
        <v>7.0</v>
      </c>
      <c r="O233" s="2" t="s">
        <v>175</v>
      </c>
      <c r="P233" s="2" t="s">
        <v>166</v>
      </c>
      <c r="R233" s="2" t="s">
        <v>167</v>
      </c>
      <c r="S233" s="11">
        <v>42222.48363425926</v>
      </c>
    </row>
    <row r="234" ht="12.75" hidden="1" customHeight="1">
      <c r="A234" s="2" t="str">
        <f>IF(VLOOKUP(E234,Sheet4!$A$585:$B$786,2,0)=0,1, )</f>
        <v>1</v>
      </c>
      <c r="B234" s="2" t="str">
        <f t="shared" si="1"/>
        <v>1</v>
      </c>
      <c r="C234" s="2" t="str">
        <f t="shared" si="2"/>
        <v>1400003112-7548</v>
      </c>
      <c r="D234" s="2">
        <v>3.20084164E8</v>
      </c>
      <c r="E234" s="2">
        <v>1.400003112E9</v>
      </c>
      <c r="F234" s="2">
        <v>7548.0</v>
      </c>
      <c r="G234" s="2">
        <v>8.0</v>
      </c>
      <c r="H234" s="2">
        <v>660000.0</v>
      </c>
      <c r="I234" s="2">
        <v>2640000.0</v>
      </c>
      <c r="J234" s="2">
        <v>1.0</v>
      </c>
      <c r="K234" s="2">
        <v>7.0</v>
      </c>
      <c r="O234" s="2" t="s">
        <v>223</v>
      </c>
      <c r="P234" s="2" t="s">
        <v>166</v>
      </c>
      <c r="R234" s="2" t="s">
        <v>167</v>
      </c>
      <c r="S234" s="11">
        <v>42222.48363425926</v>
      </c>
    </row>
    <row r="235" ht="12.75" hidden="1" customHeight="1">
      <c r="A235" s="2" t="str">
        <f>IF(VLOOKUP(E235,Sheet4!$A$585:$B$786,2,0)=0,1, )</f>
        <v>1</v>
      </c>
      <c r="B235" s="2" t="str">
        <f t="shared" si="1"/>
        <v/>
      </c>
      <c r="C235" s="2" t="str">
        <f t="shared" si="2"/>
        <v>1400003112-7548</v>
      </c>
      <c r="D235" s="2">
        <v>3.20084165E8</v>
      </c>
      <c r="E235" s="2">
        <v>1.400003112E9</v>
      </c>
      <c r="F235" s="2">
        <v>7548.0</v>
      </c>
      <c r="G235" s="2">
        <v>8.0</v>
      </c>
      <c r="H235" s="2">
        <v>660000.0</v>
      </c>
      <c r="I235" s="2">
        <v>2640000.0</v>
      </c>
      <c r="J235" s="2">
        <v>1.0</v>
      </c>
      <c r="K235" s="2">
        <v>7.0</v>
      </c>
      <c r="O235" s="2" t="s">
        <v>223</v>
      </c>
      <c r="P235" s="2" t="s">
        <v>166</v>
      </c>
      <c r="R235" s="2" t="s">
        <v>167</v>
      </c>
      <c r="S235" s="11">
        <v>42222.48363425926</v>
      </c>
    </row>
    <row r="236" ht="12.75" hidden="1" customHeight="1">
      <c r="A236" s="2" t="str">
        <f>IF(VLOOKUP(E236,Sheet4!$A$585:$B$786,2,0)=0,1, )</f>
        <v>1</v>
      </c>
      <c r="B236" s="2" t="str">
        <f t="shared" si="1"/>
        <v>1</v>
      </c>
      <c r="C236" s="2" t="str">
        <f t="shared" si="2"/>
        <v>1400003112-11946</v>
      </c>
      <c r="D236" s="2">
        <v>3.20084166E8</v>
      </c>
      <c r="E236" s="2">
        <v>1.400003112E9</v>
      </c>
      <c r="F236" s="2">
        <v>11946.0</v>
      </c>
      <c r="G236" s="2">
        <v>1.0</v>
      </c>
      <c r="H236" s="2">
        <v>85800.0</v>
      </c>
      <c r="I236" s="2">
        <v>390000.0</v>
      </c>
      <c r="J236" s="2">
        <v>1.0</v>
      </c>
      <c r="K236" s="2">
        <v>7.0</v>
      </c>
      <c r="O236" s="2" t="s">
        <v>396</v>
      </c>
      <c r="P236" s="2" t="s">
        <v>166</v>
      </c>
      <c r="R236" s="2" t="s">
        <v>167</v>
      </c>
      <c r="S236" s="11">
        <v>42222.48364583333</v>
      </c>
    </row>
    <row r="237" ht="12.75" hidden="1" customHeight="1">
      <c r="A237" s="2" t="str">
        <f>IF(VLOOKUP(E237,Sheet4!$A$585:$B$786,2,0)=0,1, )</f>
        <v>1</v>
      </c>
      <c r="B237" s="2" t="str">
        <f t="shared" si="1"/>
        <v/>
      </c>
      <c r="C237" s="2" t="str">
        <f t="shared" si="2"/>
        <v>1400003112-11946</v>
      </c>
      <c r="D237" s="2">
        <v>3.20084167E8</v>
      </c>
      <c r="E237" s="2">
        <v>1.400003112E9</v>
      </c>
      <c r="F237" s="2">
        <v>11946.0</v>
      </c>
      <c r="G237" s="2">
        <v>1.0</v>
      </c>
      <c r="H237" s="2">
        <v>85800.0</v>
      </c>
      <c r="I237" s="2">
        <v>390000.0</v>
      </c>
      <c r="J237" s="2">
        <v>1.0</v>
      </c>
      <c r="K237" s="2">
        <v>7.0</v>
      </c>
      <c r="O237" s="2" t="s">
        <v>396</v>
      </c>
      <c r="P237" s="2" t="s">
        <v>166</v>
      </c>
      <c r="R237" s="2" t="s">
        <v>167</v>
      </c>
      <c r="S237" s="11">
        <v>42222.48364583333</v>
      </c>
    </row>
    <row r="238" ht="12.75" hidden="1" customHeight="1">
      <c r="A238" s="2" t="str">
        <f>IF(VLOOKUP(E238,Sheet4!$A$585:$B$786,2,0)=0,1, )</f>
        <v>1</v>
      </c>
      <c r="B238" s="2" t="str">
        <f t="shared" si="1"/>
        <v>1</v>
      </c>
      <c r="C238" s="2" t="str">
        <f t="shared" si="2"/>
        <v>1400003112-12668</v>
      </c>
      <c r="D238" s="2">
        <v>3.2008417E8</v>
      </c>
      <c r="E238" s="2">
        <v>1.400003112E9</v>
      </c>
      <c r="F238" s="2">
        <v>12668.0</v>
      </c>
      <c r="G238" s="2">
        <v>1.0</v>
      </c>
      <c r="H238" s="2">
        <v>102300.0</v>
      </c>
      <c r="I238" s="2">
        <v>465000.0</v>
      </c>
      <c r="J238" s="2">
        <v>1.0</v>
      </c>
      <c r="K238" s="2">
        <v>7.0</v>
      </c>
      <c r="O238" s="2" t="s">
        <v>398</v>
      </c>
      <c r="P238" s="2" t="s">
        <v>166</v>
      </c>
      <c r="R238" s="2" t="s">
        <v>167</v>
      </c>
      <c r="S238" s="11">
        <v>42222.48364583333</v>
      </c>
    </row>
    <row r="239" ht="12.75" hidden="1" customHeight="1">
      <c r="A239" s="2" t="str">
        <f>IF(VLOOKUP(E239,Sheet4!$A$585:$B$786,2,0)=0,1, )</f>
        <v>1</v>
      </c>
      <c r="B239" s="2" t="str">
        <f t="shared" si="1"/>
        <v/>
      </c>
      <c r="C239" s="2" t="str">
        <f t="shared" si="2"/>
        <v>1400003112-12668</v>
      </c>
      <c r="D239" s="2">
        <v>3.20084171E8</v>
      </c>
      <c r="E239" s="2">
        <v>1.400003112E9</v>
      </c>
      <c r="F239" s="2">
        <v>12668.0</v>
      </c>
      <c r="G239" s="2">
        <v>1.0</v>
      </c>
      <c r="H239" s="2">
        <v>102300.0</v>
      </c>
      <c r="I239" s="2">
        <v>465000.0</v>
      </c>
      <c r="J239" s="2">
        <v>1.0</v>
      </c>
      <c r="K239" s="2">
        <v>7.0</v>
      </c>
      <c r="O239" s="2" t="s">
        <v>398</v>
      </c>
      <c r="P239" s="2" t="s">
        <v>166</v>
      </c>
      <c r="R239" s="2" t="s">
        <v>167</v>
      </c>
      <c r="S239" s="11">
        <v>42222.48364583333</v>
      </c>
    </row>
    <row r="240" ht="12.75" hidden="1" customHeight="1">
      <c r="A240" s="2" t="str">
        <f>IF(VLOOKUP(E240,Sheet4!$A$585:$B$786,2,0)=0,1, )</f>
        <v>1</v>
      </c>
      <c r="B240" s="2" t="str">
        <f t="shared" si="1"/>
        <v>1</v>
      </c>
      <c r="C240" s="2" t="str">
        <f t="shared" si="2"/>
        <v>1400003112-15689</v>
      </c>
      <c r="D240" s="2">
        <v>3.20084159E8</v>
      </c>
      <c r="E240" s="2">
        <v>1.400003112E9</v>
      </c>
      <c r="F240" s="2">
        <v>15689.0</v>
      </c>
      <c r="G240" s="2">
        <v>3.0</v>
      </c>
      <c r="H240" s="2">
        <v>313500.0</v>
      </c>
      <c r="I240" s="2">
        <v>1254000.0</v>
      </c>
      <c r="J240" s="2">
        <v>1.0</v>
      </c>
      <c r="K240" s="2">
        <v>7.0</v>
      </c>
      <c r="O240" s="2" t="s">
        <v>400</v>
      </c>
      <c r="P240" s="2" t="s">
        <v>166</v>
      </c>
      <c r="R240" s="2" t="s">
        <v>167</v>
      </c>
      <c r="S240" s="11">
        <v>42222.48363425926</v>
      </c>
    </row>
    <row r="241" ht="12.75" hidden="1" customHeight="1">
      <c r="A241" s="2" t="str">
        <f>IF(VLOOKUP(E241,Sheet4!$A$585:$B$786,2,0)=0,1, )</f>
        <v>1</v>
      </c>
      <c r="B241" s="2" t="str">
        <f t="shared" si="1"/>
        <v/>
      </c>
      <c r="C241" s="2" t="str">
        <f t="shared" si="2"/>
        <v>1400003112-15689</v>
      </c>
      <c r="D241" s="2">
        <v>3.20084158E8</v>
      </c>
      <c r="E241" s="2">
        <v>1.400003112E9</v>
      </c>
      <c r="F241" s="2">
        <v>15689.0</v>
      </c>
      <c r="G241" s="2">
        <v>3.0</v>
      </c>
      <c r="H241" s="2">
        <v>313500.0</v>
      </c>
      <c r="I241" s="2">
        <v>1254000.0</v>
      </c>
      <c r="J241" s="2">
        <v>1.0</v>
      </c>
      <c r="K241" s="2">
        <v>7.0</v>
      </c>
      <c r="O241" s="2" t="s">
        <v>400</v>
      </c>
      <c r="P241" s="2" t="s">
        <v>166</v>
      </c>
      <c r="R241" s="2" t="s">
        <v>167</v>
      </c>
      <c r="S241" s="11">
        <v>42222.48363425926</v>
      </c>
    </row>
    <row r="242" ht="12.75" hidden="1" customHeight="1">
      <c r="A242" s="2" t="str">
        <f>IF(VLOOKUP(E242,Sheet4!$A$585:$B$786,2,0)=0,1, )</f>
        <v>1</v>
      </c>
      <c r="B242" s="2" t="str">
        <f t="shared" si="1"/>
        <v>1</v>
      </c>
      <c r="C242" s="2" t="str">
        <f t="shared" si="2"/>
        <v>1400003112-16344</v>
      </c>
      <c r="D242" s="2">
        <v>3.2008416E8</v>
      </c>
      <c r="E242" s="2">
        <v>1.400003112E9</v>
      </c>
      <c r="F242" s="2">
        <v>16344.0</v>
      </c>
      <c r="G242" s="2">
        <v>4.0</v>
      </c>
      <c r="H242" s="2">
        <v>453200.0</v>
      </c>
      <c r="I242" s="2">
        <v>2060000.0</v>
      </c>
      <c r="J242" s="2">
        <v>1.0</v>
      </c>
      <c r="K242" s="2">
        <v>7.0</v>
      </c>
      <c r="O242" s="2" t="s">
        <v>333</v>
      </c>
      <c r="P242" s="2" t="s">
        <v>166</v>
      </c>
      <c r="R242" s="2" t="s">
        <v>167</v>
      </c>
      <c r="S242" s="11">
        <v>42222.48363425926</v>
      </c>
    </row>
    <row r="243" ht="12.75" hidden="1" customHeight="1">
      <c r="A243" s="2" t="str">
        <f>IF(VLOOKUP(E243,Sheet4!$A$585:$B$786,2,0)=0,1, )</f>
        <v>1</v>
      </c>
      <c r="B243" s="2" t="str">
        <f t="shared" si="1"/>
        <v/>
      </c>
      <c r="C243" s="2" t="str">
        <f t="shared" si="2"/>
        <v>1400003112-16344</v>
      </c>
      <c r="D243" s="2">
        <v>3.20084161E8</v>
      </c>
      <c r="E243" s="2">
        <v>1.400003112E9</v>
      </c>
      <c r="F243" s="2">
        <v>16344.0</v>
      </c>
      <c r="G243" s="2">
        <v>4.0</v>
      </c>
      <c r="H243" s="2">
        <v>453200.0</v>
      </c>
      <c r="I243" s="2">
        <v>2060000.0</v>
      </c>
      <c r="J243" s="2">
        <v>1.0</v>
      </c>
      <c r="K243" s="2">
        <v>7.0</v>
      </c>
      <c r="O243" s="2" t="s">
        <v>333</v>
      </c>
      <c r="P243" s="2" t="s">
        <v>166</v>
      </c>
      <c r="R243" s="2" t="s">
        <v>167</v>
      </c>
      <c r="S243" s="11">
        <v>42222.48363425926</v>
      </c>
    </row>
    <row r="244" ht="12.75" hidden="1" customHeight="1">
      <c r="A244" s="2" t="str">
        <f>IF(VLOOKUP(E244,Sheet4!$A$585:$B$786,2,0)=0,1, )</f>
        <v>1</v>
      </c>
      <c r="B244" s="2" t="str">
        <f t="shared" si="1"/>
        <v>1</v>
      </c>
      <c r="C244" s="2" t="str">
        <f t="shared" si="2"/>
        <v>1400003112-16359</v>
      </c>
      <c r="D244" s="2">
        <v>3.20084151E8</v>
      </c>
      <c r="E244" s="2">
        <v>1.400003112E9</v>
      </c>
      <c r="F244" s="2">
        <v>16359.0</v>
      </c>
      <c r="G244" s="2">
        <v>2.0</v>
      </c>
      <c r="H244" s="2">
        <v>226600.0</v>
      </c>
      <c r="I244" s="2">
        <v>1030000.0</v>
      </c>
      <c r="J244" s="2">
        <v>1.0</v>
      </c>
      <c r="K244" s="2">
        <v>7.0</v>
      </c>
      <c r="O244" s="2" t="s">
        <v>333</v>
      </c>
      <c r="P244" s="2" t="s">
        <v>166</v>
      </c>
      <c r="R244" s="2" t="s">
        <v>167</v>
      </c>
      <c r="S244" s="11">
        <v>42222.48363425926</v>
      </c>
    </row>
    <row r="245" ht="12.75" hidden="1" customHeight="1">
      <c r="A245" s="2" t="str">
        <f>IF(VLOOKUP(E245,Sheet4!$A$585:$B$786,2,0)=0,1, )</f>
        <v>1</v>
      </c>
      <c r="B245" s="2" t="str">
        <f t="shared" si="1"/>
        <v>1</v>
      </c>
      <c r="C245" s="2" t="str">
        <f t="shared" si="2"/>
        <v>1400003112-16362</v>
      </c>
      <c r="D245" s="2">
        <v>3.20084156E8</v>
      </c>
      <c r="E245" s="2">
        <v>1.400003112E9</v>
      </c>
      <c r="F245" s="2">
        <v>16362.0</v>
      </c>
      <c r="G245" s="2">
        <v>4.0</v>
      </c>
      <c r="H245" s="2">
        <v>453200.0</v>
      </c>
      <c r="I245" s="2">
        <v>2060000.0</v>
      </c>
      <c r="J245" s="2">
        <v>1.0</v>
      </c>
      <c r="K245" s="2">
        <v>7.0</v>
      </c>
      <c r="O245" s="2" t="s">
        <v>333</v>
      </c>
      <c r="P245" s="2" t="s">
        <v>166</v>
      </c>
      <c r="R245" s="2" t="s">
        <v>167</v>
      </c>
      <c r="S245" s="11">
        <v>42222.48363425926</v>
      </c>
    </row>
    <row r="246" ht="12.75" hidden="1" customHeight="1">
      <c r="A246" s="2" t="str">
        <f>IF(VLOOKUP(E246,Sheet4!$A$585:$B$786,2,0)=0,1, )</f>
        <v>1</v>
      </c>
      <c r="B246" s="2" t="str">
        <f t="shared" si="1"/>
        <v/>
      </c>
      <c r="C246" s="2" t="str">
        <f t="shared" si="2"/>
        <v>1400003112-16362</v>
      </c>
      <c r="D246" s="2">
        <v>3.20084157E8</v>
      </c>
      <c r="E246" s="2">
        <v>1.400003112E9</v>
      </c>
      <c r="F246" s="2">
        <v>16362.0</v>
      </c>
      <c r="G246" s="2">
        <v>4.0</v>
      </c>
      <c r="H246" s="2">
        <v>453200.0</v>
      </c>
      <c r="I246" s="2">
        <v>2060000.0</v>
      </c>
      <c r="J246" s="2">
        <v>1.0</v>
      </c>
      <c r="K246" s="2">
        <v>7.0</v>
      </c>
      <c r="O246" s="2" t="s">
        <v>333</v>
      </c>
      <c r="P246" s="2" t="s">
        <v>166</v>
      </c>
      <c r="R246" s="2" t="s">
        <v>167</v>
      </c>
      <c r="S246" s="11">
        <v>42222.48363425926</v>
      </c>
    </row>
    <row r="247" ht="12.75" hidden="1" customHeight="1">
      <c r="A247" s="2" t="str">
        <f>IF(VLOOKUP(E247,Sheet4!$A$585:$B$786,2,0)=0,1, )</f>
        <v>1</v>
      </c>
      <c r="B247" s="2" t="str">
        <f t="shared" si="1"/>
        <v>1</v>
      </c>
      <c r="C247" s="2" t="str">
        <f t="shared" si="2"/>
        <v>1400003112-16439</v>
      </c>
      <c r="D247" s="2">
        <v>3.20084163E8</v>
      </c>
      <c r="E247" s="2">
        <v>1.400003112E9</v>
      </c>
      <c r="F247" s="2">
        <v>16439.0</v>
      </c>
      <c r="G247" s="2">
        <v>6.0</v>
      </c>
      <c r="H247" s="2">
        <v>397320.0</v>
      </c>
      <c r="I247" s="2">
        <v>1806000.0</v>
      </c>
      <c r="J247" s="2">
        <v>1.0</v>
      </c>
      <c r="K247" s="2">
        <v>7.0</v>
      </c>
      <c r="O247" s="2" t="s">
        <v>405</v>
      </c>
      <c r="P247" s="2" t="s">
        <v>166</v>
      </c>
      <c r="R247" s="2" t="s">
        <v>167</v>
      </c>
      <c r="S247" s="11">
        <v>42222.48363425926</v>
      </c>
    </row>
    <row r="248" ht="12.75" hidden="1" customHeight="1">
      <c r="A248" s="2" t="str">
        <f>IF(VLOOKUP(E248,Sheet4!$A$585:$B$786,2,0)=0,1, )</f>
        <v>1</v>
      </c>
      <c r="B248" s="2" t="str">
        <f t="shared" si="1"/>
        <v/>
      </c>
      <c r="C248" s="2" t="str">
        <f t="shared" si="2"/>
        <v>1400003112-16439</v>
      </c>
      <c r="D248" s="2">
        <v>3.20084162E8</v>
      </c>
      <c r="E248" s="2">
        <v>1.400003112E9</v>
      </c>
      <c r="F248" s="2">
        <v>16439.0</v>
      </c>
      <c r="G248" s="2">
        <v>6.0</v>
      </c>
      <c r="H248" s="2">
        <v>397320.0</v>
      </c>
      <c r="I248" s="2">
        <v>1806000.0</v>
      </c>
      <c r="J248" s="2">
        <v>1.0</v>
      </c>
      <c r="K248" s="2">
        <v>7.0</v>
      </c>
      <c r="O248" s="2" t="s">
        <v>405</v>
      </c>
      <c r="P248" s="2" t="s">
        <v>166</v>
      </c>
      <c r="R248" s="2" t="s">
        <v>167</v>
      </c>
      <c r="S248" s="11">
        <v>42222.48363425926</v>
      </c>
    </row>
    <row r="249" ht="12.75" hidden="1" customHeight="1">
      <c r="A249" s="2" t="str">
        <f>IF(VLOOKUP(E249,Sheet4!$A$585:$B$786,2,0)=0,1, )</f>
        <v>1</v>
      </c>
      <c r="B249" s="2" t="str">
        <f t="shared" si="1"/>
        <v>1</v>
      </c>
      <c r="C249" s="2" t="str">
        <f t="shared" si="2"/>
        <v>1400003112-16630</v>
      </c>
      <c r="D249" s="2">
        <v>3.20084152E8</v>
      </c>
      <c r="E249" s="2">
        <v>1.400003112E9</v>
      </c>
      <c r="F249" s="2">
        <v>16630.0</v>
      </c>
      <c r="G249" s="2">
        <v>5.0</v>
      </c>
      <c r="H249" s="2">
        <v>517000.0</v>
      </c>
      <c r="I249" s="2">
        <v>2350000.0</v>
      </c>
      <c r="J249" s="2">
        <v>1.0</v>
      </c>
      <c r="K249" s="2">
        <v>7.0</v>
      </c>
      <c r="O249" s="2" t="s">
        <v>407</v>
      </c>
      <c r="P249" s="2" t="s">
        <v>166</v>
      </c>
      <c r="R249" s="2" t="s">
        <v>167</v>
      </c>
      <c r="S249" s="11">
        <v>42222.48363425926</v>
      </c>
    </row>
    <row r="250" ht="12.75" hidden="1" customHeight="1">
      <c r="A250" s="2" t="str">
        <f>IF(VLOOKUP(E250,Sheet4!$A$585:$B$786,2,0)=0,1, )</f>
        <v>1</v>
      </c>
      <c r="B250" s="2" t="str">
        <f t="shared" si="1"/>
        <v>1</v>
      </c>
      <c r="C250" s="2" t="str">
        <f t="shared" si="2"/>
        <v>1400003112-16845</v>
      </c>
      <c r="D250" s="2">
        <v>3.20084169E8</v>
      </c>
      <c r="E250" s="2">
        <v>1.400003112E9</v>
      </c>
      <c r="F250" s="2">
        <v>16845.0</v>
      </c>
      <c r="G250" s="2">
        <v>1.0</v>
      </c>
      <c r="H250" s="2">
        <v>84700.0</v>
      </c>
      <c r="I250" s="2">
        <v>385000.0</v>
      </c>
      <c r="J250" s="2">
        <v>1.0</v>
      </c>
      <c r="K250" s="2">
        <v>7.0</v>
      </c>
      <c r="O250" s="2" t="s">
        <v>316</v>
      </c>
      <c r="P250" s="2" t="s">
        <v>166</v>
      </c>
      <c r="R250" s="2" t="s">
        <v>167</v>
      </c>
      <c r="S250" s="11">
        <v>42222.48364583333</v>
      </c>
    </row>
    <row r="251" ht="12.75" hidden="1" customHeight="1">
      <c r="A251" s="2" t="str">
        <f>IF(VLOOKUP(E251,Sheet4!$A$585:$B$786,2,0)=0,1, )</f>
        <v>1</v>
      </c>
      <c r="B251" s="2" t="str">
        <f t="shared" si="1"/>
        <v/>
      </c>
      <c r="C251" s="2" t="str">
        <f t="shared" si="2"/>
        <v>1400003112-16845</v>
      </c>
      <c r="D251" s="2">
        <v>3.20084168E8</v>
      </c>
      <c r="E251" s="2">
        <v>1.400003112E9</v>
      </c>
      <c r="F251" s="2">
        <v>16845.0</v>
      </c>
      <c r="G251" s="2">
        <v>1.0</v>
      </c>
      <c r="H251" s="2">
        <v>84700.0</v>
      </c>
      <c r="I251" s="2">
        <v>385000.0</v>
      </c>
      <c r="J251" s="2">
        <v>1.0</v>
      </c>
      <c r="K251" s="2">
        <v>7.0</v>
      </c>
      <c r="O251" s="2" t="s">
        <v>316</v>
      </c>
      <c r="P251" s="2" t="s">
        <v>166</v>
      </c>
      <c r="R251" s="2" t="s">
        <v>167</v>
      </c>
      <c r="S251" s="11">
        <v>42222.48364583333</v>
      </c>
    </row>
    <row r="252" ht="12.75" hidden="1" customHeight="1">
      <c r="A252" s="2" t="str">
        <f>IF(VLOOKUP(E252,Sheet4!$A$585:$B$786,2,0)=0,1, )</f>
        <v>1</v>
      </c>
      <c r="B252" s="2" t="str">
        <f t="shared" si="1"/>
        <v>1</v>
      </c>
      <c r="C252" s="2" t="str">
        <f t="shared" si="2"/>
        <v>1400003112-16855</v>
      </c>
      <c r="D252" s="2">
        <v>3.2008415E8</v>
      </c>
      <c r="E252" s="2">
        <v>1.400003112E9</v>
      </c>
      <c r="F252" s="2">
        <v>16855.0</v>
      </c>
      <c r="G252" s="2">
        <v>5.0</v>
      </c>
      <c r="H252" s="2">
        <v>618750.0</v>
      </c>
      <c r="I252" s="2">
        <v>2475000.0</v>
      </c>
      <c r="J252" s="2">
        <v>1.0</v>
      </c>
      <c r="K252" s="2">
        <v>7.0</v>
      </c>
      <c r="O252" s="2" t="s">
        <v>318</v>
      </c>
      <c r="P252" s="2" t="s">
        <v>166</v>
      </c>
      <c r="R252" s="2" t="s">
        <v>167</v>
      </c>
      <c r="S252" s="11">
        <v>42222.48363425926</v>
      </c>
    </row>
    <row r="253" ht="12.75" hidden="1" customHeight="1">
      <c r="A253" s="2" t="str">
        <f>IF(VLOOKUP(E253,Sheet4!$A$585:$B$786,2,0)=0,1, )</f>
        <v>1</v>
      </c>
      <c r="B253" s="2" t="str">
        <f t="shared" si="1"/>
        <v>1</v>
      </c>
      <c r="C253" s="2" t="str">
        <f t="shared" si="2"/>
        <v>1400003115-16349</v>
      </c>
      <c r="D253" s="2">
        <v>3.20084179E8</v>
      </c>
      <c r="E253" s="2">
        <v>1.400003115E9</v>
      </c>
      <c r="F253" s="2">
        <v>16349.0</v>
      </c>
      <c r="G253" s="2">
        <v>1.0</v>
      </c>
      <c r="H253" s="2">
        <v>124300.0</v>
      </c>
      <c r="I253" s="2">
        <v>565000.0</v>
      </c>
      <c r="J253" s="2">
        <v>1.0</v>
      </c>
      <c r="K253" s="2">
        <v>7.0</v>
      </c>
      <c r="O253" s="2" t="s">
        <v>411</v>
      </c>
      <c r="P253" s="2" t="s">
        <v>166</v>
      </c>
      <c r="R253" s="2" t="s">
        <v>167</v>
      </c>
      <c r="S253" s="11">
        <v>42222.490798611114</v>
      </c>
    </row>
    <row r="254" ht="12.75" hidden="1" customHeight="1">
      <c r="A254" s="2" t="str">
        <f>IF(VLOOKUP(E254,Sheet4!$A$585:$B$786,2,0)=0,1, )</f>
        <v>1</v>
      </c>
      <c r="B254" s="2" t="str">
        <f t="shared" si="1"/>
        <v/>
      </c>
      <c r="C254" s="2" t="str">
        <f t="shared" si="2"/>
        <v>1400003115-16349</v>
      </c>
      <c r="D254" s="2">
        <v>3.2008418E8</v>
      </c>
      <c r="E254" s="2">
        <v>1.400003115E9</v>
      </c>
      <c r="F254" s="2">
        <v>16349.0</v>
      </c>
      <c r="G254" s="2">
        <v>1.0</v>
      </c>
      <c r="H254" s="2">
        <v>124300.0</v>
      </c>
      <c r="I254" s="2">
        <v>565000.0</v>
      </c>
      <c r="J254" s="2">
        <v>1.0</v>
      </c>
      <c r="K254" s="2">
        <v>7.0</v>
      </c>
      <c r="O254" s="2" t="s">
        <v>411</v>
      </c>
      <c r="P254" s="2" t="s">
        <v>166</v>
      </c>
      <c r="R254" s="2" t="s">
        <v>167</v>
      </c>
      <c r="S254" s="11">
        <v>42222.490798611114</v>
      </c>
    </row>
    <row r="255" ht="12.75" hidden="1" customHeight="1">
      <c r="A255" s="2" t="str">
        <f>IF(VLOOKUP(E255,Sheet4!$A$585:$B$786,2,0)=0,1, )</f>
        <v>1</v>
      </c>
      <c r="B255" s="2" t="str">
        <f t="shared" si="1"/>
        <v>1</v>
      </c>
      <c r="C255" s="2" t="str">
        <f t="shared" si="2"/>
        <v>1400003115-16640</v>
      </c>
      <c r="D255" s="2">
        <v>3.20084178E8</v>
      </c>
      <c r="E255" s="2">
        <v>1.400003115E9</v>
      </c>
      <c r="F255" s="2">
        <v>16640.0</v>
      </c>
      <c r="G255" s="2">
        <v>2.0</v>
      </c>
      <c r="H255" s="2">
        <v>211200.0</v>
      </c>
      <c r="I255" s="2">
        <v>960000.0</v>
      </c>
      <c r="J255" s="2">
        <v>1.0</v>
      </c>
      <c r="K255" s="2">
        <v>7.0</v>
      </c>
      <c r="O255" s="2" t="s">
        <v>413</v>
      </c>
      <c r="P255" s="2" t="s">
        <v>166</v>
      </c>
      <c r="R255" s="2" t="s">
        <v>167</v>
      </c>
      <c r="S255" s="11">
        <v>42222.490798611114</v>
      </c>
    </row>
    <row r="256" ht="12.75" hidden="1" customHeight="1">
      <c r="A256" s="2" t="str">
        <f>IF(VLOOKUP(E256,Sheet4!$A$585:$B$786,2,0)=0,1, )</f>
        <v>1</v>
      </c>
      <c r="B256" s="2" t="str">
        <f t="shared" si="1"/>
        <v>1</v>
      </c>
      <c r="C256" s="2" t="str">
        <f t="shared" si="2"/>
        <v>1400003120-7269</v>
      </c>
      <c r="D256" s="2">
        <v>3.20084277E8</v>
      </c>
      <c r="E256" s="2">
        <v>1.40000312E9</v>
      </c>
      <c r="F256" s="2">
        <v>7269.0</v>
      </c>
      <c r="G256" s="2">
        <v>-5.0</v>
      </c>
      <c r="H256" s="2">
        <v>0.0</v>
      </c>
      <c r="I256" s="2">
        <v>-2090000.0</v>
      </c>
      <c r="J256" s="2">
        <v>1.0</v>
      </c>
      <c r="K256" s="2">
        <v>7.0</v>
      </c>
      <c r="O256" s="2" t="s">
        <v>369</v>
      </c>
      <c r="P256" s="2" t="s">
        <v>166</v>
      </c>
      <c r="R256" s="2" t="s">
        <v>167</v>
      </c>
      <c r="S256" s="11">
        <v>42222.51603009259</v>
      </c>
    </row>
    <row r="257" ht="12.75" hidden="1" customHeight="1">
      <c r="A257" s="2" t="str">
        <f>IF(VLOOKUP(E257,Sheet4!$A$585:$B$786,2,0)=0,1, )</f>
        <v>1</v>
      </c>
      <c r="B257" s="2" t="str">
        <f t="shared" si="1"/>
        <v>1</v>
      </c>
      <c r="C257" s="2" t="str">
        <f t="shared" si="2"/>
        <v>1400003120-16342</v>
      </c>
      <c r="D257" s="2">
        <v>3.20084278E8</v>
      </c>
      <c r="E257" s="2">
        <v>1.40000312E9</v>
      </c>
      <c r="F257" s="2">
        <v>16342.0</v>
      </c>
      <c r="G257" s="2">
        <v>-5.0</v>
      </c>
      <c r="H257" s="2">
        <v>0.0</v>
      </c>
      <c r="I257" s="2">
        <v>-1975000.0</v>
      </c>
      <c r="J257" s="2">
        <v>1.0</v>
      </c>
      <c r="K257" s="2">
        <v>7.0</v>
      </c>
      <c r="O257" s="2" t="s">
        <v>247</v>
      </c>
      <c r="P257" s="2" t="s">
        <v>166</v>
      </c>
      <c r="R257" s="2" t="s">
        <v>167</v>
      </c>
      <c r="S257" s="11">
        <v>42222.51603009259</v>
      </c>
    </row>
    <row r="258" ht="12.75" hidden="1" customHeight="1">
      <c r="A258" s="2" t="str">
        <f>IF(VLOOKUP(E258,Sheet4!$A$585:$B$786,2,0)=0,1, )</f>
        <v>1</v>
      </c>
      <c r="B258" s="2" t="str">
        <f t="shared" si="1"/>
        <v>1</v>
      </c>
      <c r="C258" s="2" t="str">
        <f t="shared" si="2"/>
        <v>1400003120-16867</v>
      </c>
      <c r="D258" s="2">
        <v>3.2008428E8</v>
      </c>
      <c r="E258" s="2">
        <v>1.40000312E9</v>
      </c>
      <c r="F258" s="2">
        <v>16867.0</v>
      </c>
      <c r="G258" s="2">
        <v>-1.0</v>
      </c>
      <c r="H258" s="2">
        <v>0.0</v>
      </c>
      <c r="I258" s="2">
        <v>-495000.0</v>
      </c>
      <c r="J258" s="2">
        <v>1.0</v>
      </c>
      <c r="K258" s="2">
        <v>7.0</v>
      </c>
      <c r="O258" s="2" t="s">
        <v>318</v>
      </c>
      <c r="P258" s="2" t="s">
        <v>166</v>
      </c>
      <c r="R258" s="2" t="s">
        <v>167</v>
      </c>
      <c r="S258" s="11">
        <v>42222.51603009259</v>
      </c>
    </row>
    <row r="259" ht="12.75" hidden="1" customHeight="1">
      <c r="A259" s="2" t="str">
        <f>IF(VLOOKUP(E259,Sheet4!$A$585:$B$786,2,0)=0,1, )</f>
        <v>1</v>
      </c>
      <c r="B259" s="2" t="str">
        <f t="shared" si="1"/>
        <v/>
      </c>
      <c r="C259" s="2" t="str">
        <f t="shared" si="2"/>
        <v>1400003120-16867</v>
      </c>
      <c r="D259" s="2">
        <v>3.20084279E8</v>
      </c>
      <c r="E259" s="2">
        <v>1.40000312E9</v>
      </c>
      <c r="F259" s="2">
        <v>16867.0</v>
      </c>
      <c r="G259" s="2">
        <v>-1.0</v>
      </c>
      <c r="H259" s="2">
        <v>0.0</v>
      </c>
      <c r="I259" s="2">
        <v>-495000.0</v>
      </c>
      <c r="J259" s="2">
        <v>1.0</v>
      </c>
      <c r="K259" s="2">
        <v>7.0</v>
      </c>
      <c r="O259" s="2" t="s">
        <v>318</v>
      </c>
      <c r="P259" s="2" t="s">
        <v>166</v>
      </c>
      <c r="R259" s="2" t="s">
        <v>167</v>
      </c>
      <c r="S259" s="11">
        <v>42222.51603009259</v>
      </c>
    </row>
    <row r="260" ht="12.75" hidden="1" customHeight="1">
      <c r="A260" s="2" t="str">
        <f>IF(VLOOKUP(E260,Sheet4!$A$585:$B$786,2,0)=0,1, )</f>
        <v>1</v>
      </c>
      <c r="B260" s="2" t="str">
        <f t="shared" si="1"/>
        <v>1</v>
      </c>
      <c r="C260" s="2" t="str">
        <f t="shared" si="2"/>
        <v>1400003123-11923</v>
      </c>
      <c r="D260" s="2">
        <v>3.200844E8</v>
      </c>
      <c r="E260" s="2">
        <v>1.400003123E9</v>
      </c>
      <c r="F260" s="2">
        <v>11923.0</v>
      </c>
      <c r="G260" s="2">
        <v>1.0</v>
      </c>
      <c r="H260" s="2">
        <v>64460.0</v>
      </c>
      <c r="I260" s="2">
        <v>293000.0</v>
      </c>
      <c r="J260" s="2">
        <v>1.0</v>
      </c>
      <c r="K260" s="2">
        <v>7.0</v>
      </c>
      <c r="O260" s="2" t="s">
        <v>227</v>
      </c>
      <c r="P260" s="2" t="s">
        <v>166</v>
      </c>
      <c r="R260" s="2" t="s">
        <v>167</v>
      </c>
      <c r="S260" s="11">
        <v>42222.565717592595</v>
      </c>
    </row>
    <row r="261" ht="12.75" hidden="1" customHeight="1">
      <c r="A261" s="2" t="str">
        <f>IF(VLOOKUP(E261,Sheet4!$A$585:$B$786,2,0)=0,1, )</f>
        <v>1</v>
      </c>
      <c r="B261" s="2" t="str">
        <f t="shared" si="1"/>
        <v/>
      </c>
      <c r="C261" s="2" t="str">
        <f t="shared" si="2"/>
        <v>1400003123-11923</v>
      </c>
      <c r="D261" s="2">
        <v>3.20084401E8</v>
      </c>
      <c r="E261" s="2">
        <v>1.400003123E9</v>
      </c>
      <c r="F261" s="2">
        <v>11923.0</v>
      </c>
      <c r="G261" s="2">
        <v>1.0</v>
      </c>
      <c r="H261" s="2">
        <v>64460.0</v>
      </c>
      <c r="I261" s="2">
        <v>293000.0</v>
      </c>
      <c r="J261" s="2">
        <v>1.0</v>
      </c>
      <c r="K261" s="2">
        <v>7.0</v>
      </c>
      <c r="O261" s="2" t="s">
        <v>227</v>
      </c>
      <c r="P261" s="2" t="s">
        <v>166</v>
      </c>
      <c r="R261" s="2" t="s">
        <v>167</v>
      </c>
      <c r="S261" s="11">
        <v>42222.565717592595</v>
      </c>
    </row>
    <row r="262" ht="12.75" hidden="1" customHeight="1">
      <c r="A262" s="2" t="str">
        <f>IF(VLOOKUP(E262,Sheet4!$A$585:$B$786,2,0)=0,1, )</f>
        <v>1</v>
      </c>
      <c r="B262" s="2" t="str">
        <f t="shared" si="1"/>
        <v>1</v>
      </c>
      <c r="C262" s="2" t="str">
        <f t="shared" si="2"/>
        <v>1400003123-11935</v>
      </c>
      <c r="D262" s="2">
        <v>3.20084398E8</v>
      </c>
      <c r="E262" s="2">
        <v>1.400003123E9</v>
      </c>
      <c r="F262" s="2">
        <v>11935.0</v>
      </c>
      <c r="G262" s="2">
        <v>1.0</v>
      </c>
      <c r="H262" s="2">
        <v>64460.0</v>
      </c>
      <c r="I262" s="2">
        <v>293000.0</v>
      </c>
      <c r="J262" s="2">
        <v>1.0</v>
      </c>
      <c r="K262" s="2">
        <v>7.0</v>
      </c>
      <c r="O262" s="2" t="s">
        <v>419</v>
      </c>
      <c r="P262" s="2" t="s">
        <v>166</v>
      </c>
      <c r="R262" s="2" t="s">
        <v>167</v>
      </c>
      <c r="S262" s="11">
        <v>42222.565717592595</v>
      </c>
    </row>
    <row r="263" ht="12.75" hidden="1" customHeight="1">
      <c r="A263" s="2" t="str">
        <f>IF(VLOOKUP(E263,Sheet4!$A$585:$B$786,2,0)=0,1, )</f>
        <v>1</v>
      </c>
      <c r="B263" s="2" t="str">
        <f t="shared" si="1"/>
        <v/>
      </c>
      <c r="C263" s="2" t="str">
        <f t="shared" si="2"/>
        <v>1400003123-11935</v>
      </c>
      <c r="D263" s="2">
        <v>3.20084399E8</v>
      </c>
      <c r="E263" s="2">
        <v>1.400003123E9</v>
      </c>
      <c r="F263" s="2">
        <v>11935.0</v>
      </c>
      <c r="G263" s="2">
        <v>1.0</v>
      </c>
      <c r="H263" s="2">
        <v>64460.0</v>
      </c>
      <c r="I263" s="2">
        <v>293000.0</v>
      </c>
      <c r="J263" s="2">
        <v>1.0</v>
      </c>
      <c r="K263" s="2">
        <v>7.0</v>
      </c>
      <c r="O263" s="2" t="s">
        <v>419</v>
      </c>
      <c r="P263" s="2" t="s">
        <v>166</v>
      </c>
      <c r="R263" s="2" t="s">
        <v>167</v>
      </c>
      <c r="S263" s="11">
        <v>42222.565717592595</v>
      </c>
    </row>
    <row r="264" ht="12.75" hidden="1" customHeight="1">
      <c r="A264" s="2" t="str">
        <f>IF(VLOOKUP(E264,Sheet4!$A$585:$B$786,2,0)=0,1, )</f>
        <v>1</v>
      </c>
      <c r="B264" s="2" t="str">
        <f t="shared" si="1"/>
        <v>1</v>
      </c>
      <c r="C264" s="2" t="str">
        <f t="shared" si="2"/>
        <v>1400003123-16237</v>
      </c>
      <c r="D264" s="2">
        <v>3.20084404E8</v>
      </c>
      <c r="E264" s="2">
        <v>1.400003123E9</v>
      </c>
      <c r="F264" s="2">
        <v>16237.0</v>
      </c>
      <c r="G264" s="2">
        <v>1.0</v>
      </c>
      <c r="H264" s="2">
        <v>64460.0</v>
      </c>
      <c r="I264" s="2">
        <v>293000.0</v>
      </c>
      <c r="J264" s="2">
        <v>1.0</v>
      </c>
      <c r="K264" s="2">
        <v>7.0</v>
      </c>
      <c r="O264" s="2" t="s">
        <v>245</v>
      </c>
      <c r="P264" s="2" t="s">
        <v>166</v>
      </c>
      <c r="R264" s="2" t="s">
        <v>167</v>
      </c>
      <c r="S264" s="11">
        <v>42222.565717592595</v>
      </c>
    </row>
    <row r="265" ht="12.75" hidden="1" customHeight="1">
      <c r="A265" s="2" t="str">
        <f>IF(VLOOKUP(E265,Sheet4!$A$585:$B$786,2,0)=0,1, )</f>
        <v>1</v>
      </c>
      <c r="B265" s="2" t="str">
        <f t="shared" si="1"/>
        <v/>
      </c>
      <c r="C265" s="2" t="str">
        <f t="shared" si="2"/>
        <v>1400003123-16237</v>
      </c>
      <c r="D265" s="2">
        <v>3.20084405E8</v>
      </c>
      <c r="E265" s="2">
        <v>1.400003123E9</v>
      </c>
      <c r="F265" s="2">
        <v>16237.0</v>
      </c>
      <c r="G265" s="2">
        <v>1.0</v>
      </c>
      <c r="H265" s="2">
        <v>64460.0</v>
      </c>
      <c r="I265" s="2">
        <v>293000.0</v>
      </c>
      <c r="J265" s="2">
        <v>1.0</v>
      </c>
      <c r="K265" s="2">
        <v>7.0</v>
      </c>
      <c r="O265" s="2" t="s">
        <v>245</v>
      </c>
      <c r="P265" s="2" t="s">
        <v>166</v>
      </c>
      <c r="R265" s="2" t="s">
        <v>167</v>
      </c>
      <c r="S265" s="11">
        <v>42222.565717592595</v>
      </c>
    </row>
    <row r="266" ht="12.75" hidden="1" customHeight="1">
      <c r="A266" s="2" t="str">
        <f>IF(VLOOKUP(E266,Sheet4!$A$585:$B$786,2,0)=0,1, )</f>
        <v>1</v>
      </c>
      <c r="B266" s="2" t="str">
        <f t="shared" si="1"/>
        <v>1</v>
      </c>
      <c r="C266" s="2" t="str">
        <f t="shared" si="2"/>
        <v>1400003123-16238</v>
      </c>
      <c r="D266" s="2">
        <v>3.20084403E8</v>
      </c>
      <c r="E266" s="2">
        <v>1.400003123E9</v>
      </c>
      <c r="F266" s="2">
        <v>16238.0</v>
      </c>
      <c r="G266" s="2">
        <v>1.0</v>
      </c>
      <c r="H266" s="2">
        <v>80300.0</v>
      </c>
      <c r="I266" s="2">
        <v>365000.0</v>
      </c>
      <c r="J266" s="2">
        <v>1.0</v>
      </c>
      <c r="K266" s="2">
        <v>7.0</v>
      </c>
      <c r="O266" s="2" t="s">
        <v>422</v>
      </c>
      <c r="P266" s="2" t="s">
        <v>166</v>
      </c>
      <c r="R266" s="2" t="s">
        <v>167</v>
      </c>
      <c r="S266" s="11">
        <v>42222.565717592595</v>
      </c>
    </row>
    <row r="267" ht="12.75" hidden="1" customHeight="1">
      <c r="A267" s="2" t="str">
        <f>IF(VLOOKUP(E267,Sheet4!$A$585:$B$786,2,0)=0,1, )</f>
        <v>1</v>
      </c>
      <c r="B267" s="2" t="str">
        <f t="shared" si="1"/>
        <v/>
      </c>
      <c r="C267" s="2" t="str">
        <f t="shared" si="2"/>
        <v>1400003123-16238</v>
      </c>
      <c r="D267" s="2">
        <v>3.20084402E8</v>
      </c>
      <c r="E267" s="2">
        <v>1.400003123E9</v>
      </c>
      <c r="F267" s="2">
        <v>16238.0</v>
      </c>
      <c r="G267" s="2">
        <v>1.0</v>
      </c>
      <c r="H267" s="2">
        <v>80300.0</v>
      </c>
      <c r="I267" s="2">
        <v>365000.0</v>
      </c>
      <c r="J267" s="2">
        <v>1.0</v>
      </c>
      <c r="K267" s="2">
        <v>7.0</v>
      </c>
      <c r="O267" s="2" t="s">
        <v>422</v>
      </c>
      <c r="P267" s="2" t="s">
        <v>166</v>
      </c>
      <c r="R267" s="2" t="s">
        <v>167</v>
      </c>
      <c r="S267" s="11">
        <v>42222.565717592595</v>
      </c>
    </row>
    <row r="268" ht="12.75" hidden="1" customHeight="1">
      <c r="A268" s="2" t="str">
        <f>IF(VLOOKUP(E268,Sheet4!$A$585:$B$786,2,0)=0,1, )</f>
        <v>1</v>
      </c>
      <c r="B268" s="2" t="str">
        <f t="shared" si="1"/>
        <v>1</v>
      </c>
      <c r="C268" s="2" t="str">
        <f t="shared" si="2"/>
        <v>1400003132-14060</v>
      </c>
      <c r="D268" s="2">
        <v>3.20084733E8</v>
      </c>
      <c r="E268" s="2">
        <v>1.400003132E9</v>
      </c>
      <c r="F268" s="2">
        <v>14060.0</v>
      </c>
      <c r="G268" s="2">
        <v>8.0</v>
      </c>
      <c r="H268" s="2">
        <v>890000.0</v>
      </c>
      <c r="I268" s="2">
        <v>3560000.0</v>
      </c>
      <c r="J268" s="2">
        <v>1.0</v>
      </c>
      <c r="K268" s="2">
        <v>7.0</v>
      </c>
      <c r="O268" s="2" t="s">
        <v>424</v>
      </c>
      <c r="P268" s="2" t="s">
        <v>166</v>
      </c>
      <c r="R268" s="2" t="s">
        <v>167</v>
      </c>
      <c r="S268" s="11">
        <v>42222.72048611111</v>
      </c>
    </row>
    <row r="269" ht="12.75" hidden="1" customHeight="1">
      <c r="A269" s="2" t="str">
        <f>IF(VLOOKUP(E269,Sheet4!$A$585:$B$786,2,0)=0,1, )</f>
        <v>1</v>
      </c>
      <c r="B269" s="2" t="str">
        <f t="shared" si="1"/>
        <v/>
      </c>
      <c r="C269" s="2" t="str">
        <f t="shared" si="2"/>
        <v>1400003132-14060</v>
      </c>
      <c r="D269" s="2">
        <v>3.20084734E8</v>
      </c>
      <c r="E269" s="2">
        <v>1.400003132E9</v>
      </c>
      <c r="F269" s="2">
        <v>14060.0</v>
      </c>
      <c r="G269" s="2">
        <v>8.0</v>
      </c>
      <c r="H269" s="2">
        <v>890000.0</v>
      </c>
      <c r="I269" s="2">
        <v>3560000.0</v>
      </c>
      <c r="J269" s="2">
        <v>1.0</v>
      </c>
      <c r="K269" s="2">
        <v>7.0</v>
      </c>
      <c r="O269" s="2" t="s">
        <v>424</v>
      </c>
      <c r="P269" s="2" t="s">
        <v>166</v>
      </c>
      <c r="R269" s="2" t="s">
        <v>167</v>
      </c>
      <c r="S269" s="11">
        <v>42222.72048611111</v>
      </c>
    </row>
    <row r="270" ht="12.75" hidden="1" customHeight="1">
      <c r="A270" s="2" t="str">
        <f>IF(VLOOKUP(E270,Sheet4!$A$585:$B$786,2,0)=0,1, )</f>
        <v>1</v>
      </c>
      <c r="B270" s="2" t="str">
        <f t="shared" si="1"/>
        <v>1</v>
      </c>
      <c r="C270" s="2" t="str">
        <f t="shared" si="2"/>
        <v>1400003132-14916</v>
      </c>
      <c r="D270" s="2">
        <v>3.20084731E8</v>
      </c>
      <c r="E270" s="2">
        <v>1.400003132E9</v>
      </c>
      <c r="F270" s="2">
        <v>14916.0</v>
      </c>
      <c r="G270" s="2">
        <v>2.0</v>
      </c>
      <c r="H270" s="2">
        <v>160600.0</v>
      </c>
      <c r="I270" s="2">
        <v>730000.0</v>
      </c>
      <c r="J270" s="2">
        <v>1.0</v>
      </c>
      <c r="K270" s="2">
        <v>7.0</v>
      </c>
      <c r="O270" s="2" t="s">
        <v>422</v>
      </c>
      <c r="P270" s="2" t="s">
        <v>166</v>
      </c>
      <c r="R270" s="2" t="s">
        <v>167</v>
      </c>
      <c r="S270" s="11">
        <v>42222.72048611111</v>
      </c>
    </row>
    <row r="271" ht="12.75" hidden="1" customHeight="1">
      <c r="A271" s="2" t="str">
        <f>IF(VLOOKUP(E271,Sheet4!$A$585:$B$786,2,0)=0,1, )</f>
        <v>1</v>
      </c>
      <c r="B271" s="2" t="str">
        <f t="shared" si="1"/>
        <v/>
      </c>
      <c r="C271" s="2" t="str">
        <f t="shared" si="2"/>
        <v>1400003132-14916</v>
      </c>
      <c r="D271" s="2">
        <v>3.20084732E8</v>
      </c>
      <c r="E271" s="2">
        <v>1.400003132E9</v>
      </c>
      <c r="F271" s="2">
        <v>14916.0</v>
      </c>
      <c r="G271" s="2">
        <v>2.0</v>
      </c>
      <c r="H271" s="2">
        <v>160600.0</v>
      </c>
      <c r="I271" s="2">
        <v>730000.0</v>
      </c>
      <c r="J271" s="2">
        <v>1.0</v>
      </c>
      <c r="K271" s="2">
        <v>7.0</v>
      </c>
      <c r="O271" s="2" t="s">
        <v>422</v>
      </c>
      <c r="P271" s="2" t="s">
        <v>166</v>
      </c>
      <c r="R271" s="2" t="s">
        <v>167</v>
      </c>
      <c r="S271" s="11">
        <v>42222.72048611111</v>
      </c>
    </row>
    <row r="272" ht="12.75" hidden="1" customHeight="1">
      <c r="A272" s="2" t="str">
        <f>IF(VLOOKUP(E272,Sheet4!$A$585:$B$786,2,0)=0,1, )</f>
        <v>1</v>
      </c>
      <c r="B272" s="2" t="str">
        <f t="shared" si="1"/>
        <v>1</v>
      </c>
      <c r="C272" s="2" t="str">
        <f t="shared" si="2"/>
        <v>1400003132-16336</v>
      </c>
      <c r="D272" s="2">
        <v>3.20084729E8</v>
      </c>
      <c r="E272" s="2">
        <v>1.400003132E9</v>
      </c>
      <c r="F272" s="2">
        <v>16336.0</v>
      </c>
      <c r="G272" s="2">
        <v>3.0</v>
      </c>
      <c r="H272" s="2">
        <v>564570.0</v>
      </c>
      <c r="I272" s="2">
        <v>2091000.0</v>
      </c>
      <c r="J272" s="2">
        <v>1.0</v>
      </c>
      <c r="K272" s="2">
        <v>7.0</v>
      </c>
      <c r="O272" s="2" t="s">
        <v>427</v>
      </c>
      <c r="P272" s="2" t="s">
        <v>166</v>
      </c>
      <c r="R272" s="2" t="s">
        <v>167</v>
      </c>
      <c r="S272" s="11">
        <v>42222.72048611111</v>
      </c>
    </row>
    <row r="273" ht="12.75" hidden="1" customHeight="1">
      <c r="A273" s="2" t="str">
        <f>IF(VLOOKUP(E273,Sheet4!$A$585:$B$786,2,0)=0,1, )</f>
        <v>1</v>
      </c>
      <c r="B273" s="2" t="str">
        <f t="shared" si="1"/>
        <v/>
      </c>
      <c r="C273" s="2" t="str">
        <f t="shared" si="2"/>
        <v>1400003132-16336</v>
      </c>
      <c r="D273" s="2">
        <v>3.2008473E8</v>
      </c>
      <c r="E273" s="2">
        <v>1.400003132E9</v>
      </c>
      <c r="F273" s="2">
        <v>16336.0</v>
      </c>
      <c r="G273" s="2">
        <v>3.0</v>
      </c>
      <c r="H273" s="2">
        <v>564570.0</v>
      </c>
      <c r="I273" s="2">
        <v>2091000.0</v>
      </c>
      <c r="J273" s="2">
        <v>1.0</v>
      </c>
      <c r="K273" s="2">
        <v>7.0</v>
      </c>
      <c r="O273" s="2" t="s">
        <v>427</v>
      </c>
      <c r="P273" s="2" t="s">
        <v>166</v>
      </c>
      <c r="R273" s="2" t="s">
        <v>167</v>
      </c>
      <c r="S273" s="11">
        <v>42222.72048611111</v>
      </c>
    </row>
    <row r="274" ht="12.75" hidden="1" customHeight="1">
      <c r="A274" s="2" t="str">
        <f>IF(VLOOKUP(E274,Sheet4!$A$585:$B$786,2,0)=0,1, )</f>
        <v>1</v>
      </c>
      <c r="B274" s="2" t="str">
        <f t="shared" si="1"/>
        <v>1</v>
      </c>
      <c r="C274" s="2" t="str">
        <f t="shared" si="2"/>
        <v>1400003132-16340</v>
      </c>
      <c r="D274" s="2">
        <v>3.20084728E8</v>
      </c>
      <c r="E274" s="2">
        <v>1.400003132E9</v>
      </c>
      <c r="F274" s="2">
        <v>16340.0</v>
      </c>
      <c r="G274" s="2">
        <v>5.0</v>
      </c>
      <c r="H274" s="2">
        <v>762750.0</v>
      </c>
      <c r="I274" s="2">
        <v>2825000.0</v>
      </c>
      <c r="J274" s="2">
        <v>1.0</v>
      </c>
      <c r="K274" s="2">
        <v>7.0</v>
      </c>
      <c r="O274" s="2" t="s">
        <v>429</v>
      </c>
      <c r="P274" s="2" t="s">
        <v>166</v>
      </c>
      <c r="R274" s="2" t="s">
        <v>167</v>
      </c>
      <c r="S274" s="11">
        <v>42222.72048611111</v>
      </c>
    </row>
    <row r="275" ht="12.75" hidden="1" customHeight="1">
      <c r="A275" s="2" t="str">
        <f>IF(VLOOKUP(E275,Sheet4!$A$585:$B$786,2,0)=0,1, )</f>
        <v>1</v>
      </c>
      <c r="B275" s="2" t="str">
        <f t="shared" si="1"/>
        <v/>
      </c>
      <c r="C275" s="2" t="str">
        <f t="shared" si="2"/>
        <v>1400003132-16340</v>
      </c>
      <c r="D275" s="2">
        <v>3.20084727E8</v>
      </c>
      <c r="E275" s="2">
        <v>1.400003132E9</v>
      </c>
      <c r="F275" s="2">
        <v>16340.0</v>
      </c>
      <c r="G275" s="2">
        <v>5.0</v>
      </c>
      <c r="H275" s="2">
        <v>762750.0</v>
      </c>
      <c r="I275" s="2">
        <v>2825000.0</v>
      </c>
      <c r="J275" s="2">
        <v>1.0</v>
      </c>
      <c r="K275" s="2">
        <v>7.0</v>
      </c>
      <c r="O275" s="2" t="s">
        <v>429</v>
      </c>
      <c r="P275" s="2" t="s">
        <v>166</v>
      </c>
      <c r="R275" s="2" t="s">
        <v>167</v>
      </c>
      <c r="S275" s="11">
        <v>42222.72048611111</v>
      </c>
    </row>
    <row r="276" ht="12.75" hidden="1" customHeight="1">
      <c r="A276" s="2" t="str">
        <f>IF(VLOOKUP(E276,Sheet4!$A$585:$B$786,2,0)=0,1, )</f>
        <v>1</v>
      </c>
      <c r="B276" s="2" t="str">
        <f t="shared" si="1"/>
        <v>1</v>
      </c>
      <c r="C276" s="2" t="str">
        <f t="shared" si="2"/>
        <v>1400003132-16779</v>
      </c>
      <c r="D276" s="2">
        <v>3.20084724E8</v>
      </c>
      <c r="E276" s="2">
        <v>1.400003132E9</v>
      </c>
      <c r="F276" s="2">
        <v>16779.0</v>
      </c>
      <c r="G276" s="2">
        <v>5.0</v>
      </c>
      <c r="H276" s="2">
        <v>531250.0</v>
      </c>
      <c r="I276" s="2">
        <v>2125000.0</v>
      </c>
      <c r="J276" s="2">
        <v>1.0</v>
      </c>
      <c r="K276" s="2">
        <v>7.0</v>
      </c>
      <c r="O276" s="2" t="s">
        <v>217</v>
      </c>
      <c r="P276" s="2" t="s">
        <v>166</v>
      </c>
      <c r="R276" s="2" t="s">
        <v>167</v>
      </c>
      <c r="S276" s="11">
        <v>42222.72048611111</v>
      </c>
    </row>
    <row r="277" ht="12.75" hidden="1" customHeight="1">
      <c r="A277" s="2" t="str">
        <f>IF(VLOOKUP(E277,Sheet4!$A$585:$B$786,2,0)=0,1, )</f>
        <v>1</v>
      </c>
      <c r="B277" s="2" t="str">
        <f t="shared" si="1"/>
        <v/>
      </c>
      <c r="C277" s="2" t="str">
        <f t="shared" si="2"/>
        <v>1400003132-16779</v>
      </c>
      <c r="D277" s="2">
        <v>3.20084723E8</v>
      </c>
      <c r="E277" s="2">
        <v>1.400003132E9</v>
      </c>
      <c r="F277" s="2">
        <v>16779.0</v>
      </c>
      <c r="G277" s="2">
        <v>5.0</v>
      </c>
      <c r="H277" s="2">
        <v>531250.0</v>
      </c>
      <c r="I277" s="2">
        <v>2125000.0</v>
      </c>
      <c r="J277" s="2">
        <v>1.0</v>
      </c>
      <c r="K277" s="2">
        <v>7.0</v>
      </c>
      <c r="O277" s="2" t="s">
        <v>217</v>
      </c>
      <c r="P277" s="2" t="s">
        <v>166</v>
      </c>
      <c r="R277" s="2" t="s">
        <v>167</v>
      </c>
      <c r="S277" s="11">
        <v>42222.72048611111</v>
      </c>
    </row>
    <row r="278" ht="12.75" hidden="1" customHeight="1">
      <c r="A278" s="2" t="str">
        <f>IF(VLOOKUP(E278,Sheet4!$A$585:$B$786,2,0)=0,1, )</f>
        <v>1</v>
      </c>
      <c r="B278" s="2" t="str">
        <f t="shared" si="1"/>
        <v>1</v>
      </c>
      <c r="C278" s="2" t="str">
        <f t="shared" si="2"/>
        <v>1400003132-16800</v>
      </c>
      <c r="D278" s="2">
        <v>3.20084726E8</v>
      </c>
      <c r="E278" s="2">
        <v>1.400003132E9</v>
      </c>
      <c r="F278" s="2">
        <v>16800.0</v>
      </c>
      <c r="G278" s="2">
        <v>5.0</v>
      </c>
      <c r="H278" s="2">
        <v>737500.0</v>
      </c>
      <c r="I278" s="2">
        <v>2950000.0</v>
      </c>
      <c r="J278" s="2">
        <v>1.0</v>
      </c>
      <c r="K278" s="2">
        <v>7.0</v>
      </c>
      <c r="O278" s="2" t="s">
        <v>309</v>
      </c>
      <c r="P278" s="2" t="s">
        <v>166</v>
      </c>
      <c r="R278" s="2" t="s">
        <v>167</v>
      </c>
      <c r="S278" s="11">
        <v>42222.72048611111</v>
      </c>
    </row>
    <row r="279" ht="12.75" hidden="1" customHeight="1">
      <c r="A279" s="2" t="str">
        <f>IF(VLOOKUP(E279,Sheet4!$A$585:$B$786,2,0)=0,1, )</f>
        <v>1</v>
      </c>
      <c r="B279" s="2" t="str">
        <f t="shared" si="1"/>
        <v/>
      </c>
      <c r="C279" s="2" t="str">
        <f t="shared" si="2"/>
        <v>1400003132-16800</v>
      </c>
      <c r="D279" s="2">
        <v>3.20084725E8</v>
      </c>
      <c r="E279" s="2">
        <v>1.400003132E9</v>
      </c>
      <c r="F279" s="2">
        <v>16800.0</v>
      </c>
      <c r="G279" s="2">
        <v>5.0</v>
      </c>
      <c r="H279" s="2">
        <v>737500.0</v>
      </c>
      <c r="I279" s="2">
        <v>2950000.0</v>
      </c>
      <c r="J279" s="2">
        <v>1.0</v>
      </c>
      <c r="K279" s="2">
        <v>7.0</v>
      </c>
      <c r="O279" s="2" t="s">
        <v>309</v>
      </c>
      <c r="P279" s="2" t="s">
        <v>166</v>
      </c>
      <c r="R279" s="2" t="s">
        <v>167</v>
      </c>
      <c r="S279" s="11">
        <v>42222.72048611111</v>
      </c>
    </row>
    <row r="280" ht="12.75" hidden="1" customHeight="1">
      <c r="A280" s="2" t="str">
        <f>IF(VLOOKUP(E280,Sheet4!$A$585:$B$786,2,0)=0,1, )</f>
        <v/>
      </c>
      <c r="B280" s="2" t="str">
        <f t="shared" si="1"/>
        <v>1</v>
      </c>
      <c r="C280" s="2" t="str">
        <f t="shared" si="2"/>
        <v>2000003462-14814</v>
      </c>
      <c r="D280" s="2">
        <v>3.20040256E8</v>
      </c>
      <c r="E280" s="2">
        <v>2.000003462E9</v>
      </c>
      <c r="F280" s="2">
        <v>14814.0</v>
      </c>
      <c r="G280" s="2">
        <v>2.0</v>
      </c>
      <c r="H280" s="2">
        <v>0.0</v>
      </c>
      <c r="I280" s="2">
        <v>490000.0</v>
      </c>
      <c r="J280" s="2">
        <v>1.0</v>
      </c>
      <c r="K280" s="2">
        <v>7.0</v>
      </c>
      <c r="O280" s="2" t="s">
        <v>433</v>
      </c>
      <c r="P280" s="2" t="s">
        <v>166</v>
      </c>
      <c r="R280" s="2" t="s">
        <v>434</v>
      </c>
      <c r="S280" s="11">
        <v>42177.603101851855</v>
      </c>
    </row>
    <row r="281" ht="12.75" hidden="1" customHeight="1">
      <c r="A281" s="2" t="str">
        <f>IF(VLOOKUP(E281,Sheet4!$A$585:$B$786,2,0)=0,1, )</f>
        <v/>
      </c>
      <c r="B281" s="2" t="str">
        <f t="shared" si="1"/>
        <v>1</v>
      </c>
      <c r="C281" s="2" t="str">
        <f t="shared" si="2"/>
        <v>2000003473-7004</v>
      </c>
      <c r="D281" s="2">
        <v>3.2004052E8</v>
      </c>
      <c r="E281" s="2">
        <v>2.000003473E9</v>
      </c>
      <c r="F281" s="2">
        <v>7004.0</v>
      </c>
      <c r="G281" s="2">
        <v>1.0</v>
      </c>
      <c r="H281" s="2">
        <v>0.0</v>
      </c>
      <c r="I281" s="2">
        <v>335000.0</v>
      </c>
      <c r="J281" s="2">
        <v>1.0</v>
      </c>
      <c r="K281" s="2">
        <v>7.0</v>
      </c>
      <c r="O281" s="2" t="s">
        <v>436</v>
      </c>
      <c r="P281" s="2" t="s">
        <v>166</v>
      </c>
      <c r="R281" s="2" t="s">
        <v>434</v>
      </c>
      <c r="S281" s="11">
        <v>42177.756886574076</v>
      </c>
    </row>
    <row r="282" ht="12.75" hidden="1" customHeight="1">
      <c r="A282" s="2" t="str">
        <f>IF(VLOOKUP(E282,Sheet4!$A$585:$B$786,2,0)=0,1, )</f>
        <v/>
      </c>
      <c r="B282" s="2" t="str">
        <f t="shared" si="1"/>
        <v>1</v>
      </c>
      <c r="C282" s="2" t="str">
        <f t="shared" si="2"/>
        <v>2000003473-14047</v>
      </c>
      <c r="D282" s="2">
        <v>3.20040521E8</v>
      </c>
      <c r="E282" s="2">
        <v>2.000003473E9</v>
      </c>
      <c r="F282" s="2">
        <v>14047.0</v>
      </c>
      <c r="G282" s="2">
        <v>1.0</v>
      </c>
      <c r="H282" s="2">
        <v>0.0</v>
      </c>
      <c r="I282" s="2">
        <v>470000.0</v>
      </c>
      <c r="J282" s="2">
        <v>1.0</v>
      </c>
      <c r="K282" s="2">
        <v>7.0</v>
      </c>
      <c r="O282" s="2" t="s">
        <v>438</v>
      </c>
      <c r="P282" s="2" t="s">
        <v>166</v>
      </c>
      <c r="R282" s="2" t="s">
        <v>434</v>
      </c>
      <c r="S282" s="11">
        <v>42177.756886574076</v>
      </c>
    </row>
    <row r="283" ht="12.75" hidden="1" customHeight="1">
      <c r="A283" s="2" t="str">
        <f>IF(VLOOKUP(E283,Sheet4!$A$585:$B$786,2,0)=0,1, )</f>
        <v/>
      </c>
      <c r="B283" s="2" t="str">
        <f t="shared" si="1"/>
        <v>1</v>
      </c>
      <c r="C283" s="2" t="str">
        <f t="shared" si="2"/>
        <v>2000003473-14212</v>
      </c>
      <c r="D283" s="2">
        <v>3.20040522E8</v>
      </c>
      <c r="E283" s="2">
        <v>2.000003473E9</v>
      </c>
      <c r="F283" s="2">
        <v>14212.0</v>
      </c>
      <c r="G283" s="2">
        <v>1.0</v>
      </c>
      <c r="H283" s="2">
        <v>0.0</v>
      </c>
      <c r="I283" s="2">
        <v>85000.0</v>
      </c>
      <c r="J283" s="2">
        <v>1.0</v>
      </c>
      <c r="K283" s="2">
        <v>7.0</v>
      </c>
      <c r="O283" s="2" t="s">
        <v>440</v>
      </c>
      <c r="P283" s="2" t="s">
        <v>166</v>
      </c>
      <c r="R283" s="2" t="s">
        <v>434</v>
      </c>
      <c r="S283" s="11">
        <v>42177.756886574076</v>
      </c>
    </row>
    <row r="284" ht="12.75" hidden="1" customHeight="1">
      <c r="A284" s="2" t="str">
        <f>IF(VLOOKUP(E284,Sheet4!$A$585:$B$786,2,0)=0,1, )</f>
        <v/>
      </c>
      <c r="B284" s="2" t="str">
        <f t="shared" si="1"/>
        <v>1</v>
      </c>
      <c r="C284" s="2" t="str">
        <f t="shared" si="2"/>
        <v>2000003473-15084</v>
      </c>
      <c r="D284" s="2">
        <v>3.20040613E8</v>
      </c>
      <c r="E284" s="2">
        <v>2.000003473E9</v>
      </c>
      <c r="F284" s="2">
        <v>15084.0</v>
      </c>
      <c r="G284" s="2">
        <v>1.0</v>
      </c>
      <c r="H284" s="2">
        <v>0.0</v>
      </c>
      <c r="I284" s="2">
        <v>240000.0</v>
      </c>
      <c r="J284" s="2">
        <v>1.0</v>
      </c>
      <c r="K284" s="2">
        <v>7.0</v>
      </c>
      <c r="O284" s="2" t="s">
        <v>442</v>
      </c>
      <c r="P284" s="2" t="s">
        <v>166</v>
      </c>
      <c r="R284" s="2" t="s">
        <v>434</v>
      </c>
      <c r="S284" s="11">
        <v>42177.827361111114</v>
      </c>
    </row>
    <row r="285" ht="12.75" hidden="1" customHeight="1">
      <c r="A285" s="2" t="str">
        <f>IF(VLOOKUP(E285,Sheet4!$A$585:$B$786,2,0)=0,1, )</f>
        <v>1</v>
      </c>
      <c r="B285" s="2" t="str">
        <f t="shared" si="1"/>
        <v>1</v>
      </c>
      <c r="C285" s="2" t="str">
        <f t="shared" si="2"/>
        <v>2000003777-1009</v>
      </c>
      <c r="D285" s="2">
        <v>3.20048899E8</v>
      </c>
      <c r="E285" s="2">
        <v>2.000003777E9</v>
      </c>
      <c r="F285" s="2">
        <v>1009.0</v>
      </c>
      <c r="G285" s="2">
        <v>1.0</v>
      </c>
      <c r="H285" s="2">
        <v>0.0</v>
      </c>
      <c r="I285" s="2">
        <v>210000.0</v>
      </c>
      <c r="J285" s="2">
        <v>1.0</v>
      </c>
      <c r="K285" s="2">
        <v>7.0</v>
      </c>
      <c r="O285" s="2" t="s">
        <v>444</v>
      </c>
      <c r="P285" s="2" t="s">
        <v>166</v>
      </c>
      <c r="R285" s="2" t="s">
        <v>434</v>
      </c>
      <c r="S285" s="11">
        <v>42185.43173611111</v>
      </c>
    </row>
    <row r="286" ht="12.75" hidden="1" customHeight="1">
      <c r="A286" s="2" t="str">
        <f>IF(VLOOKUP(E286,Sheet4!$A$585:$B$786,2,0)=0,1, )</f>
        <v>1</v>
      </c>
      <c r="B286" s="2" t="str">
        <f t="shared" si="1"/>
        <v>1</v>
      </c>
      <c r="C286" s="2" t="str">
        <f t="shared" si="2"/>
        <v>2000003777-6316</v>
      </c>
      <c r="D286" s="2">
        <v>3.20048902E8</v>
      </c>
      <c r="E286" s="2">
        <v>2.000003777E9</v>
      </c>
      <c r="F286" s="2">
        <v>6316.0</v>
      </c>
      <c r="G286" s="2">
        <v>45.0</v>
      </c>
      <c r="H286" s="2">
        <v>0.0</v>
      </c>
      <c r="I286" s="2">
        <v>2700000.0</v>
      </c>
      <c r="J286" s="2">
        <v>1.0</v>
      </c>
      <c r="K286" s="2">
        <v>7.0</v>
      </c>
      <c r="O286" s="2" t="s">
        <v>266</v>
      </c>
      <c r="P286" s="2" t="s">
        <v>166</v>
      </c>
      <c r="R286" s="2" t="s">
        <v>434</v>
      </c>
      <c r="S286" s="11">
        <v>42185.43173611111</v>
      </c>
    </row>
    <row r="287" ht="12.75" hidden="1" customHeight="1">
      <c r="A287" s="2" t="str">
        <f>IF(VLOOKUP(E287,Sheet4!$A$585:$B$786,2,0)=0,1, )</f>
        <v>1</v>
      </c>
      <c r="B287" s="2" t="str">
        <f t="shared" si="1"/>
        <v/>
      </c>
      <c r="C287" s="2" t="str">
        <f t="shared" si="2"/>
        <v>2000003777-6316</v>
      </c>
      <c r="D287" s="2">
        <v>3.20048903E8</v>
      </c>
      <c r="E287" s="2">
        <v>2.000003777E9</v>
      </c>
      <c r="F287" s="2">
        <v>6316.0</v>
      </c>
      <c r="G287" s="2">
        <v>45.0</v>
      </c>
      <c r="H287" s="2">
        <v>0.0</v>
      </c>
      <c r="I287" s="2">
        <v>2700000.0</v>
      </c>
      <c r="J287" s="2">
        <v>1.0</v>
      </c>
      <c r="K287" s="2">
        <v>7.0</v>
      </c>
      <c r="O287" s="2" t="s">
        <v>266</v>
      </c>
      <c r="P287" s="2" t="s">
        <v>166</v>
      </c>
      <c r="R287" s="2" t="s">
        <v>434</v>
      </c>
      <c r="S287" s="11">
        <v>42185.43173611111</v>
      </c>
    </row>
    <row r="288" ht="12.75" hidden="1" customHeight="1">
      <c r="A288" s="2" t="str">
        <f>IF(VLOOKUP(E288,Sheet4!$A$585:$B$786,2,0)=0,1, )</f>
        <v>1</v>
      </c>
      <c r="B288" s="2" t="str">
        <f t="shared" si="1"/>
        <v>1</v>
      </c>
      <c r="C288" s="2" t="str">
        <f t="shared" si="2"/>
        <v>2000003777-8524</v>
      </c>
      <c r="D288" s="2">
        <v>3.20048901E8</v>
      </c>
      <c r="E288" s="2">
        <v>2.000003777E9</v>
      </c>
      <c r="F288" s="2">
        <v>8524.0</v>
      </c>
      <c r="G288" s="2">
        <v>1.0</v>
      </c>
      <c r="H288" s="2">
        <v>0.0</v>
      </c>
      <c r="I288" s="2">
        <v>695000.0</v>
      </c>
      <c r="J288" s="2">
        <v>1.0</v>
      </c>
      <c r="K288" s="2">
        <v>7.0</v>
      </c>
      <c r="O288" s="2" t="s">
        <v>447</v>
      </c>
      <c r="P288" s="2" t="s">
        <v>166</v>
      </c>
      <c r="R288" s="2" t="s">
        <v>434</v>
      </c>
      <c r="S288" s="11">
        <v>42185.43173611111</v>
      </c>
    </row>
    <row r="289" ht="12.75" hidden="1" customHeight="1">
      <c r="A289" s="2" t="str">
        <f>IF(VLOOKUP(E289,Sheet4!$A$585:$B$786,2,0)=0,1, )</f>
        <v>1</v>
      </c>
      <c r="B289" s="2" t="str">
        <f t="shared" si="1"/>
        <v/>
      </c>
      <c r="C289" s="2" t="str">
        <f t="shared" si="2"/>
        <v>2000003777-8524</v>
      </c>
      <c r="D289" s="2">
        <v>3.200489E8</v>
      </c>
      <c r="E289" s="2">
        <v>2.000003777E9</v>
      </c>
      <c r="F289" s="2">
        <v>8524.0</v>
      </c>
      <c r="G289" s="2">
        <v>1.0</v>
      </c>
      <c r="H289" s="2">
        <v>0.0</v>
      </c>
      <c r="I289" s="2">
        <v>695000.0</v>
      </c>
      <c r="J289" s="2">
        <v>1.0</v>
      </c>
      <c r="K289" s="2">
        <v>7.0</v>
      </c>
      <c r="O289" s="2" t="s">
        <v>447</v>
      </c>
      <c r="P289" s="2" t="s">
        <v>166</v>
      </c>
      <c r="R289" s="2" t="s">
        <v>434</v>
      </c>
      <c r="S289" s="11">
        <v>42185.43173611111</v>
      </c>
    </row>
    <row r="290" ht="12.75" hidden="1" customHeight="1">
      <c r="A290" s="2" t="str">
        <f>IF(VLOOKUP(E290,Sheet4!$A$585:$B$786,2,0)=0,1, )</f>
        <v>1</v>
      </c>
      <c r="B290" s="2" t="str">
        <f t="shared" si="1"/>
        <v>1</v>
      </c>
      <c r="C290" s="2" t="str">
        <f t="shared" si="2"/>
        <v>2000003777-15678</v>
      </c>
      <c r="D290" s="2">
        <v>3.20048898E8</v>
      </c>
      <c r="E290" s="2">
        <v>2.000003777E9</v>
      </c>
      <c r="F290" s="2">
        <v>15678.0</v>
      </c>
      <c r="G290" s="2">
        <v>1.0</v>
      </c>
      <c r="H290" s="2">
        <v>0.0</v>
      </c>
      <c r="I290" s="2">
        <v>149000.0</v>
      </c>
      <c r="J290" s="2">
        <v>1.0</v>
      </c>
      <c r="K290" s="2">
        <v>7.0</v>
      </c>
      <c r="O290" s="2" t="s">
        <v>449</v>
      </c>
      <c r="P290" s="2" t="s">
        <v>166</v>
      </c>
      <c r="R290" s="2" t="s">
        <v>434</v>
      </c>
      <c r="S290" s="11">
        <v>42185.43173611111</v>
      </c>
    </row>
    <row r="291" ht="12.75" hidden="1" customHeight="1">
      <c r="A291" s="2" t="str">
        <f>IF(VLOOKUP(E291,Sheet4!$A$585:$B$786,2,0)=0,1, )</f>
        <v>1</v>
      </c>
      <c r="B291" s="2" t="str">
        <f t="shared" si="1"/>
        <v>1</v>
      </c>
      <c r="C291" s="2" t="str">
        <f t="shared" si="2"/>
        <v>2000003833-14000039</v>
      </c>
      <c r="D291" s="2">
        <v>3.20050448E8</v>
      </c>
      <c r="E291" s="2">
        <v>2.000003833E9</v>
      </c>
      <c r="F291" s="2">
        <v>1.4000039E7</v>
      </c>
      <c r="G291" s="2">
        <v>1.0</v>
      </c>
      <c r="H291" s="2">
        <v>57600.0</v>
      </c>
      <c r="I291" s="2">
        <v>288000.0</v>
      </c>
      <c r="J291" s="2">
        <v>1.0</v>
      </c>
      <c r="K291" s="2">
        <v>7.0</v>
      </c>
      <c r="O291" s="2" t="s">
        <v>451</v>
      </c>
      <c r="P291" s="2" t="s">
        <v>166</v>
      </c>
      <c r="R291" s="2" t="s">
        <v>434</v>
      </c>
      <c r="S291" s="11">
        <v>42186.69148148148</v>
      </c>
    </row>
    <row r="292" ht="12.75" hidden="1" customHeight="1">
      <c r="A292" s="2" t="str">
        <f>IF(VLOOKUP(E292,Sheet4!$A$585:$B$786,2,0)=0,1, )</f>
        <v>1</v>
      </c>
      <c r="B292" s="2" t="str">
        <f t="shared" si="1"/>
        <v/>
      </c>
      <c r="C292" s="2" t="str">
        <f t="shared" si="2"/>
        <v>2000003833-14000039</v>
      </c>
      <c r="D292" s="2">
        <v>3.20050449E8</v>
      </c>
      <c r="E292" s="2">
        <v>2.000003833E9</v>
      </c>
      <c r="F292" s="2">
        <v>1.4000039E7</v>
      </c>
      <c r="G292" s="2">
        <v>1.0</v>
      </c>
      <c r="H292" s="2">
        <v>57600.0</v>
      </c>
      <c r="I292" s="2">
        <v>288000.0</v>
      </c>
      <c r="J292" s="2">
        <v>1.0</v>
      </c>
      <c r="K292" s="2">
        <v>7.0</v>
      </c>
      <c r="O292" s="2" t="s">
        <v>451</v>
      </c>
      <c r="P292" s="2" t="s">
        <v>166</v>
      </c>
      <c r="R292" s="2" t="s">
        <v>434</v>
      </c>
      <c r="S292" s="11">
        <v>42186.69148148148</v>
      </c>
    </row>
    <row r="293" ht="12.75" hidden="1" customHeight="1">
      <c r="A293" s="2" t="str">
        <f>IF(VLOOKUP(E293,Sheet4!$A$585:$B$786,2,0)=0,1, )</f>
        <v>1</v>
      </c>
      <c r="B293" s="2" t="str">
        <f t="shared" si="1"/>
        <v>1</v>
      </c>
      <c r="C293" s="2" t="str">
        <f t="shared" si="2"/>
        <v>2000003838-6402</v>
      </c>
      <c r="D293" s="2">
        <v>3.20050488E8</v>
      </c>
      <c r="E293" s="2">
        <v>2.000003838E9</v>
      </c>
      <c r="F293" s="2">
        <v>6402.0</v>
      </c>
      <c r="G293" s="2">
        <v>2.0</v>
      </c>
      <c r="H293" s="2">
        <v>0.0</v>
      </c>
      <c r="I293" s="2">
        <v>158000.0</v>
      </c>
      <c r="J293" s="2">
        <v>1.0</v>
      </c>
      <c r="K293" s="2">
        <v>7.0</v>
      </c>
      <c r="O293" s="2" t="s">
        <v>453</v>
      </c>
      <c r="P293" s="2" t="s">
        <v>166</v>
      </c>
      <c r="R293" s="2" t="s">
        <v>434</v>
      </c>
      <c r="S293" s="11">
        <v>42186.711064814815</v>
      </c>
    </row>
    <row r="294" ht="12.75" hidden="1" customHeight="1">
      <c r="A294" s="2" t="str">
        <f>IF(VLOOKUP(E294,Sheet4!$A$585:$B$786,2,0)=0,1, )</f>
        <v>1</v>
      </c>
      <c r="B294" s="2" t="str">
        <f t="shared" si="1"/>
        <v/>
      </c>
      <c r="C294" s="2" t="str">
        <f t="shared" si="2"/>
        <v>2000003838-6402</v>
      </c>
      <c r="D294" s="2">
        <v>3.20050487E8</v>
      </c>
      <c r="E294" s="2">
        <v>2.000003838E9</v>
      </c>
      <c r="F294" s="2">
        <v>6402.0</v>
      </c>
      <c r="G294" s="2">
        <v>2.0</v>
      </c>
      <c r="H294" s="2">
        <v>0.0</v>
      </c>
      <c r="I294" s="2">
        <v>158000.0</v>
      </c>
      <c r="J294" s="2">
        <v>1.0</v>
      </c>
      <c r="K294" s="2">
        <v>7.0</v>
      </c>
      <c r="O294" s="2" t="s">
        <v>453</v>
      </c>
      <c r="P294" s="2" t="s">
        <v>166</v>
      </c>
      <c r="R294" s="2" t="s">
        <v>434</v>
      </c>
      <c r="S294" s="11">
        <v>42186.711064814815</v>
      </c>
    </row>
    <row r="295" ht="12.75" hidden="1" customHeight="1">
      <c r="A295" s="2" t="str">
        <f>IF(VLOOKUP(E295,Sheet4!$A$585:$B$786,2,0)=0,1, )</f>
        <v>1</v>
      </c>
      <c r="B295" s="2" t="str">
        <f t="shared" si="1"/>
        <v/>
      </c>
      <c r="C295" s="2" t="str">
        <f t="shared" si="2"/>
        <v>2000003838-6402</v>
      </c>
      <c r="D295" s="2">
        <v>3.20050489E8</v>
      </c>
      <c r="E295" s="2">
        <v>2.000003838E9</v>
      </c>
      <c r="F295" s="2">
        <v>6402.0</v>
      </c>
      <c r="G295" s="2">
        <v>2.0</v>
      </c>
      <c r="H295" s="2">
        <v>0.0</v>
      </c>
      <c r="I295" s="2">
        <v>158000.0</v>
      </c>
      <c r="J295" s="2">
        <v>1.0</v>
      </c>
      <c r="K295" s="2">
        <v>7.0</v>
      </c>
      <c r="O295" s="2" t="s">
        <v>453</v>
      </c>
      <c r="P295" s="2" t="s">
        <v>166</v>
      </c>
      <c r="R295" s="2" t="s">
        <v>434</v>
      </c>
      <c r="S295" s="11">
        <v>42186.711064814815</v>
      </c>
    </row>
    <row r="296" ht="12.75" hidden="1" customHeight="1">
      <c r="A296" s="2" t="str">
        <f>IF(VLOOKUP(E296,Sheet4!$A$585:$B$786,2,0)=0,1, )</f>
        <v>1</v>
      </c>
      <c r="B296" s="2" t="str">
        <f t="shared" si="1"/>
        <v>1</v>
      </c>
      <c r="C296" s="2" t="str">
        <f t="shared" si="2"/>
        <v>2000003838-14000039</v>
      </c>
      <c r="D296" s="2">
        <v>3.20050486E8</v>
      </c>
      <c r="E296" s="2">
        <v>2.000003838E9</v>
      </c>
      <c r="F296" s="2">
        <v>1.4000039E7</v>
      </c>
      <c r="G296" s="2">
        <v>1.0</v>
      </c>
      <c r="H296" s="2">
        <v>0.0</v>
      </c>
      <c r="I296" s="2">
        <v>288000.0</v>
      </c>
      <c r="J296" s="2">
        <v>1.0</v>
      </c>
      <c r="K296" s="2">
        <v>7.0</v>
      </c>
      <c r="O296" s="2" t="s">
        <v>451</v>
      </c>
      <c r="P296" s="2" t="s">
        <v>166</v>
      </c>
      <c r="R296" s="2" t="s">
        <v>434</v>
      </c>
      <c r="S296" s="11">
        <v>42186.71105324074</v>
      </c>
    </row>
    <row r="297" ht="12.75" hidden="1" customHeight="1">
      <c r="A297" s="2" t="str">
        <f>IF(VLOOKUP(E297,Sheet4!$A$585:$B$786,2,0)=0,1, )</f>
        <v>1</v>
      </c>
      <c r="B297" s="2" t="str">
        <f t="shared" si="1"/>
        <v/>
      </c>
      <c r="C297" s="2" t="str">
        <f t="shared" si="2"/>
        <v>2000003838-14000039</v>
      </c>
      <c r="D297" s="2">
        <v>3.20050485E8</v>
      </c>
      <c r="E297" s="2">
        <v>2.000003838E9</v>
      </c>
      <c r="F297" s="2">
        <v>1.4000039E7</v>
      </c>
      <c r="G297" s="2">
        <v>1.0</v>
      </c>
      <c r="H297" s="2">
        <v>0.0</v>
      </c>
      <c r="I297" s="2">
        <v>288000.0</v>
      </c>
      <c r="J297" s="2">
        <v>1.0</v>
      </c>
      <c r="K297" s="2">
        <v>7.0</v>
      </c>
      <c r="O297" s="2" t="s">
        <v>451</v>
      </c>
      <c r="P297" s="2" t="s">
        <v>166</v>
      </c>
      <c r="R297" s="2" t="s">
        <v>434</v>
      </c>
      <c r="S297" s="11">
        <v>42186.71105324074</v>
      </c>
    </row>
    <row r="298" ht="12.75" hidden="1" customHeight="1">
      <c r="A298" s="2" t="str">
        <f>IF(VLOOKUP(E298,Sheet4!$A$585:$B$786,2,0)=0,1, )</f>
        <v>1</v>
      </c>
      <c r="B298" s="2" t="str">
        <f t="shared" si="1"/>
        <v>1</v>
      </c>
      <c r="C298" s="2" t="str">
        <f t="shared" si="2"/>
        <v>2000003839-9733</v>
      </c>
      <c r="D298" s="2">
        <v>3.20050546E8</v>
      </c>
      <c r="E298" s="2">
        <v>2.000003839E9</v>
      </c>
      <c r="F298" s="2">
        <v>9733.0</v>
      </c>
      <c r="G298" s="2">
        <v>1.0</v>
      </c>
      <c r="H298" s="2">
        <v>0.0</v>
      </c>
      <c r="I298" s="2">
        <v>343000.0</v>
      </c>
      <c r="J298" s="2">
        <v>1.0</v>
      </c>
      <c r="K298" s="2">
        <v>7.0</v>
      </c>
      <c r="O298" s="2" t="s">
        <v>456</v>
      </c>
      <c r="P298" s="2" t="s">
        <v>166</v>
      </c>
      <c r="R298" s="2" t="s">
        <v>434</v>
      </c>
      <c r="S298" s="11">
        <v>42186.73818287037</v>
      </c>
    </row>
    <row r="299" ht="12.75" hidden="1" customHeight="1">
      <c r="A299" s="2" t="str">
        <f>IF(VLOOKUP(E299,Sheet4!$A$585:$B$786,2,0)=0,1, )</f>
        <v>1</v>
      </c>
      <c r="B299" s="2" t="str">
        <f t="shared" si="1"/>
        <v/>
      </c>
      <c r="C299" s="2" t="str">
        <f t="shared" si="2"/>
        <v>2000003839-9733</v>
      </c>
      <c r="D299" s="2">
        <v>3.20050545E8</v>
      </c>
      <c r="E299" s="2">
        <v>2.000003839E9</v>
      </c>
      <c r="F299" s="2">
        <v>9733.0</v>
      </c>
      <c r="G299" s="2">
        <v>1.0</v>
      </c>
      <c r="H299" s="2">
        <v>0.0</v>
      </c>
      <c r="I299" s="2">
        <v>343000.0</v>
      </c>
      <c r="J299" s="2">
        <v>1.0</v>
      </c>
      <c r="K299" s="2">
        <v>7.0</v>
      </c>
      <c r="O299" s="2" t="s">
        <v>456</v>
      </c>
      <c r="P299" s="2" t="s">
        <v>166</v>
      </c>
      <c r="R299" s="2" t="s">
        <v>434</v>
      </c>
      <c r="S299" s="11">
        <v>42186.73818287037</v>
      </c>
    </row>
    <row r="300" ht="12.75" hidden="1" customHeight="1">
      <c r="A300" s="2" t="str">
        <f>IF(VLOOKUP(E300,Sheet4!$A$585:$B$786,2,0)=0,1, )</f>
        <v>1</v>
      </c>
      <c r="B300" s="2" t="str">
        <f t="shared" si="1"/>
        <v>1</v>
      </c>
      <c r="C300" s="2" t="str">
        <f t="shared" si="2"/>
        <v>2000003841-1009</v>
      </c>
      <c r="D300" s="2">
        <v>3.20050574E8</v>
      </c>
      <c r="E300" s="2">
        <v>2.000003841E9</v>
      </c>
      <c r="F300" s="2">
        <v>1009.0</v>
      </c>
      <c r="G300" s="2">
        <v>1.0</v>
      </c>
      <c r="H300" s="2">
        <v>0.0</v>
      </c>
      <c r="I300" s="2">
        <v>210000.0</v>
      </c>
      <c r="J300" s="2">
        <v>1.0</v>
      </c>
      <c r="K300" s="2">
        <v>7.0</v>
      </c>
      <c r="O300" s="2" t="s">
        <v>444</v>
      </c>
      <c r="P300" s="2" t="s">
        <v>166</v>
      </c>
      <c r="R300" s="2" t="s">
        <v>434</v>
      </c>
      <c r="S300" s="11">
        <v>42186.75420138889</v>
      </c>
    </row>
    <row r="301" ht="12.75" hidden="1" customHeight="1">
      <c r="A301" s="2" t="str">
        <f>IF(VLOOKUP(E301,Sheet4!$A$585:$B$786,2,0)=0,1, )</f>
        <v>1</v>
      </c>
      <c r="B301" s="2" t="str">
        <f t="shared" si="1"/>
        <v/>
      </c>
      <c r="C301" s="2" t="str">
        <f t="shared" si="2"/>
        <v>2000003841-1009</v>
      </c>
      <c r="D301" s="2">
        <v>3.20050575E8</v>
      </c>
      <c r="E301" s="2">
        <v>2.000003841E9</v>
      </c>
      <c r="F301" s="2">
        <v>1009.0</v>
      </c>
      <c r="G301" s="2">
        <v>1.0</v>
      </c>
      <c r="H301" s="2">
        <v>0.0</v>
      </c>
      <c r="I301" s="2">
        <v>210000.0</v>
      </c>
      <c r="J301" s="2">
        <v>1.0</v>
      </c>
      <c r="K301" s="2">
        <v>7.0</v>
      </c>
      <c r="O301" s="2" t="s">
        <v>444</v>
      </c>
      <c r="P301" s="2" t="s">
        <v>166</v>
      </c>
      <c r="R301" s="2" t="s">
        <v>434</v>
      </c>
      <c r="S301" s="11">
        <v>42186.75420138889</v>
      </c>
    </row>
    <row r="302" ht="12.75" hidden="1" customHeight="1">
      <c r="A302" s="2" t="str">
        <f>IF(VLOOKUP(E302,Sheet4!$A$585:$B$786,2,0)=0,1, )</f>
        <v>1</v>
      </c>
      <c r="B302" s="2" t="str">
        <f t="shared" si="1"/>
        <v>1</v>
      </c>
      <c r="C302" s="2" t="str">
        <f t="shared" si="2"/>
        <v>2000003841-1013</v>
      </c>
      <c r="D302" s="2">
        <v>3.20050576E8</v>
      </c>
      <c r="E302" s="2">
        <v>2.000003841E9</v>
      </c>
      <c r="F302" s="2">
        <v>1013.0</v>
      </c>
      <c r="G302" s="2">
        <v>1.0</v>
      </c>
      <c r="H302" s="2">
        <v>0.0</v>
      </c>
      <c r="I302" s="2">
        <v>230000.0</v>
      </c>
      <c r="J302" s="2">
        <v>1.0</v>
      </c>
      <c r="K302" s="2">
        <v>7.0</v>
      </c>
      <c r="O302" s="2" t="s">
        <v>459</v>
      </c>
      <c r="P302" s="2" t="s">
        <v>166</v>
      </c>
      <c r="R302" s="2" t="s">
        <v>434</v>
      </c>
      <c r="S302" s="11">
        <v>42186.75420138889</v>
      </c>
    </row>
    <row r="303" ht="12.75" hidden="1" customHeight="1">
      <c r="A303" s="2" t="str">
        <f>IF(VLOOKUP(E303,Sheet4!$A$585:$B$786,2,0)=0,1, )</f>
        <v>1</v>
      </c>
      <c r="B303" s="2" t="str">
        <f t="shared" si="1"/>
        <v/>
      </c>
      <c r="C303" s="2" t="str">
        <f t="shared" si="2"/>
        <v>2000003841-1013</v>
      </c>
      <c r="D303" s="2">
        <v>3.20050577E8</v>
      </c>
      <c r="E303" s="2">
        <v>2.000003841E9</v>
      </c>
      <c r="F303" s="2">
        <v>1013.0</v>
      </c>
      <c r="G303" s="2">
        <v>1.0</v>
      </c>
      <c r="H303" s="2">
        <v>0.0</v>
      </c>
      <c r="I303" s="2">
        <v>230000.0</v>
      </c>
      <c r="J303" s="2">
        <v>1.0</v>
      </c>
      <c r="K303" s="2">
        <v>7.0</v>
      </c>
      <c r="O303" s="2" t="s">
        <v>459</v>
      </c>
      <c r="P303" s="2" t="s">
        <v>166</v>
      </c>
      <c r="R303" s="2" t="s">
        <v>434</v>
      </c>
      <c r="S303" s="11">
        <v>42186.75420138889</v>
      </c>
    </row>
    <row r="304" ht="12.75" hidden="1" customHeight="1">
      <c r="A304" s="2" t="str">
        <f>IF(VLOOKUP(E304,Sheet4!$A$585:$B$786,2,0)=0,1, )</f>
        <v>1</v>
      </c>
      <c r="B304" s="2" t="str">
        <f t="shared" si="1"/>
        <v>1</v>
      </c>
      <c r="C304" s="2" t="str">
        <f t="shared" si="2"/>
        <v>2000003846-1013</v>
      </c>
      <c r="D304" s="2">
        <v>3.20050611E8</v>
      </c>
      <c r="E304" s="2">
        <v>2.000003846E9</v>
      </c>
      <c r="F304" s="2">
        <v>1013.0</v>
      </c>
      <c r="G304" s="2">
        <v>1.0</v>
      </c>
      <c r="H304" s="2">
        <v>0.0</v>
      </c>
      <c r="I304" s="2">
        <v>230000.0</v>
      </c>
      <c r="J304" s="2">
        <v>1.0</v>
      </c>
      <c r="K304" s="2">
        <v>7.0</v>
      </c>
      <c r="O304" s="2" t="s">
        <v>459</v>
      </c>
      <c r="P304" s="2" t="s">
        <v>166</v>
      </c>
      <c r="R304" s="2" t="s">
        <v>434</v>
      </c>
      <c r="S304" s="11">
        <v>42186.777766203704</v>
      </c>
    </row>
    <row r="305" ht="12.75" hidden="1" customHeight="1">
      <c r="A305" s="2" t="str">
        <f>IF(VLOOKUP(E305,Sheet4!$A$585:$B$786,2,0)=0,1, )</f>
        <v>1</v>
      </c>
      <c r="B305" s="2" t="str">
        <f t="shared" si="1"/>
        <v/>
      </c>
      <c r="C305" s="2" t="str">
        <f t="shared" si="2"/>
        <v>2000003846-1013</v>
      </c>
      <c r="D305" s="2">
        <v>3.2005061E8</v>
      </c>
      <c r="E305" s="2">
        <v>2.000003846E9</v>
      </c>
      <c r="F305" s="2">
        <v>1013.0</v>
      </c>
      <c r="G305" s="2">
        <v>1.0</v>
      </c>
      <c r="H305" s="2">
        <v>0.0</v>
      </c>
      <c r="I305" s="2">
        <v>230000.0</v>
      </c>
      <c r="J305" s="2">
        <v>1.0</v>
      </c>
      <c r="K305" s="2">
        <v>7.0</v>
      </c>
      <c r="O305" s="2" t="s">
        <v>459</v>
      </c>
      <c r="P305" s="2" t="s">
        <v>166</v>
      </c>
      <c r="R305" s="2" t="s">
        <v>434</v>
      </c>
      <c r="S305" s="11">
        <v>42186.777766203704</v>
      </c>
    </row>
    <row r="306" ht="12.75" hidden="1" customHeight="1">
      <c r="A306" s="2" t="str">
        <f>IF(VLOOKUP(E306,Sheet4!$A$585:$B$786,2,0)=0,1, )</f>
        <v>1</v>
      </c>
      <c r="B306" s="2" t="str">
        <f t="shared" si="1"/>
        <v>1</v>
      </c>
      <c r="C306" s="2" t="str">
        <f t="shared" si="2"/>
        <v>2000003846-16006</v>
      </c>
      <c r="D306" s="2">
        <v>3.20050609E8</v>
      </c>
      <c r="E306" s="2">
        <v>2.000003846E9</v>
      </c>
      <c r="F306" s="2">
        <v>16006.0</v>
      </c>
      <c r="G306" s="2">
        <v>1.0</v>
      </c>
      <c r="H306" s="2">
        <v>0.0</v>
      </c>
      <c r="I306" s="2">
        <v>265000.0</v>
      </c>
      <c r="J306" s="2">
        <v>1.0</v>
      </c>
      <c r="K306" s="2">
        <v>7.0</v>
      </c>
      <c r="O306" s="2" t="s">
        <v>462</v>
      </c>
      <c r="P306" s="2" t="s">
        <v>166</v>
      </c>
      <c r="R306" s="2" t="s">
        <v>434</v>
      </c>
      <c r="S306" s="11">
        <v>42186.777766203704</v>
      </c>
    </row>
    <row r="307" ht="12.75" hidden="1" customHeight="1">
      <c r="A307" s="2" t="str">
        <f>IF(VLOOKUP(E307,Sheet4!$A$585:$B$786,2,0)=0,1, )</f>
        <v>1</v>
      </c>
      <c r="B307" s="2" t="str">
        <f t="shared" si="1"/>
        <v/>
      </c>
      <c r="C307" s="2" t="str">
        <f t="shared" si="2"/>
        <v>2000003846-16006</v>
      </c>
      <c r="D307" s="2">
        <v>3.20050608E8</v>
      </c>
      <c r="E307" s="2">
        <v>2.000003846E9</v>
      </c>
      <c r="F307" s="2">
        <v>16006.0</v>
      </c>
      <c r="G307" s="2">
        <v>1.0</v>
      </c>
      <c r="H307" s="2">
        <v>0.0</v>
      </c>
      <c r="I307" s="2">
        <v>265000.0</v>
      </c>
      <c r="J307" s="2">
        <v>1.0</v>
      </c>
      <c r="K307" s="2">
        <v>7.0</v>
      </c>
      <c r="O307" s="2" t="s">
        <v>462</v>
      </c>
      <c r="P307" s="2" t="s">
        <v>166</v>
      </c>
      <c r="R307" s="2" t="s">
        <v>434</v>
      </c>
      <c r="S307" s="11">
        <v>42186.777766203704</v>
      </c>
    </row>
    <row r="308" ht="12.75" hidden="1" customHeight="1">
      <c r="A308" s="2" t="str">
        <f>IF(VLOOKUP(E308,Sheet4!$A$585:$B$786,2,0)=0,1, )</f>
        <v>1</v>
      </c>
      <c r="B308" s="2" t="str">
        <f t="shared" si="1"/>
        <v>1</v>
      </c>
      <c r="C308" s="2" t="str">
        <f t="shared" si="2"/>
        <v>2000003848-3253</v>
      </c>
      <c r="D308" s="2">
        <v>3.20050614E8</v>
      </c>
      <c r="E308" s="2">
        <v>2.000003848E9</v>
      </c>
      <c r="F308" s="2">
        <v>3253.0</v>
      </c>
      <c r="G308" s="2">
        <v>1.0</v>
      </c>
      <c r="H308" s="2">
        <v>0.0</v>
      </c>
      <c r="I308" s="2">
        <v>69000.0</v>
      </c>
      <c r="J308" s="2">
        <v>1.0</v>
      </c>
      <c r="K308" s="2">
        <v>7.0</v>
      </c>
      <c r="O308" s="2" t="s">
        <v>464</v>
      </c>
      <c r="P308" s="2" t="s">
        <v>166</v>
      </c>
      <c r="R308" s="2" t="s">
        <v>434</v>
      </c>
      <c r="S308" s="11">
        <v>42186.78163194445</v>
      </c>
    </row>
    <row r="309" ht="12.75" hidden="1" customHeight="1">
      <c r="A309" s="2" t="str">
        <f>IF(VLOOKUP(E309,Sheet4!$A$585:$B$786,2,0)=0,1, )</f>
        <v>1</v>
      </c>
      <c r="B309" s="2" t="str">
        <f t="shared" si="1"/>
        <v/>
      </c>
      <c r="C309" s="2" t="str">
        <f t="shared" si="2"/>
        <v>2000003848-3253</v>
      </c>
      <c r="D309" s="2">
        <v>3.20050615E8</v>
      </c>
      <c r="E309" s="2">
        <v>2.000003848E9</v>
      </c>
      <c r="F309" s="2">
        <v>3253.0</v>
      </c>
      <c r="G309" s="2">
        <v>1.0</v>
      </c>
      <c r="H309" s="2">
        <v>0.0</v>
      </c>
      <c r="I309" s="2">
        <v>69000.0</v>
      </c>
      <c r="J309" s="2">
        <v>1.0</v>
      </c>
      <c r="K309" s="2">
        <v>7.0</v>
      </c>
      <c r="O309" s="2" t="s">
        <v>464</v>
      </c>
      <c r="P309" s="2" t="s">
        <v>166</v>
      </c>
      <c r="R309" s="2" t="s">
        <v>434</v>
      </c>
      <c r="S309" s="11">
        <v>42186.78163194445</v>
      </c>
    </row>
    <row r="310" ht="12.75" hidden="1" customHeight="1">
      <c r="A310" s="2" t="str">
        <f>IF(VLOOKUP(E310,Sheet4!$A$585:$B$786,2,0)=0,1, )</f>
        <v>1</v>
      </c>
      <c r="B310" s="2" t="str">
        <f t="shared" si="1"/>
        <v>1</v>
      </c>
      <c r="C310" s="2" t="str">
        <f t="shared" si="2"/>
        <v>2000003848-6388</v>
      </c>
      <c r="D310" s="2">
        <v>3.20050616E8</v>
      </c>
      <c r="E310" s="2">
        <v>2.000003848E9</v>
      </c>
      <c r="F310" s="2">
        <v>6388.0</v>
      </c>
      <c r="G310" s="2">
        <v>1.0</v>
      </c>
      <c r="H310" s="2">
        <v>0.0</v>
      </c>
      <c r="I310" s="2">
        <v>58000.0</v>
      </c>
      <c r="J310" s="2">
        <v>1.0</v>
      </c>
      <c r="K310" s="2">
        <v>7.0</v>
      </c>
      <c r="O310" s="2" t="s">
        <v>466</v>
      </c>
      <c r="P310" s="2" t="s">
        <v>166</v>
      </c>
      <c r="R310" s="2" t="s">
        <v>434</v>
      </c>
      <c r="S310" s="11">
        <v>42186.78163194445</v>
      </c>
    </row>
    <row r="311" ht="12.75" hidden="1" customHeight="1">
      <c r="A311" s="2" t="str">
        <f>IF(VLOOKUP(E311,Sheet4!$A$585:$B$786,2,0)=0,1, )</f>
        <v>1</v>
      </c>
      <c r="B311" s="2" t="str">
        <f t="shared" si="1"/>
        <v/>
      </c>
      <c r="C311" s="2" t="str">
        <f t="shared" si="2"/>
        <v>2000003848-6388</v>
      </c>
      <c r="D311" s="2">
        <v>3.20050618E8</v>
      </c>
      <c r="E311" s="2">
        <v>2.000003848E9</v>
      </c>
      <c r="F311" s="2">
        <v>6388.0</v>
      </c>
      <c r="G311" s="2">
        <v>1.0</v>
      </c>
      <c r="H311" s="2">
        <v>0.0</v>
      </c>
      <c r="I311" s="2">
        <v>58000.0</v>
      </c>
      <c r="J311" s="2">
        <v>1.0</v>
      </c>
      <c r="K311" s="2">
        <v>7.0</v>
      </c>
      <c r="O311" s="2" t="s">
        <v>466</v>
      </c>
      <c r="P311" s="2" t="s">
        <v>166</v>
      </c>
      <c r="R311" s="2" t="s">
        <v>434</v>
      </c>
      <c r="S311" s="11">
        <v>42186.78163194445</v>
      </c>
    </row>
    <row r="312" ht="12.75" hidden="1" customHeight="1">
      <c r="A312" s="2" t="str">
        <f>IF(VLOOKUP(E312,Sheet4!$A$585:$B$786,2,0)=0,1, )</f>
        <v>1</v>
      </c>
      <c r="B312" s="2" t="str">
        <f t="shared" si="1"/>
        <v/>
      </c>
      <c r="C312" s="2" t="str">
        <f t="shared" si="2"/>
        <v>2000003848-6388</v>
      </c>
      <c r="D312" s="2">
        <v>3.20050617E8</v>
      </c>
      <c r="E312" s="2">
        <v>2.000003848E9</v>
      </c>
      <c r="F312" s="2">
        <v>6388.0</v>
      </c>
      <c r="G312" s="2">
        <v>1.0</v>
      </c>
      <c r="H312" s="2">
        <v>0.0</v>
      </c>
      <c r="I312" s="2">
        <v>58000.0</v>
      </c>
      <c r="J312" s="2">
        <v>1.0</v>
      </c>
      <c r="K312" s="2">
        <v>7.0</v>
      </c>
      <c r="O312" s="2" t="s">
        <v>466</v>
      </c>
      <c r="P312" s="2" t="s">
        <v>166</v>
      </c>
      <c r="R312" s="2" t="s">
        <v>434</v>
      </c>
      <c r="S312" s="11">
        <v>42186.78163194445</v>
      </c>
    </row>
    <row r="313" ht="12.75" hidden="1" customHeight="1">
      <c r="A313" s="2" t="str">
        <f>IF(VLOOKUP(E313,Sheet4!$A$585:$B$786,2,0)=0,1, )</f>
        <v>1</v>
      </c>
      <c r="B313" s="2" t="str">
        <f t="shared" si="1"/>
        <v>1</v>
      </c>
      <c r="C313" s="2" t="str">
        <f t="shared" si="2"/>
        <v>2000003848-13047</v>
      </c>
      <c r="D313" s="2">
        <v>3.20050613E8</v>
      </c>
      <c r="E313" s="2">
        <v>2.000003848E9</v>
      </c>
      <c r="F313" s="2">
        <v>13047.0</v>
      </c>
      <c r="G313" s="2">
        <v>1.0</v>
      </c>
      <c r="H313" s="2">
        <v>0.0</v>
      </c>
      <c r="I313" s="2">
        <v>119000.0</v>
      </c>
      <c r="J313" s="2">
        <v>1.0</v>
      </c>
      <c r="K313" s="2">
        <v>7.0</v>
      </c>
      <c r="O313" s="2" t="s">
        <v>468</v>
      </c>
      <c r="P313" s="2" t="s">
        <v>166</v>
      </c>
      <c r="R313" s="2" t="s">
        <v>434</v>
      </c>
      <c r="S313" s="11">
        <v>42186.78162037037</v>
      </c>
    </row>
    <row r="314" ht="12.75" hidden="1" customHeight="1">
      <c r="A314" s="2" t="str">
        <f>IF(VLOOKUP(E314,Sheet4!$A$585:$B$786,2,0)=0,1, )</f>
        <v>1</v>
      </c>
      <c r="B314" s="2" t="str">
        <f t="shared" si="1"/>
        <v>1</v>
      </c>
      <c r="C314" s="2" t="str">
        <f t="shared" si="2"/>
        <v>2000003848-15119</v>
      </c>
      <c r="D314" s="2">
        <v>3.20050619E8</v>
      </c>
      <c r="E314" s="2">
        <v>2.000003848E9</v>
      </c>
      <c r="F314" s="2">
        <v>15119.0</v>
      </c>
      <c r="G314" s="2">
        <v>1.0</v>
      </c>
      <c r="H314" s="2">
        <v>0.0</v>
      </c>
      <c r="I314" s="2">
        <v>530000.0</v>
      </c>
      <c r="J314" s="2">
        <v>1.0</v>
      </c>
      <c r="K314" s="2">
        <v>7.0</v>
      </c>
      <c r="O314" s="2" t="s">
        <v>470</v>
      </c>
      <c r="P314" s="2" t="s">
        <v>166</v>
      </c>
      <c r="R314" s="2" t="s">
        <v>434</v>
      </c>
      <c r="S314" s="11">
        <v>42186.78163194445</v>
      </c>
    </row>
    <row r="315" ht="12.75" hidden="1" customHeight="1">
      <c r="A315" s="2" t="str">
        <f>IF(VLOOKUP(E315,Sheet4!$A$585:$B$786,2,0)=0,1, )</f>
        <v>1</v>
      </c>
      <c r="B315" s="2" t="str">
        <f t="shared" si="1"/>
        <v/>
      </c>
      <c r="C315" s="2" t="str">
        <f t="shared" si="2"/>
        <v>2000003848-15119</v>
      </c>
      <c r="D315" s="2">
        <v>3.2005062E8</v>
      </c>
      <c r="E315" s="2">
        <v>2.000003848E9</v>
      </c>
      <c r="F315" s="2">
        <v>15119.0</v>
      </c>
      <c r="G315" s="2">
        <v>1.0</v>
      </c>
      <c r="H315" s="2">
        <v>0.0</v>
      </c>
      <c r="I315" s="2">
        <v>530000.0</v>
      </c>
      <c r="J315" s="2">
        <v>1.0</v>
      </c>
      <c r="K315" s="2">
        <v>7.0</v>
      </c>
      <c r="O315" s="2" t="s">
        <v>470</v>
      </c>
      <c r="P315" s="2" t="s">
        <v>166</v>
      </c>
      <c r="R315" s="2" t="s">
        <v>434</v>
      </c>
      <c r="S315" s="11">
        <v>42186.78163194445</v>
      </c>
    </row>
    <row r="316" ht="12.75" hidden="1" customHeight="1">
      <c r="A316" s="2" t="str">
        <f>IF(VLOOKUP(E316,Sheet4!$A$585:$B$786,2,0)=0,1, )</f>
        <v>1</v>
      </c>
      <c r="B316" s="2" t="str">
        <f t="shared" si="1"/>
        <v/>
      </c>
      <c r="C316" s="2" t="str">
        <f t="shared" si="2"/>
        <v>2000003848-15119</v>
      </c>
      <c r="D316" s="2">
        <v>3.20050621E8</v>
      </c>
      <c r="E316" s="2">
        <v>2.000003848E9</v>
      </c>
      <c r="F316" s="2">
        <v>15119.0</v>
      </c>
      <c r="G316" s="2">
        <v>1.0</v>
      </c>
      <c r="H316" s="2">
        <v>0.0</v>
      </c>
      <c r="I316" s="2">
        <v>530000.0</v>
      </c>
      <c r="J316" s="2">
        <v>1.0</v>
      </c>
      <c r="K316" s="2">
        <v>7.0</v>
      </c>
      <c r="O316" s="2" t="s">
        <v>470</v>
      </c>
      <c r="P316" s="2" t="s">
        <v>166</v>
      </c>
      <c r="R316" s="2" t="s">
        <v>434</v>
      </c>
      <c r="S316" s="11">
        <v>42186.78163194445</v>
      </c>
    </row>
    <row r="317" ht="12.75" hidden="1" customHeight="1">
      <c r="A317" s="2" t="str">
        <f>IF(VLOOKUP(E317,Sheet4!$A$585:$B$786,2,0)=0,1, )</f>
        <v>1</v>
      </c>
      <c r="B317" s="2" t="str">
        <f t="shared" si="1"/>
        <v>1</v>
      </c>
      <c r="C317" s="2" t="str">
        <f t="shared" si="2"/>
        <v>2000003848-15212</v>
      </c>
      <c r="D317" s="2">
        <v>3.20050622E8</v>
      </c>
      <c r="E317" s="2">
        <v>2.000003848E9</v>
      </c>
      <c r="F317" s="2">
        <v>15212.0</v>
      </c>
      <c r="G317" s="2">
        <v>1.0</v>
      </c>
      <c r="H317" s="2">
        <v>0.0</v>
      </c>
      <c r="I317" s="2">
        <v>470000.0</v>
      </c>
      <c r="J317" s="2">
        <v>1.0</v>
      </c>
      <c r="K317" s="2">
        <v>7.0</v>
      </c>
      <c r="O317" s="2" t="s">
        <v>472</v>
      </c>
      <c r="P317" s="2" t="s">
        <v>166</v>
      </c>
      <c r="R317" s="2" t="s">
        <v>434</v>
      </c>
      <c r="S317" s="11">
        <v>42186.78163194445</v>
      </c>
    </row>
    <row r="318" ht="12.75" hidden="1" customHeight="1">
      <c r="A318" s="2" t="str">
        <f>IF(VLOOKUP(E318,Sheet4!$A$585:$B$786,2,0)=0,1, )</f>
        <v>1</v>
      </c>
      <c r="B318" s="2" t="str">
        <f t="shared" si="1"/>
        <v/>
      </c>
      <c r="C318" s="2" t="str">
        <f t="shared" si="2"/>
        <v>2000003848-15212</v>
      </c>
      <c r="D318" s="2">
        <v>3.20050623E8</v>
      </c>
      <c r="E318" s="2">
        <v>2.000003848E9</v>
      </c>
      <c r="F318" s="2">
        <v>15212.0</v>
      </c>
      <c r="G318" s="2">
        <v>1.0</v>
      </c>
      <c r="H318" s="2">
        <v>0.0</v>
      </c>
      <c r="I318" s="2">
        <v>470000.0</v>
      </c>
      <c r="J318" s="2">
        <v>1.0</v>
      </c>
      <c r="K318" s="2">
        <v>7.0</v>
      </c>
      <c r="O318" s="2" t="s">
        <v>472</v>
      </c>
      <c r="P318" s="2" t="s">
        <v>166</v>
      </c>
      <c r="R318" s="2" t="s">
        <v>434</v>
      </c>
      <c r="S318" s="11">
        <v>42186.78163194445</v>
      </c>
    </row>
    <row r="319" ht="12.75" hidden="1" customHeight="1">
      <c r="A319" s="2" t="str">
        <f>IF(VLOOKUP(E319,Sheet4!$A$585:$B$786,2,0)=0,1, )</f>
        <v>1</v>
      </c>
      <c r="B319" s="2" t="str">
        <f t="shared" si="1"/>
        <v/>
      </c>
      <c r="C319" s="2" t="str">
        <f t="shared" si="2"/>
        <v>2000003848-15212</v>
      </c>
      <c r="D319" s="2">
        <v>3.20050624E8</v>
      </c>
      <c r="E319" s="2">
        <v>2.000003848E9</v>
      </c>
      <c r="F319" s="2">
        <v>15212.0</v>
      </c>
      <c r="G319" s="2">
        <v>1.0</v>
      </c>
      <c r="H319" s="2">
        <v>0.0</v>
      </c>
      <c r="I319" s="2">
        <v>470000.0</v>
      </c>
      <c r="J319" s="2">
        <v>1.0</v>
      </c>
      <c r="K319" s="2">
        <v>7.0</v>
      </c>
      <c r="O319" s="2" t="s">
        <v>472</v>
      </c>
      <c r="P319" s="2" t="s">
        <v>166</v>
      </c>
      <c r="R319" s="2" t="s">
        <v>434</v>
      </c>
      <c r="S319" s="11">
        <v>42186.78163194445</v>
      </c>
    </row>
    <row r="320" ht="12.75" hidden="1" customHeight="1">
      <c r="A320" s="2" t="str">
        <f>IF(VLOOKUP(E320,Sheet4!$A$585:$B$786,2,0)=0,1, )</f>
        <v>1</v>
      </c>
      <c r="B320" s="2" t="str">
        <f t="shared" si="1"/>
        <v>1</v>
      </c>
      <c r="C320" s="2" t="str">
        <f t="shared" si="2"/>
        <v>2000003850-65</v>
      </c>
      <c r="D320" s="2">
        <v>3.20050644E8</v>
      </c>
      <c r="E320" s="2">
        <v>2.00000385E9</v>
      </c>
      <c r="F320" s="2">
        <v>65.0</v>
      </c>
      <c r="G320" s="2">
        <v>1.0</v>
      </c>
      <c r="H320" s="2">
        <v>0.0</v>
      </c>
      <c r="I320" s="2">
        <v>220000.0</v>
      </c>
      <c r="J320" s="2">
        <v>1.0</v>
      </c>
      <c r="K320" s="2">
        <v>7.0</v>
      </c>
      <c r="O320" s="2" t="s">
        <v>474</v>
      </c>
      <c r="P320" s="2" t="s">
        <v>166</v>
      </c>
      <c r="R320" s="2" t="s">
        <v>434</v>
      </c>
      <c r="S320" s="11">
        <v>42186.79131944444</v>
      </c>
    </row>
    <row r="321" ht="12.75" hidden="1" customHeight="1">
      <c r="A321" s="2" t="str">
        <f>IF(VLOOKUP(E321,Sheet4!$A$585:$B$786,2,0)=0,1, )</f>
        <v>1</v>
      </c>
      <c r="B321" s="2" t="str">
        <f t="shared" si="1"/>
        <v/>
      </c>
      <c r="C321" s="2" t="str">
        <f t="shared" si="2"/>
        <v>2000003850-65</v>
      </c>
      <c r="D321" s="2">
        <v>3.20050645E8</v>
      </c>
      <c r="E321" s="2">
        <v>2.00000385E9</v>
      </c>
      <c r="F321" s="2">
        <v>65.0</v>
      </c>
      <c r="G321" s="2">
        <v>1.0</v>
      </c>
      <c r="H321" s="2">
        <v>0.0</v>
      </c>
      <c r="I321" s="2">
        <v>220000.0</v>
      </c>
      <c r="J321" s="2">
        <v>1.0</v>
      </c>
      <c r="K321" s="2">
        <v>7.0</v>
      </c>
      <c r="O321" s="2" t="s">
        <v>474</v>
      </c>
      <c r="P321" s="2" t="s">
        <v>166</v>
      </c>
      <c r="R321" s="2" t="s">
        <v>434</v>
      </c>
      <c r="S321" s="11">
        <v>42186.79131944444</v>
      </c>
    </row>
    <row r="322" ht="12.75" hidden="1" customHeight="1">
      <c r="A322" s="2" t="str">
        <f>IF(VLOOKUP(E322,Sheet4!$A$585:$B$786,2,0)=0,1, )</f>
        <v>1</v>
      </c>
      <c r="B322" s="2" t="str">
        <f t="shared" si="1"/>
        <v>1</v>
      </c>
      <c r="C322" s="2" t="str">
        <f t="shared" si="2"/>
        <v>2000003850-13041</v>
      </c>
      <c r="D322" s="2">
        <v>3.20050646E8</v>
      </c>
      <c r="E322" s="2">
        <v>2.00000385E9</v>
      </c>
      <c r="F322" s="2">
        <v>13041.0</v>
      </c>
      <c r="G322" s="2">
        <v>1.0</v>
      </c>
      <c r="H322" s="2">
        <v>0.0</v>
      </c>
      <c r="I322" s="2">
        <v>39000.0</v>
      </c>
      <c r="J322" s="2">
        <v>1.0</v>
      </c>
      <c r="K322" s="2">
        <v>7.0</v>
      </c>
      <c r="O322" s="2" t="s">
        <v>476</v>
      </c>
      <c r="P322" s="2" t="s">
        <v>166</v>
      </c>
      <c r="R322" s="2" t="s">
        <v>434</v>
      </c>
      <c r="S322" s="11">
        <v>42186.79131944444</v>
      </c>
    </row>
    <row r="323" ht="12.75" hidden="1" customHeight="1">
      <c r="A323" s="2" t="str">
        <f>IF(VLOOKUP(E323,Sheet4!$A$585:$B$786,2,0)=0,1, )</f>
        <v>1</v>
      </c>
      <c r="B323" s="2" t="str">
        <f t="shared" si="1"/>
        <v/>
      </c>
      <c r="C323" s="2" t="str">
        <f t="shared" si="2"/>
        <v>2000003850-13041</v>
      </c>
      <c r="D323" s="2">
        <v>3.20050647E8</v>
      </c>
      <c r="E323" s="2">
        <v>2.00000385E9</v>
      </c>
      <c r="F323" s="2">
        <v>13041.0</v>
      </c>
      <c r="G323" s="2">
        <v>1.0</v>
      </c>
      <c r="H323" s="2">
        <v>0.0</v>
      </c>
      <c r="I323" s="2">
        <v>39000.0</v>
      </c>
      <c r="J323" s="2">
        <v>1.0</v>
      </c>
      <c r="K323" s="2">
        <v>7.0</v>
      </c>
      <c r="O323" s="2" t="s">
        <v>476</v>
      </c>
      <c r="P323" s="2" t="s">
        <v>166</v>
      </c>
      <c r="R323" s="2" t="s">
        <v>434</v>
      </c>
      <c r="S323" s="11">
        <v>42186.79131944444</v>
      </c>
    </row>
    <row r="324" ht="12.75" hidden="1" customHeight="1">
      <c r="A324" s="2" t="str">
        <f>IF(VLOOKUP(E324,Sheet4!$A$585:$B$786,2,0)=0,1, )</f>
        <v>1</v>
      </c>
      <c r="B324" s="2" t="str">
        <f t="shared" si="1"/>
        <v>1</v>
      </c>
      <c r="C324" s="2" t="str">
        <f t="shared" si="2"/>
        <v>2000003853-5426</v>
      </c>
      <c r="D324" s="2">
        <v>3.20050709E8</v>
      </c>
      <c r="E324" s="2">
        <v>2.000003853E9</v>
      </c>
      <c r="F324" s="2">
        <v>5426.0</v>
      </c>
      <c r="G324" s="2">
        <v>1.0</v>
      </c>
      <c r="H324" s="2">
        <v>0.0</v>
      </c>
      <c r="I324" s="2">
        <v>325000.0</v>
      </c>
      <c r="J324" s="2">
        <v>1.0</v>
      </c>
      <c r="K324" s="2">
        <v>7.0</v>
      </c>
      <c r="O324" s="2" t="s">
        <v>478</v>
      </c>
      <c r="P324" s="2" t="s">
        <v>166</v>
      </c>
      <c r="R324" s="2" t="s">
        <v>434</v>
      </c>
      <c r="S324" s="11">
        <v>42186.818923611114</v>
      </c>
    </row>
    <row r="325" ht="12.75" hidden="1" customHeight="1">
      <c r="A325" s="2" t="str">
        <f>IF(VLOOKUP(E325,Sheet4!$A$585:$B$786,2,0)=0,1, )</f>
        <v>1</v>
      </c>
      <c r="B325" s="2" t="str">
        <f t="shared" si="1"/>
        <v/>
      </c>
      <c r="C325" s="2" t="str">
        <f t="shared" si="2"/>
        <v>2000003853-5426</v>
      </c>
      <c r="D325" s="2">
        <v>3.2005071E8</v>
      </c>
      <c r="E325" s="2">
        <v>2.000003853E9</v>
      </c>
      <c r="F325" s="2">
        <v>5426.0</v>
      </c>
      <c r="G325" s="2">
        <v>1.0</v>
      </c>
      <c r="H325" s="2">
        <v>0.0</v>
      </c>
      <c r="I325" s="2">
        <v>325000.0</v>
      </c>
      <c r="J325" s="2">
        <v>1.0</v>
      </c>
      <c r="K325" s="2">
        <v>7.0</v>
      </c>
      <c r="O325" s="2" t="s">
        <v>478</v>
      </c>
      <c r="P325" s="2" t="s">
        <v>166</v>
      </c>
      <c r="R325" s="2" t="s">
        <v>434</v>
      </c>
      <c r="S325" s="11">
        <v>42186.81893518518</v>
      </c>
    </row>
    <row r="326" ht="12.75" hidden="1" customHeight="1">
      <c r="A326" s="2" t="str">
        <f>IF(VLOOKUP(E326,Sheet4!$A$585:$B$786,2,0)=0,1, )</f>
        <v>1</v>
      </c>
      <c r="B326" s="2" t="str">
        <f t="shared" si="1"/>
        <v>1</v>
      </c>
      <c r="C326" s="2" t="str">
        <f t="shared" si="2"/>
        <v>2000003854-14831</v>
      </c>
      <c r="D326" s="2">
        <v>3.20050724E8</v>
      </c>
      <c r="E326" s="2">
        <v>2.000003854E9</v>
      </c>
      <c r="F326" s="2">
        <v>14831.0</v>
      </c>
      <c r="G326" s="2">
        <v>1.0</v>
      </c>
      <c r="H326" s="2">
        <v>0.0</v>
      </c>
      <c r="I326" s="2">
        <v>195000.0</v>
      </c>
      <c r="J326" s="2">
        <v>1.0</v>
      </c>
      <c r="K326" s="2">
        <v>7.0</v>
      </c>
      <c r="O326" s="2" t="s">
        <v>480</v>
      </c>
      <c r="P326" s="2" t="s">
        <v>166</v>
      </c>
      <c r="R326" s="2" t="s">
        <v>434</v>
      </c>
      <c r="S326" s="11">
        <v>42186.8337962963</v>
      </c>
    </row>
    <row r="327" ht="12.75" hidden="1" customHeight="1">
      <c r="A327" s="2" t="str">
        <f>IF(VLOOKUP(E327,Sheet4!$A$585:$B$786,2,0)=0,1, )</f>
        <v>1</v>
      </c>
      <c r="B327" s="2" t="str">
        <f t="shared" si="1"/>
        <v/>
      </c>
      <c r="C327" s="2" t="str">
        <f t="shared" si="2"/>
        <v>2000003854-14831</v>
      </c>
      <c r="D327" s="2">
        <v>3.20050723E8</v>
      </c>
      <c r="E327" s="2">
        <v>2.000003854E9</v>
      </c>
      <c r="F327" s="2">
        <v>14831.0</v>
      </c>
      <c r="G327" s="2">
        <v>1.0</v>
      </c>
      <c r="H327" s="2">
        <v>0.0</v>
      </c>
      <c r="I327" s="2">
        <v>195000.0</v>
      </c>
      <c r="J327" s="2">
        <v>1.0</v>
      </c>
      <c r="K327" s="2">
        <v>7.0</v>
      </c>
      <c r="O327" s="2" t="s">
        <v>480</v>
      </c>
      <c r="P327" s="2" t="s">
        <v>166</v>
      </c>
      <c r="R327" s="2" t="s">
        <v>434</v>
      </c>
      <c r="S327" s="11">
        <v>42186.8337962963</v>
      </c>
    </row>
    <row r="328" ht="12.75" hidden="1" customHeight="1">
      <c r="A328" s="2" t="str">
        <f>IF(VLOOKUP(E328,Sheet4!$A$585:$B$786,2,0)=0,1, )</f>
        <v>1</v>
      </c>
      <c r="B328" s="2" t="str">
        <f t="shared" si="1"/>
        <v/>
      </c>
      <c r="C328" s="2" t="str">
        <f t="shared" si="2"/>
        <v>2000003854-14831</v>
      </c>
      <c r="D328" s="2">
        <v>3.20050722E8</v>
      </c>
      <c r="E328" s="2">
        <v>2.000003854E9</v>
      </c>
      <c r="F328" s="2">
        <v>14831.0</v>
      </c>
      <c r="G328" s="2">
        <v>1.0</v>
      </c>
      <c r="H328" s="2">
        <v>0.0</v>
      </c>
      <c r="I328" s="2">
        <v>195000.0</v>
      </c>
      <c r="J328" s="2">
        <v>1.0</v>
      </c>
      <c r="K328" s="2">
        <v>7.0</v>
      </c>
      <c r="O328" s="2" t="s">
        <v>480</v>
      </c>
      <c r="P328" s="2" t="s">
        <v>166</v>
      </c>
      <c r="R328" s="2" t="s">
        <v>434</v>
      </c>
      <c r="S328" s="11">
        <v>42186.8337962963</v>
      </c>
    </row>
    <row r="329" ht="12.75" hidden="1" customHeight="1">
      <c r="A329" s="2" t="str">
        <f>IF(VLOOKUP(E329,Sheet4!$A$585:$B$786,2,0)=0,1, )</f>
        <v>1</v>
      </c>
      <c r="B329" s="2" t="str">
        <f t="shared" si="1"/>
        <v>1</v>
      </c>
      <c r="C329" s="2" t="str">
        <f t="shared" si="2"/>
        <v>2000003854-15238</v>
      </c>
      <c r="D329" s="2">
        <v>3.20050721E8</v>
      </c>
      <c r="E329" s="2">
        <v>2.000003854E9</v>
      </c>
      <c r="F329" s="2">
        <v>15238.0</v>
      </c>
      <c r="G329" s="2">
        <v>1.0</v>
      </c>
      <c r="H329" s="2">
        <v>0.0</v>
      </c>
      <c r="I329" s="2">
        <v>315000.0</v>
      </c>
      <c r="J329" s="2">
        <v>1.0</v>
      </c>
      <c r="K329" s="2">
        <v>7.0</v>
      </c>
      <c r="O329" s="2" t="s">
        <v>482</v>
      </c>
      <c r="P329" s="2" t="s">
        <v>166</v>
      </c>
      <c r="R329" s="2" t="s">
        <v>434</v>
      </c>
      <c r="S329" s="11">
        <v>42186.8337962963</v>
      </c>
    </row>
    <row r="330" ht="12.75" hidden="1" customHeight="1">
      <c r="A330" s="2" t="str">
        <f>IF(VLOOKUP(E330,Sheet4!$A$585:$B$786,2,0)=0,1, )</f>
        <v>1</v>
      </c>
      <c r="B330" s="2" t="str">
        <f t="shared" si="1"/>
        <v/>
      </c>
      <c r="C330" s="2" t="str">
        <f t="shared" si="2"/>
        <v>2000003854-15238</v>
      </c>
      <c r="D330" s="2">
        <v>3.2005072E8</v>
      </c>
      <c r="E330" s="2">
        <v>2.000003854E9</v>
      </c>
      <c r="F330" s="2">
        <v>15238.0</v>
      </c>
      <c r="G330" s="2">
        <v>1.0</v>
      </c>
      <c r="H330" s="2">
        <v>0.0</v>
      </c>
      <c r="I330" s="2">
        <v>315000.0</v>
      </c>
      <c r="J330" s="2">
        <v>1.0</v>
      </c>
      <c r="K330" s="2">
        <v>7.0</v>
      </c>
      <c r="O330" s="2" t="s">
        <v>482</v>
      </c>
      <c r="P330" s="2" t="s">
        <v>166</v>
      </c>
      <c r="R330" s="2" t="s">
        <v>434</v>
      </c>
      <c r="S330" s="11">
        <v>42186.8337962963</v>
      </c>
    </row>
    <row r="331" ht="12.75" hidden="1" customHeight="1">
      <c r="A331" s="2" t="str">
        <f>IF(VLOOKUP(E331,Sheet4!$A$585:$B$786,2,0)=0,1, )</f>
        <v>1</v>
      </c>
      <c r="B331" s="2" t="str">
        <f t="shared" si="1"/>
        <v/>
      </c>
      <c r="C331" s="2" t="str">
        <f t="shared" si="2"/>
        <v>2000003854-15238</v>
      </c>
      <c r="D331" s="2">
        <v>3.20050719E8</v>
      </c>
      <c r="E331" s="2">
        <v>2.000003854E9</v>
      </c>
      <c r="F331" s="2">
        <v>15238.0</v>
      </c>
      <c r="G331" s="2">
        <v>1.0</v>
      </c>
      <c r="H331" s="2">
        <v>0.0</v>
      </c>
      <c r="I331" s="2">
        <v>315000.0</v>
      </c>
      <c r="J331" s="2">
        <v>1.0</v>
      </c>
      <c r="K331" s="2">
        <v>7.0</v>
      </c>
      <c r="O331" s="2" t="s">
        <v>482</v>
      </c>
      <c r="P331" s="2" t="s">
        <v>166</v>
      </c>
      <c r="R331" s="2" t="s">
        <v>434</v>
      </c>
      <c r="S331" s="11">
        <v>42186.8337962963</v>
      </c>
    </row>
    <row r="332" ht="12.75" hidden="1" customHeight="1">
      <c r="A332" s="2" t="str">
        <f>IF(VLOOKUP(E332,Sheet4!$A$585:$B$786,2,0)=0,1, )</f>
        <v>1</v>
      </c>
      <c r="B332" s="2" t="str">
        <f t="shared" si="1"/>
        <v>1</v>
      </c>
      <c r="C332" s="2" t="str">
        <f t="shared" si="2"/>
        <v>2000003900-8509</v>
      </c>
      <c r="D332" s="2">
        <v>3.20051581E8</v>
      </c>
      <c r="E332" s="2">
        <v>2.0000039E9</v>
      </c>
      <c r="F332" s="2">
        <v>8509.0</v>
      </c>
      <c r="G332" s="2">
        <v>1.0</v>
      </c>
      <c r="H332" s="2">
        <v>0.0</v>
      </c>
      <c r="I332" s="2">
        <v>375000.0</v>
      </c>
      <c r="J332" s="2">
        <v>1.0</v>
      </c>
      <c r="K332" s="2">
        <v>7.0</v>
      </c>
      <c r="O332" s="2" t="s">
        <v>484</v>
      </c>
      <c r="P332" s="2" t="s">
        <v>166</v>
      </c>
      <c r="R332" s="2" t="s">
        <v>434</v>
      </c>
      <c r="S332" s="11">
        <v>42187.85599537037</v>
      </c>
    </row>
    <row r="333" ht="12.75" hidden="1" customHeight="1">
      <c r="A333" s="2" t="str">
        <f>IF(VLOOKUP(E333,Sheet4!$A$585:$B$786,2,0)=0,1, )</f>
        <v>1</v>
      </c>
      <c r="B333" s="2" t="str">
        <f t="shared" si="1"/>
        <v/>
      </c>
      <c r="C333" s="2" t="str">
        <f t="shared" si="2"/>
        <v>2000003900-8509</v>
      </c>
      <c r="D333" s="2">
        <v>3.20051582E8</v>
      </c>
      <c r="E333" s="2">
        <v>2.0000039E9</v>
      </c>
      <c r="F333" s="2">
        <v>8509.0</v>
      </c>
      <c r="G333" s="2">
        <v>1.0</v>
      </c>
      <c r="H333" s="2">
        <v>0.0</v>
      </c>
      <c r="I333" s="2">
        <v>375000.0</v>
      </c>
      <c r="J333" s="2">
        <v>1.0</v>
      </c>
      <c r="K333" s="2">
        <v>7.0</v>
      </c>
      <c r="O333" s="2" t="s">
        <v>484</v>
      </c>
      <c r="P333" s="2" t="s">
        <v>166</v>
      </c>
      <c r="R333" s="2" t="s">
        <v>434</v>
      </c>
      <c r="S333" s="11">
        <v>42187.85599537037</v>
      </c>
    </row>
    <row r="334" ht="12.75" hidden="1" customHeight="1">
      <c r="A334" s="2" t="str">
        <f>IF(VLOOKUP(E334,Sheet4!$A$585:$B$786,2,0)=0,1, )</f>
        <v>1</v>
      </c>
      <c r="B334" s="2" t="str">
        <f t="shared" si="1"/>
        <v>1</v>
      </c>
      <c r="C334" s="2" t="str">
        <f t="shared" si="2"/>
        <v>2000003900-13814</v>
      </c>
      <c r="D334" s="2">
        <v>3.20051583E8</v>
      </c>
      <c r="E334" s="2">
        <v>2.0000039E9</v>
      </c>
      <c r="F334" s="2">
        <v>13814.0</v>
      </c>
      <c r="G334" s="2">
        <v>-1.0</v>
      </c>
      <c r="H334" s="2">
        <v>0.0</v>
      </c>
      <c r="I334" s="2">
        <v>-195000.0</v>
      </c>
      <c r="J334" s="2">
        <v>1.0</v>
      </c>
      <c r="K334" s="2">
        <v>7.0</v>
      </c>
      <c r="O334" s="2" t="s">
        <v>486</v>
      </c>
      <c r="P334" s="2" t="s">
        <v>166</v>
      </c>
      <c r="R334" s="2" t="s">
        <v>434</v>
      </c>
      <c r="S334" s="11">
        <v>42187.85599537037</v>
      </c>
    </row>
    <row r="335" ht="12.75" hidden="1" customHeight="1">
      <c r="A335" s="2" t="str">
        <f>IF(VLOOKUP(E335,Sheet4!$A$585:$B$786,2,0)=0,1, )</f>
        <v>1</v>
      </c>
      <c r="B335" s="2" t="str">
        <f t="shared" si="1"/>
        <v/>
      </c>
      <c r="C335" s="2" t="str">
        <f t="shared" si="2"/>
        <v>2000003900-13814</v>
      </c>
      <c r="D335" s="2">
        <v>3.20051584E8</v>
      </c>
      <c r="E335" s="2">
        <v>2.0000039E9</v>
      </c>
      <c r="F335" s="2">
        <v>13814.0</v>
      </c>
      <c r="G335" s="2">
        <v>-1.0</v>
      </c>
      <c r="H335" s="2">
        <v>0.0</v>
      </c>
      <c r="I335" s="2">
        <v>-195000.0</v>
      </c>
      <c r="J335" s="2">
        <v>1.0</v>
      </c>
      <c r="K335" s="2">
        <v>7.0</v>
      </c>
      <c r="O335" s="2" t="s">
        <v>486</v>
      </c>
      <c r="P335" s="2" t="s">
        <v>166</v>
      </c>
      <c r="R335" s="2" t="s">
        <v>434</v>
      </c>
      <c r="S335" s="11">
        <v>42187.85599537037</v>
      </c>
    </row>
    <row r="336" ht="12.75" hidden="1" customHeight="1">
      <c r="A336" s="2" t="str">
        <f>IF(VLOOKUP(E336,Sheet4!$A$585:$B$786,2,0)=0,1, )</f>
        <v>1</v>
      </c>
      <c r="B336" s="2" t="str">
        <f t="shared" si="1"/>
        <v>1</v>
      </c>
      <c r="C336" s="2" t="str">
        <f t="shared" si="2"/>
        <v>2000003931-975</v>
      </c>
      <c r="D336" s="2">
        <v>3.20052385E8</v>
      </c>
      <c r="E336" s="2">
        <v>2.000003931E9</v>
      </c>
      <c r="F336" s="2">
        <v>975.0</v>
      </c>
      <c r="G336" s="2">
        <v>1.0</v>
      </c>
      <c r="H336" s="2">
        <v>118800.0</v>
      </c>
      <c r="I336" s="2">
        <v>495000.0</v>
      </c>
      <c r="J336" s="2">
        <v>1.0</v>
      </c>
      <c r="K336" s="2">
        <v>7.0</v>
      </c>
      <c r="O336" s="2" t="s">
        <v>488</v>
      </c>
      <c r="P336" s="2" t="s">
        <v>166</v>
      </c>
      <c r="R336" s="2" t="s">
        <v>434</v>
      </c>
      <c r="S336" s="11">
        <v>42188.787523148145</v>
      </c>
    </row>
    <row r="337" ht="12.75" hidden="1" customHeight="1">
      <c r="A337" s="2" t="str">
        <f>IF(VLOOKUP(E337,Sheet4!$A$585:$B$786,2,0)=0,1, )</f>
        <v>1</v>
      </c>
      <c r="B337" s="2" t="str">
        <f t="shared" si="1"/>
        <v>1</v>
      </c>
      <c r="C337" s="2" t="str">
        <f t="shared" si="2"/>
        <v>2000003931-1008</v>
      </c>
      <c r="D337" s="2">
        <v>3.20052415E8</v>
      </c>
      <c r="E337" s="2">
        <v>2.000003931E9</v>
      </c>
      <c r="F337" s="2">
        <v>1008.0</v>
      </c>
      <c r="G337" s="2">
        <v>1.0</v>
      </c>
      <c r="H337" s="2">
        <v>51600.0</v>
      </c>
      <c r="I337" s="2">
        <v>215000.0</v>
      </c>
      <c r="J337" s="2">
        <v>1.0</v>
      </c>
      <c r="K337" s="2">
        <v>7.0</v>
      </c>
      <c r="O337" s="2" t="s">
        <v>490</v>
      </c>
      <c r="P337" s="2" t="s">
        <v>166</v>
      </c>
      <c r="R337" s="2" t="s">
        <v>434</v>
      </c>
      <c r="S337" s="11">
        <v>42188.78759259259</v>
      </c>
    </row>
    <row r="338" ht="12.75" hidden="1" customHeight="1">
      <c r="A338" s="2" t="str">
        <f>IF(VLOOKUP(E338,Sheet4!$A$585:$B$786,2,0)=0,1, )</f>
        <v>1</v>
      </c>
      <c r="B338" s="2" t="str">
        <f t="shared" si="1"/>
        <v/>
      </c>
      <c r="C338" s="2" t="str">
        <f t="shared" si="2"/>
        <v>2000003931-1008</v>
      </c>
      <c r="D338" s="2">
        <v>3.20052414E8</v>
      </c>
      <c r="E338" s="2">
        <v>2.000003931E9</v>
      </c>
      <c r="F338" s="2">
        <v>1008.0</v>
      </c>
      <c r="G338" s="2">
        <v>1.0</v>
      </c>
      <c r="H338" s="2">
        <v>51600.0</v>
      </c>
      <c r="I338" s="2">
        <v>215000.0</v>
      </c>
      <c r="J338" s="2">
        <v>1.0</v>
      </c>
      <c r="K338" s="2">
        <v>7.0</v>
      </c>
      <c r="O338" s="2" t="s">
        <v>490</v>
      </c>
      <c r="P338" s="2" t="s">
        <v>166</v>
      </c>
      <c r="R338" s="2" t="s">
        <v>434</v>
      </c>
      <c r="S338" s="11">
        <v>42188.78759259259</v>
      </c>
    </row>
    <row r="339" ht="12.75" hidden="1" customHeight="1">
      <c r="A339" s="2" t="str">
        <f>IF(VLOOKUP(E339,Sheet4!$A$585:$B$786,2,0)=0,1, )</f>
        <v>1</v>
      </c>
      <c r="B339" s="2" t="str">
        <f t="shared" si="1"/>
        <v/>
      </c>
      <c r="C339" s="2" t="str">
        <f t="shared" si="2"/>
        <v>2000003931-1008</v>
      </c>
      <c r="D339" s="2">
        <v>3.20052413E8</v>
      </c>
      <c r="E339" s="2">
        <v>2.000003931E9</v>
      </c>
      <c r="F339" s="2">
        <v>1008.0</v>
      </c>
      <c r="G339" s="2">
        <v>1.0</v>
      </c>
      <c r="H339" s="2">
        <v>51600.0</v>
      </c>
      <c r="I339" s="2">
        <v>215000.0</v>
      </c>
      <c r="J339" s="2">
        <v>1.0</v>
      </c>
      <c r="K339" s="2">
        <v>7.0</v>
      </c>
      <c r="O339" s="2" t="s">
        <v>490</v>
      </c>
      <c r="P339" s="2" t="s">
        <v>166</v>
      </c>
      <c r="R339" s="2" t="s">
        <v>434</v>
      </c>
      <c r="S339" s="11">
        <v>42188.78759259259</v>
      </c>
    </row>
    <row r="340" ht="12.75" hidden="1" customHeight="1">
      <c r="A340" s="2" t="str">
        <f>IF(VLOOKUP(E340,Sheet4!$A$585:$B$786,2,0)=0,1, )</f>
        <v>1</v>
      </c>
      <c r="B340" s="2" t="str">
        <f t="shared" si="1"/>
        <v>1</v>
      </c>
      <c r="C340" s="2" t="str">
        <f t="shared" si="2"/>
        <v>2000003931-1009</v>
      </c>
      <c r="D340" s="2">
        <v>3.20052384E8</v>
      </c>
      <c r="E340" s="2">
        <v>2.000003931E9</v>
      </c>
      <c r="F340" s="2">
        <v>1009.0</v>
      </c>
      <c r="G340" s="2">
        <v>1.0</v>
      </c>
      <c r="H340" s="2">
        <v>50400.0</v>
      </c>
      <c r="I340" s="2">
        <v>210000.0</v>
      </c>
      <c r="J340" s="2">
        <v>1.0</v>
      </c>
      <c r="K340" s="2">
        <v>7.0</v>
      </c>
      <c r="O340" s="2" t="s">
        <v>444</v>
      </c>
      <c r="P340" s="2" t="s">
        <v>166</v>
      </c>
      <c r="R340" s="2" t="s">
        <v>434</v>
      </c>
      <c r="S340" s="11">
        <v>42188.787511574075</v>
      </c>
    </row>
    <row r="341" ht="12.75" hidden="1" customHeight="1">
      <c r="A341" s="2" t="str">
        <f>IF(VLOOKUP(E341,Sheet4!$A$585:$B$786,2,0)=0,1, )</f>
        <v>1</v>
      </c>
      <c r="B341" s="2" t="str">
        <f t="shared" si="1"/>
        <v>1</v>
      </c>
      <c r="C341" s="2" t="str">
        <f t="shared" si="2"/>
        <v>2000003931-1013</v>
      </c>
      <c r="D341" s="2">
        <v>3.20052408E8</v>
      </c>
      <c r="E341" s="2">
        <v>2.000003931E9</v>
      </c>
      <c r="F341" s="2">
        <v>1013.0</v>
      </c>
      <c r="G341" s="2">
        <v>2.0</v>
      </c>
      <c r="H341" s="2">
        <v>110400.0</v>
      </c>
      <c r="I341" s="2">
        <v>460000.0</v>
      </c>
      <c r="J341" s="2">
        <v>1.0</v>
      </c>
      <c r="K341" s="2">
        <v>7.0</v>
      </c>
      <c r="O341" s="2" t="s">
        <v>459</v>
      </c>
      <c r="P341" s="2" t="s">
        <v>166</v>
      </c>
      <c r="R341" s="2" t="s">
        <v>434</v>
      </c>
      <c r="S341" s="11">
        <v>42188.78759259259</v>
      </c>
    </row>
    <row r="342" ht="12.75" hidden="1" customHeight="1">
      <c r="A342" s="2" t="str">
        <f>IF(VLOOKUP(E342,Sheet4!$A$585:$B$786,2,0)=0,1, )</f>
        <v>1</v>
      </c>
      <c r="B342" s="2" t="str">
        <f t="shared" si="1"/>
        <v/>
      </c>
      <c r="C342" s="2" t="str">
        <f t="shared" si="2"/>
        <v>2000003931-1013</v>
      </c>
      <c r="D342" s="2">
        <v>3.20052412E8</v>
      </c>
      <c r="E342" s="2">
        <v>2.000003931E9</v>
      </c>
      <c r="F342" s="2">
        <v>1013.0</v>
      </c>
      <c r="G342" s="2">
        <v>2.0</v>
      </c>
      <c r="H342" s="2">
        <v>110400.0</v>
      </c>
      <c r="I342" s="2">
        <v>460000.0</v>
      </c>
      <c r="J342" s="2">
        <v>1.0</v>
      </c>
      <c r="K342" s="2">
        <v>7.0</v>
      </c>
      <c r="O342" s="2" t="s">
        <v>459</v>
      </c>
      <c r="P342" s="2" t="s">
        <v>166</v>
      </c>
      <c r="R342" s="2" t="s">
        <v>434</v>
      </c>
      <c r="S342" s="11">
        <v>42188.78759259259</v>
      </c>
    </row>
    <row r="343" ht="12.75" hidden="1" customHeight="1">
      <c r="A343" s="2" t="str">
        <f>IF(VLOOKUP(E343,Sheet4!$A$585:$B$786,2,0)=0,1, )</f>
        <v>1</v>
      </c>
      <c r="B343" s="2" t="str">
        <f t="shared" si="1"/>
        <v/>
      </c>
      <c r="C343" s="2" t="str">
        <f t="shared" si="2"/>
        <v>2000003931-1013</v>
      </c>
      <c r="D343" s="2">
        <v>3.20052411E8</v>
      </c>
      <c r="E343" s="2">
        <v>2.000003931E9</v>
      </c>
      <c r="F343" s="2">
        <v>1013.0</v>
      </c>
      <c r="G343" s="2">
        <v>2.0</v>
      </c>
      <c r="H343" s="2">
        <v>110400.0</v>
      </c>
      <c r="I343" s="2">
        <v>460000.0</v>
      </c>
      <c r="J343" s="2">
        <v>1.0</v>
      </c>
      <c r="K343" s="2">
        <v>7.0</v>
      </c>
      <c r="O343" s="2" t="s">
        <v>459</v>
      </c>
      <c r="P343" s="2" t="s">
        <v>166</v>
      </c>
      <c r="R343" s="2" t="s">
        <v>434</v>
      </c>
      <c r="S343" s="11">
        <v>42188.78759259259</v>
      </c>
    </row>
    <row r="344" ht="12.75" hidden="1" customHeight="1">
      <c r="A344" s="2" t="str">
        <f>IF(VLOOKUP(E344,Sheet4!$A$585:$B$786,2,0)=0,1, )</f>
        <v>1</v>
      </c>
      <c r="B344" s="2" t="str">
        <f t="shared" si="1"/>
        <v>1</v>
      </c>
      <c r="C344" s="2" t="str">
        <f t="shared" si="2"/>
        <v>2000003931-3856</v>
      </c>
      <c r="D344" s="2">
        <v>3.20052403E8</v>
      </c>
      <c r="E344" s="2">
        <v>2.000003931E9</v>
      </c>
      <c r="F344" s="2">
        <v>3856.0</v>
      </c>
      <c r="G344" s="2">
        <v>1.0</v>
      </c>
      <c r="H344" s="2">
        <v>412800.0</v>
      </c>
      <c r="I344" s="2">
        <v>1720000.0</v>
      </c>
      <c r="J344" s="2">
        <v>1.0</v>
      </c>
      <c r="K344" s="2">
        <v>7.0</v>
      </c>
      <c r="O344" s="2" t="s">
        <v>494</v>
      </c>
      <c r="P344" s="2" t="s">
        <v>166</v>
      </c>
      <c r="R344" s="2" t="s">
        <v>434</v>
      </c>
      <c r="S344" s="11">
        <v>42188.78758101852</v>
      </c>
    </row>
    <row r="345" ht="12.75" hidden="1" customHeight="1">
      <c r="A345" s="2" t="str">
        <f>IF(VLOOKUP(E345,Sheet4!$A$585:$B$786,2,0)=0,1, )</f>
        <v>1</v>
      </c>
      <c r="B345" s="2" t="str">
        <f t="shared" si="1"/>
        <v/>
      </c>
      <c r="C345" s="2" t="str">
        <f t="shared" si="2"/>
        <v>2000003931-3856</v>
      </c>
      <c r="D345" s="2">
        <v>3.20052404E8</v>
      </c>
      <c r="E345" s="2">
        <v>2.000003931E9</v>
      </c>
      <c r="F345" s="2">
        <v>3856.0</v>
      </c>
      <c r="G345" s="2">
        <v>1.0</v>
      </c>
      <c r="H345" s="2">
        <v>412800.0</v>
      </c>
      <c r="I345" s="2">
        <v>1720000.0</v>
      </c>
      <c r="J345" s="2">
        <v>1.0</v>
      </c>
      <c r="K345" s="2">
        <v>7.0</v>
      </c>
      <c r="O345" s="2" t="s">
        <v>494</v>
      </c>
      <c r="P345" s="2" t="s">
        <v>166</v>
      </c>
      <c r="R345" s="2" t="s">
        <v>434</v>
      </c>
      <c r="S345" s="11">
        <v>42188.78758101852</v>
      </c>
    </row>
    <row r="346" ht="12.75" hidden="1" customHeight="1">
      <c r="A346" s="2" t="str">
        <f>IF(VLOOKUP(E346,Sheet4!$A$585:$B$786,2,0)=0,1, )</f>
        <v>1</v>
      </c>
      <c r="B346" s="2" t="str">
        <f t="shared" si="1"/>
        <v/>
      </c>
      <c r="C346" s="2" t="str">
        <f t="shared" si="2"/>
        <v>2000003931-3856</v>
      </c>
      <c r="D346" s="2">
        <v>3.20052407E8</v>
      </c>
      <c r="E346" s="2">
        <v>2.000003931E9</v>
      </c>
      <c r="F346" s="2">
        <v>3856.0</v>
      </c>
      <c r="G346" s="2">
        <v>1.0</v>
      </c>
      <c r="H346" s="2">
        <v>412800.0</v>
      </c>
      <c r="I346" s="2">
        <v>1720000.0</v>
      </c>
      <c r="J346" s="2">
        <v>1.0</v>
      </c>
      <c r="K346" s="2">
        <v>7.0</v>
      </c>
      <c r="O346" s="2" t="s">
        <v>494</v>
      </c>
      <c r="P346" s="2" t="s">
        <v>166</v>
      </c>
      <c r="R346" s="2" t="s">
        <v>434</v>
      </c>
      <c r="S346" s="11">
        <v>42188.78759259259</v>
      </c>
    </row>
    <row r="347" ht="12.75" hidden="1" customHeight="1">
      <c r="A347" s="2" t="str">
        <f>IF(VLOOKUP(E347,Sheet4!$A$585:$B$786,2,0)=0,1, )</f>
        <v>1</v>
      </c>
      <c r="B347" s="2" t="str">
        <f t="shared" si="1"/>
        <v>1</v>
      </c>
      <c r="C347" s="2" t="str">
        <f t="shared" si="2"/>
        <v>2000003931-3876</v>
      </c>
      <c r="D347" s="2">
        <v>3.2005241E8</v>
      </c>
      <c r="E347" s="2">
        <v>2.000003931E9</v>
      </c>
      <c r="F347" s="2">
        <v>3876.0</v>
      </c>
      <c r="G347" s="2">
        <v>1.0</v>
      </c>
      <c r="H347" s="2">
        <v>103200.0</v>
      </c>
      <c r="I347" s="2">
        <v>430000.0</v>
      </c>
      <c r="J347" s="2">
        <v>1.0</v>
      </c>
      <c r="K347" s="2">
        <v>7.0</v>
      </c>
      <c r="O347" s="2" t="s">
        <v>496</v>
      </c>
      <c r="P347" s="2" t="s">
        <v>166</v>
      </c>
      <c r="R347" s="2" t="s">
        <v>434</v>
      </c>
      <c r="S347" s="11">
        <v>42188.78759259259</v>
      </c>
    </row>
    <row r="348" ht="12.75" hidden="1" customHeight="1">
      <c r="A348" s="2" t="str">
        <f>IF(VLOOKUP(E348,Sheet4!$A$585:$B$786,2,0)=0,1, )</f>
        <v>1</v>
      </c>
      <c r="B348" s="2" t="str">
        <f t="shared" si="1"/>
        <v/>
      </c>
      <c r="C348" s="2" t="str">
        <f t="shared" si="2"/>
        <v>2000003931-3876</v>
      </c>
      <c r="D348" s="2">
        <v>3.20052409E8</v>
      </c>
      <c r="E348" s="2">
        <v>2.000003931E9</v>
      </c>
      <c r="F348" s="2">
        <v>3876.0</v>
      </c>
      <c r="G348" s="2">
        <v>1.0</v>
      </c>
      <c r="H348" s="2">
        <v>103200.0</v>
      </c>
      <c r="I348" s="2">
        <v>430000.0</v>
      </c>
      <c r="J348" s="2">
        <v>1.0</v>
      </c>
      <c r="K348" s="2">
        <v>7.0</v>
      </c>
      <c r="O348" s="2" t="s">
        <v>496</v>
      </c>
      <c r="P348" s="2" t="s">
        <v>166</v>
      </c>
      <c r="R348" s="2" t="s">
        <v>434</v>
      </c>
      <c r="S348" s="11">
        <v>42188.78759259259</v>
      </c>
    </row>
    <row r="349" ht="12.75" hidden="1" customHeight="1">
      <c r="A349" s="2" t="str">
        <f>IF(VLOOKUP(E349,Sheet4!$A$585:$B$786,2,0)=0,1, )</f>
        <v>1</v>
      </c>
      <c r="B349" s="2" t="str">
        <f t="shared" si="1"/>
        <v/>
      </c>
      <c r="C349" s="2" t="str">
        <f t="shared" si="2"/>
        <v>2000003931-3876</v>
      </c>
      <c r="D349" s="2">
        <v>3.20052406E8</v>
      </c>
      <c r="E349" s="2">
        <v>2.000003931E9</v>
      </c>
      <c r="F349" s="2">
        <v>3876.0</v>
      </c>
      <c r="G349" s="2">
        <v>1.0</v>
      </c>
      <c r="H349" s="2">
        <v>103200.0</v>
      </c>
      <c r="I349" s="2">
        <v>430000.0</v>
      </c>
      <c r="J349" s="2">
        <v>1.0</v>
      </c>
      <c r="K349" s="2">
        <v>7.0</v>
      </c>
      <c r="O349" s="2" t="s">
        <v>496</v>
      </c>
      <c r="P349" s="2" t="s">
        <v>166</v>
      </c>
      <c r="R349" s="2" t="s">
        <v>434</v>
      </c>
      <c r="S349" s="11">
        <v>42188.78758101852</v>
      </c>
    </row>
    <row r="350" ht="12.75" hidden="1" customHeight="1">
      <c r="A350" s="2" t="str">
        <f>IF(VLOOKUP(E350,Sheet4!$A$585:$B$786,2,0)=0,1, )</f>
        <v>1</v>
      </c>
      <c r="B350" s="2" t="str">
        <f t="shared" si="1"/>
        <v>1</v>
      </c>
      <c r="C350" s="2" t="str">
        <f t="shared" si="2"/>
        <v>2000003931-5466</v>
      </c>
      <c r="D350" s="2">
        <v>3.20052386E8</v>
      </c>
      <c r="E350" s="2">
        <v>2.000003931E9</v>
      </c>
      <c r="F350" s="2">
        <v>5466.0</v>
      </c>
      <c r="G350" s="2">
        <v>1.0</v>
      </c>
      <c r="H350" s="2">
        <v>106800.0</v>
      </c>
      <c r="I350" s="2">
        <v>445000.0</v>
      </c>
      <c r="J350" s="2">
        <v>1.0</v>
      </c>
      <c r="K350" s="2">
        <v>7.0</v>
      </c>
      <c r="O350" s="2" t="s">
        <v>498</v>
      </c>
      <c r="P350" s="2" t="s">
        <v>166</v>
      </c>
      <c r="R350" s="2" t="s">
        <v>434</v>
      </c>
      <c r="S350" s="11">
        <v>42188.787523148145</v>
      </c>
    </row>
    <row r="351" ht="12.75" hidden="1" customHeight="1">
      <c r="A351" s="2" t="str">
        <f>IF(VLOOKUP(E351,Sheet4!$A$585:$B$786,2,0)=0,1, )</f>
        <v>1</v>
      </c>
      <c r="B351" s="2" t="str">
        <f t="shared" si="1"/>
        <v>1</v>
      </c>
      <c r="C351" s="2" t="str">
        <f t="shared" si="2"/>
        <v>2000003931-8504</v>
      </c>
      <c r="D351" s="2">
        <v>3.20052389E8</v>
      </c>
      <c r="E351" s="2">
        <v>2.000003931E9</v>
      </c>
      <c r="F351" s="2">
        <v>8504.0</v>
      </c>
      <c r="G351" s="2">
        <v>10.0</v>
      </c>
      <c r="H351" s="2">
        <v>540000.0</v>
      </c>
      <c r="I351" s="2">
        <v>2250000.0</v>
      </c>
      <c r="J351" s="2">
        <v>1.0</v>
      </c>
      <c r="K351" s="2">
        <v>7.0</v>
      </c>
      <c r="O351" s="2" t="s">
        <v>500</v>
      </c>
      <c r="P351" s="2" t="s">
        <v>166</v>
      </c>
      <c r="R351" s="2" t="s">
        <v>434</v>
      </c>
      <c r="S351" s="11">
        <v>42188.78755787037</v>
      </c>
    </row>
    <row r="352" ht="12.75" hidden="1" customHeight="1">
      <c r="A352" s="2" t="str">
        <f>IF(VLOOKUP(E352,Sheet4!$A$585:$B$786,2,0)=0,1, )</f>
        <v>1</v>
      </c>
      <c r="B352" s="2" t="str">
        <f t="shared" si="1"/>
        <v/>
      </c>
      <c r="C352" s="2" t="str">
        <f t="shared" si="2"/>
        <v>2000003931-8504</v>
      </c>
      <c r="D352" s="2">
        <v>3.2005239E8</v>
      </c>
      <c r="E352" s="2">
        <v>2.000003931E9</v>
      </c>
      <c r="F352" s="2">
        <v>8504.0</v>
      </c>
      <c r="G352" s="2">
        <v>10.0</v>
      </c>
      <c r="H352" s="2">
        <v>540000.0</v>
      </c>
      <c r="I352" s="2">
        <v>2250000.0</v>
      </c>
      <c r="J352" s="2">
        <v>1.0</v>
      </c>
      <c r="K352" s="2">
        <v>7.0</v>
      </c>
      <c r="O352" s="2" t="s">
        <v>500</v>
      </c>
      <c r="P352" s="2" t="s">
        <v>166</v>
      </c>
      <c r="R352" s="2" t="s">
        <v>434</v>
      </c>
      <c r="S352" s="11">
        <v>42188.78755787037</v>
      </c>
    </row>
    <row r="353" ht="12.75" hidden="1" customHeight="1">
      <c r="A353" s="2" t="str">
        <f>IF(VLOOKUP(E353,Sheet4!$A$585:$B$786,2,0)=0,1, )</f>
        <v>1</v>
      </c>
      <c r="B353" s="2" t="str">
        <f t="shared" si="1"/>
        <v/>
      </c>
      <c r="C353" s="2" t="str">
        <f t="shared" si="2"/>
        <v>2000003931-8504</v>
      </c>
      <c r="D353" s="2">
        <v>3.20052391E8</v>
      </c>
      <c r="E353" s="2">
        <v>2.000003931E9</v>
      </c>
      <c r="F353" s="2">
        <v>8504.0</v>
      </c>
      <c r="G353" s="2">
        <v>10.0</v>
      </c>
      <c r="H353" s="2">
        <v>540000.0</v>
      </c>
      <c r="I353" s="2">
        <v>2250000.0</v>
      </c>
      <c r="J353" s="2">
        <v>1.0</v>
      </c>
      <c r="K353" s="2">
        <v>7.0</v>
      </c>
      <c r="O353" s="2" t="s">
        <v>500</v>
      </c>
      <c r="P353" s="2" t="s">
        <v>166</v>
      </c>
      <c r="R353" s="2" t="s">
        <v>434</v>
      </c>
      <c r="S353" s="11">
        <v>42188.78755787037</v>
      </c>
    </row>
    <row r="354" ht="12.75" hidden="1" customHeight="1">
      <c r="A354" s="2" t="str">
        <f>IF(VLOOKUP(E354,Sheet4!$A$585:$B$786,2,0)=0,1, )</f>
        <v>1</v>
      </c>
      <c r="B354" s="2" t="str">
        <f t="shared" si="1"/>
        <v>1</v>
      </c>
      <c r="C354" s="2" t="str">
        <f t="shared" si="2"/>
        <v>2000003931-8506</v>
      </c>
      <c r="D354" s="2">
        <v>3.20052387E8</v>
      </c>
      <c r="E354" s="2">
        <v>2.000003931E9</v>
      </c>
      <c r="F354" s="2">
        <v>8506.0</v>
      </c>
      <c r="G354" s="2">
        <v>9.0</v>
      </c>
      <c r="H354" s="2">
        <v>680400.0</v>
      </c>
      <c r="I354" s="2">
        <v>2835000.0</v>
      </c>
      <c r="J354" s="2">
        <v>1.0</v>
      </c>
      <c r="K354" s="2">
        <v>7.0</v>
      </c>
      <c r="O354" s="2" t="s">
        <v>502</v>
      </c>
      <c r="P354" s="2" t="s">
        <v>166</v>
      </c>
      <c r="R354" s="2" t="s">
        <v>434</v>
      </c>
      <c r="S354" s="11">
        <v>42188.787523148145</v>
      </c>
    </row>
    <row r="355" ht="12.75" hidden="1" customHeight="1">
      <c r="A355" s="2" t="str">
        <f>IF(VLOOKUP(E355,Sheet4!$A$585:$B$786,2,0)=0,1, )</f>
        <v>1</v>
      </c>
      <c r="B355" s="2" t="str">
        <f t="shared" si="1"/>
        <v>1</v>
      </c>
      <c r="C355" s="2" t="str">
        <f t="shared" si="2"/>
        <v>2000003931-8508</v>
      </c>
      <c r="D355" s="2">
        <v>3.20052388E8</v>
      </c>
      <c r="E355" s="2">
        <v>2.000003931E9</v>
      </c>
      <c r="F355" s="2">
        <v>8508.0</v>
      </c>
      <c r="G355" s="2">
        <v>8.0</v>
      </c>
      <c r="H355" s="2">
        <v>662400.0</v>
      </c>
      <c r="I355" s="2">
        <v>2760000.0</v>
      </c>
      <c r="J355" s="2">
        <v>1.0</v>
      </c>
      <c r="K355" s="2">
        <v>7.0</v>
      </c>
      <c r="O355" s="2" t="s">
        <v>504</v>
      </c>
      <c r="P355" s="2" t="s">
        <v>166</v>
      </c>
      <c r="R355" s="2" t="s">
        <v>434</v>
      </c>
      <c r="S355" s="11">
        <v>42188.78755787037</v>
      </c>
    </row>
    <row r="356" ht="12.75" hidden="1" customHeight="1">
      <c r="A356" s="2" t="str">
        <f>IF(VLOOKUP(E356,Sheet4!$A$585:$B$786,2,0)=0,1, )</f>
        <v>1</v>
      </c>
      <c r="B356" s="2" t="str">
        <f t="shared" si="1"/>
        <v>1</v>
      </c>
      <c r="C356" s="2" t="str">
        <f t="shared" si="2"/>
        <v>2000003931-8518</v>
      </c>
      <c r="D356" s="2">
        <v>3.20052405E8</v>
      </c>
      <c r="E356" s="2">
        <v>2.000003931E9</v>
      </c>
      <c r="F356" s="2">
        <v>8518.0</v>
      </c>
      <c r="G356" s="2">
        <v>2.0</v>
      </c>
      <c r="H356" s="2">
        <v>160800.0</v>
      </c>
      <c r="I356" s="2">
        <v>670000.0</v>
      </c>
      <c r="J356" s="2">
        <v>1.0</v>
      </c>
      <c r="K356" s="2">
        <v>7.0</v>
      </c>
      <c r="O356" s="2" t="s">
        <v>506</v>
      </c>
      <c r="P356" s="2" t="s">
        <v>166</v>
      </c>
      <c r="R356" s="2" t="s">
        <v>434</v>
      </c>
      <c r="S356" s="11">
        <v>42188.78758101852</v>
      </c>
    </row>
    <row r="357" ht="12.75" hidden="1" customHeight="1">
      <c r="A357" s="2" t="str">
        <f>IF(VLOOKUP(E357,Sheet4!$A$585:$B$786,2,0)=0,1, )</f>
        <v>1</v>
      </c>
      <c r="B357" s="2" t="str">
        <f t="shared" si="1"/>
        <v/>
      </c>
      <c r="C357" s="2" t="str">
        <f t="shared" si="2"/>
        <v>2000003931-8518</v>
      </c>
      <c r="D357" s="2">
        <v>3.200524E8</v>
      </c>
      <c r="E357" s="2">
        <v>2.000003931E9</v>
      </c>
      <c r="F357" s="2">
        <v>8518.0</v>
      </c>
      <c r="G357" s="2">
        <v>2.0</v>
      </c>
      <c r="H357" s="2">
        <v>160800.0</v>
      </c>
      <c r="I357" s="2">
        <v>670000.0</v>
      </c>
      <c r="J357" s="2">
        <v>1.0</v>
      </c>
      <c r="K357" s="2">
        <v>7.0</v>
      </c>
      <c r="O357" s="2" t="s">
        <v>506</v>
      </c>
      <c r="P357" s="2" t="s">
        <v>166</v>
      </c>
      <c r="R357" s="2" t="s">
        <v>434</v>
      </c>
      <c r="S357" s="11">
        <v>42188.78758101852</v>
      </c>
    </row>
    <row r="358" ht="12.75" hidden="1" customHeight="1">
      <c r="A358" s="2" t="str">
        <f>IF(VLOOKUP(E358,Sheet4!$A$585:$B$786,2,0)=0,1, )</f>
        <v>1</v>
      </c>
      <c r="B358" s="2" t="str">
        <f t="shared" si="1"/>
        <v/>
      </c>
      <c r="C358" s="2" t="str">
        <f t="shared" si="2"/>
        <v>2000003931-8518</v>
      </c>
      <c r="D358" s="2">
        <v>3.20052402E8</v>
      </c>
      <c r="E358" s="2">
        <v>2.000003931E9</v>
      </c>
      <c r="F358" s="2">
        <v>8518.0</v>
      </c>
      <c r="G358" s="2">
        <v>2.0</v>
      </c>
      <c r="H358" s="2">
        <v>160800.0</v>
      </c>
      <c r="I358" s="2">
        <v>670000.0</v>
      </c>
      <c r="J358" s="2">
        <v>1.0</v>
      </c>
      <c r="K358" s="2">
        <v>7.0</v>
      </c>
      <c r="O358" s="2" t="s">
        <v>506</v>
      </c>
      <c r="P358" s="2" t="s">
        <v>166</v>
      </c>
      <c r="R358" s="2" t="s">
        <v>434</v>
      </c>
      <c r="S358" s="11">
        <v>42188.78758101852</v>
      </c>
    </row>
    <row r="359" ht="12.75" hidden="1" customHeight="1">
      <c r="A359" s="2" t="str">
        <f>IF(VLOOKUP(E359,Sheet4!$A$585:$B$786,2,0)=0,1, )</f>
        <v>1</v>
      </c>
      <c r="B359" s="2" t="str">
        <f t="shared" si="1"/>
        <v>1</v>
      </c>
      <c r="C359" s="2" t="str">
        <f t="shared" si="2"/>
        <v>2000003931-8519</v>
      </c>
      <c r="D359" s="2">
        <v>3.20052401E8</v>
      </c>
      <c r="E359" s="2">
        <v>2.000003931E9</v>
      </c>
      <c r="F359" s="2">
        <v>8519.0</v>
      </c>
      <c r="G359" s="2">
        <v>8.0</v>
      </c>
      <c r="H359" s="2">
        <v>758400.0</v>
      </c>
      <c r="I359" s="2">
        <v>3160000.0</v>
      </c>
      <c r="J359" s="2">
        <v>1.0</v>
      </c>
      <c r="K359" s="2">
        <v>7.0</v>
      </c>
      <c r="O359" s="2" t="s">
        <v>508</v>
      </c>
      <c r="P359" s="2" t="s">
        <v>166</v>
      </c>
      <c r="R359" s="2" t="s">
        <v>434</v>
      </c>
      <c r="S359" s="11">
        <v>42188.78758101852</v>
      </c>
    </row>
    <row r="360" ht="12.75" hidden="1" customHeight="1">
      <c r="A360" s="2" t="str">
        <f>IF(VLOOKUP(E360,Sheet4!$A$585:$B$786,2,0)=0,1, )</f>
        <v>1</v>
      </c>
      <c r="B360" s="2" t="str">
        <f t="shared" si="1"/>
        <v/>
      </c>
      <c r="C360" s="2" t="str">
        <f t="shared" si="2"/>
        <v>2000003931-8519</v>
      </c>
      <c r="D360" s="2">
        <v>3.20052399E8</v>
      </c>
      <c r="E360" s="2">
        <v>2.000003931E9</v>
      </c>
      <c r="F360" s="2">
        <v>8519.0</v>
      </c>
      <c r="G360" s="2">
        <v>8.0</v>
      </c>
      <c r="H360" s="2">
        <v>758400.0</v>
      </c>
      <c r="I360" s="2">
        <v>3160000.0</v>
      </c>
      <c r="J360" s="2">
        <v>1.0</v>
      </c>
      <c r="K360" s="2">
        <v>7.0</v>
      </c>
      <c r="O360" s="2" t="s">
        <v>508</v>
      </c>
      <c r="P360" s="2" t="s">
        <v>166</v>
      </c>
      <c r="R360" s="2" t="s">
        <v>434</v>
      </c>
      <c r="S360" s="11">
        <v>42188.787569444445</v>
      </c>
    </row>
    <row r="361" ht="12.75" hidden="1" customHeight="1">
      <c r="A361" s="2" t="str">
        <f>IF(VLOOKUP(E361,Sheet4!$A$585:$B$786,2,0)=0,1, )</f>
        <v>1</v>
      </c>
      <c r="B361" s="2" t="str">
        <f t="shared" si="1"/>
        <v/>
      </c>
      <c r="C361" s="2" t="str">
        <f t="shared" si="2"/>
        <v>2000003931-8519</v>
      </c>
      <c r="D361" s="2">
        <v>3.20052398E8</v>
      </c>
      <c r="E361" s="2">
        <v>2.000003931E9</v>
      </c>
      <c r="F361" s="2">
        <v>8519.0</v>
      </c>
      <c r="G361" s="2">
        <v>8.0</v>
      </c>
      <c r="H361" s="2">
        <v>758400.0</v>
      </c>
      <c r="I361" s="2">
        <v>3160000.0</v>
      </c>
      <c r="J361" s="2">
        <v>1.0</v>
      </c>
      <c r="K361" s="2">
        <v>7.0</v>
      </c>
      <c r="O361" s="2" t="s">
        <v>508</v>
      </c>
      <c r="P361" s="2" t="s">
        <v>166</v>
      </c>
      <c r="R361" s="2" t="s">
        <v>434</v>
      </c>
      <c r="S361" s="11">
        <v>42188.78755787037</v>
      </c>
    </row>
    <row r="362" ht="12.75" hidden="1" customHeight="1">
      <c r="A362" s="2" t="str">
        <f>IF(VLOOKUP(E362,Sheet4!$A$585:$B$786,2,0)=0,1, )</f>
        <v>1</v>
      </c>
      <c r="B362" s="2" t="str">
        <f t="shared" si="1"/>
        <v>1</v>
      </c>
      <c r="C362" s="2" t="str">
        <f t="shared" si="2"/>
        <v>2000003931-8540</v>
      </c>
      <c r="D362" s="2">
        <v>3.20052383E8</v>
      </c>
      <c r="E362" s="2">
        <v>2.000003931E9</v>
      </c>
      <c r="F362" s="2">
        <v>8540.0</v>
      </c>
      <c r="G362" s="2">
        <v>5.0</v>
      </c>
      <c r="H362" s="2">
        <v>330000.0</v>
      </c>
      <c r="I362" s="2">
        <v>1375000.0</v>
      </c>
      <c r="J362" s="2">
        <v>1.0</v>
      </c>
      <c r="K362" s="2">
        <v>7.0</v>
      </c>
      <c r="O362" s="2" t="s">
        <v>510</v>
      </c>
      <c r="P362" s="2" t="s">
        <v>166</v>
      </c>
      <c r="R362" s="2" t="s">
        <v>434</v>
      </c>
      <c r="S362" s="11">
        <v>42188.787511574075</v>
      </c>
    </row>
    <row r="363" ht="12.75" hidden="1" customHeight="1">
      <c r="A363" s="2" t="str">
        <f>IF(VLOOKUP(E363,Sheet4!$A$585:$B$786,2,0)=0,1, )</f>
        <v>1</v>
      </c>
      <c r="B363" s="2" t="str">
        <f t="shared" si="1"/>
        <v>1</v>
      </c>
      <c r="C363" s="2" t="str">
        <f t="shared" si="2"/>
        <v>2000003931-8544</v>
      </c>
      <c r="D363" s="2">
        <v>3.20052397E8</v>
      </c>
      <c r="E363" s="2">
        <v>2.000003931E9</v>
      </c>
      <c r="F363" s="2">
        <v>8544.0</v>
      </c>
      <c r="G363" s="2">
        <v>5.0</v>
      </c>
      <c r="H363" s="2">
        <v>438000.0</v>
      </c>
      <c r="I363" s="2">
        <v>1825000.0</v>
      </c>
      <c r="J363" s="2">
        <v>1.0</v>
      </c>
      <c r="K363" s="2">
        <v>7.0</v>
      </c>
      <c r="O363" s="2" t="s">
        <v>512</v>
      </c>
      <c r="P363" s="2" t="s">
        <v>166</v>
      </c>
      <c r="R363" s="2" t="s">
        <v>434</v>
      </c>
      <c r="S363" s="11">
        <v>42188.78755787037</v>
      </c>
    </row>
    <row r="364" ht="12.75" hidden="1" customHeight="1">
      <c r="A364" s="2" t="str">
        <f>IF(VLOOKUP(E364,Sheet4!$A$585:$B$786,2,0)=0,1, )</f>
        <v>1</v>
      </c>
      <c r="B364" s="2" t="str">
        <f t="shared" si="1"/>
        <v/>
      </c>
      <c r="C364" s="2" t="str">
        <f t="shared" si="2"/>
        <v>2000003931-8544</v>
      </c>
      <c r="D364" s="2">
        <v>3.20052396E8</v>
      </c>
      <c r="E364" s="2">
        <v>2.000003931E9</v>
      </c>
      <c r="F364" s="2">
        <v>8544.0</v>
      </c>
      <c r="G364" s="2">
        <v>5.0</v>
      </c>
      <c r="H364" s="2">
        <v>438000.0</v>
      </c>
      <c r="I364" s="2">
        <v>1825000.0</v>
      </c>
      <c r="J364" s="2">
        <v>1.0</v>
      </c>
      <c r="K364" s="2">
        <v>7.0</v>
      </c>
      <c r="O364" s="2" t="s">
        <v>512</v>
      </c>
      <c r="P364" s="2" t="s">
        <v>166</v>
      </c>
      <c r="R364" s="2" t="s">
        <v>434</v>
      </c>
      <c r="S364" s="11">
        <v>42188.78755787037</v>
      </c>
    </row>
    <row r="365" ht="12.75" hidden="1" customHeight="1">
      <c r="A365" s="2" t="str">
        <f>IF(VLOOKUP(E365,Sheet4!$A$585:$B$786,2,0)=0,1, )</f>
        <v>1</v>
      </c>
      <c r="B365" s="2" t="str">
        <f t="shared" si="1"/>
        <v/>
      </c>
      <c r="C365" s="2" t="str">
        <f t="shared" si="2"/>
        <v>2000003931-8544</v>
      </c>
      <c r="D365" s="2">
        <v>3.20052395E8</v>
      </c>
      <c r="E365" s="2">
        <v>2.000003931E9</v>
      </c>
      <c r="F365" s="2">
        <v>8544.0</v>
      </c>
      <c r="G365" s="2">
        <v>5.0</v>
      </c>
      <c r="H365" s="2">
        <v>438000.0</v>
      </c>
      <c r="I365" s="2">
        <v>1825000.0</v>
      </c>
      <c r="J365" s="2">
        <v>1.0</v>
      </c>
      <c r="K365" s="2">
        <v>7.0</v>
      </c>
      <c r="O365" s="2" t="s">
        <v>512</v>
      </c>
      <c r="P365" s="2" t="s">
        <v>166</v>
      </c>
      <c r="R365" s="2" t="s">
        <v>434</v>
      </c>
      <c r="S365" s="11">
        <v>42188.78755787037</v>
      </c>
    </row>
    <row r="366" ht="12.75" hidden="1" customHeight="1">
      <c r="A366" s="2" t="str">
        <f>IF(VLOOKUP(E366,Sheet4!$A$585:$B$786,2,0)=0,1, )</f>
        <v>1</v>
      </c>
      <c r="B366" s="2" t="str">
        <f t="shared" si="1"/>
        <v>1</v>
      </c>
      <c r="C366" s="2" t="str">
        <f t="shared" si="2"/>
        <v>2000003931-8596</v>
      </c>
      <c r="D366" s="2">
        <v>3.20052394E8</v>
      </c>
      <c r="E366" s="2">
        <v>2.000003931E9</v>
      </c>
      <c r="F366" s="2">
        <v>8596.0</v>
      </c>
      <c r="G366" s="2">
        <v>1.0</v>
      </c>
      <c r="H366" s="2">
        <v>93600.0</v>
      </c>
      <c r="I366" s="2">
        <v>390000.0</v>
      </c>
      <c r="J366" s="2">
        <v>1.0</v>
      </c>
      <c r="K366" s="2">
        <v>7.0</v>
      </c>
      <c r="O366" s="2" t="s">
        <v>514</v>
      </c>
      <c r="P366" s="2" t="s">
        <v>166</v>
      </c>
      <c r="R366" s="2" t="s">
        <v>434</v>
      </c>
      <c r="S366" s="11">
        <v>42188.78755787037</v>
      </c>
    </row>
    <row r="367" ht="12.75" hidden="1" customHeight="1">
      <c r="A367" s="2" t="str">
        <f>IF(VLOOKUP(E367,Sheet4!$A$585:$B$786,2,0)=0,1, )</f>
        <v>1</v>
      </c>
      <c r="B367" s="2" t="str">
        <f t="shared" si="1"/>
        <v/>
      </c>
      <c r="C367" s="2" t="str">
        <f t="shared" si="2"/>
        <v>2000003931-8596</v>
      </c>
      <c r="D367" s="2">
        <v>3.20052393E8</v>
      </c>
      <c r="E367" s="2">
        <v>2.000003931E9</v>
      </c>
      <c r="F367" s="2">
        <v>8596.0</v>
      </c>
      <c r="G367" s="2">
        <v>1.0</v>
      </c>
      <c r="H367" s="2">
        <v>93600.0</v>
      </c>
      <c r="I367" s="2">
        <v>390000.0</v>
      </c>
      <c r="J367" s="2">
        <v>1.0</v>
      </c>
      <c r="K367" s="2">
        <v>7.0</v>
      </c>
      <c r="O367" s="2" t="s">
        <v>514</v>
      </c>
      <c r="P367" s="2" t="s">
        <v>166</v>
      </c>
      <c r="R367" s="2" t="s">
        <v>434</v>
      </c>
      <c r="S367" s="11">
        <v>42188.78755787037</v>
      </c>
    </row>
    <row r="368" ht="12.75" hidden="1" customHeight="1">
      <c r="A368" s="2" t="str">
        <f>IF(VLOOKUP(E368,Sheet4!$A$585:$B$786,2,0)=0,1, )</f>
        <v>1</v>
      </c>
      <c r="B368" s="2" t="str">
        <f t="shared" si="1"/>
        <v/>
      </c>
      <c r="C368" s="2" t="str">
        <f t="shared" si="2"/>
        <v>2000003931-8596</v>
      </c>
      <c r="D368" s="2">
        <v>3.20052392E8</v>
      </c>
      <c r="E368" s="2">
        <v>2.000003931E9</v>
      </c>
      <c r="F368" s="2">
        <v>8596.0</v>
      </c>
      <c r="G368" s="2">
        <v>1.0</v>
      </c>
      <c r="H368" s="2">
        <v>93600.0</v>
      </c>
      <c r="I368" s="2">
        <v>390000.0</v>
      </c>
      <c r="J368" s="2">
        <v>1.0</v>
      </c>
      <c r="K368" s="2">
        <v>7.0</v>
      </c>
      <c r="O368" s="2" t="s">
        <v>514</v>
      </c>
      <c r="P368" s="2" t="s">
        <v>166</v>
      </c>
      <c r="R368" s="2" t="s">
        <v>434</v>
      </c>
      <c r="S368" s="11">
        <v>42188.78755787037</v>
      </c>
    </row>
    <row r="369" ht="12.75" hidden="1" customHeight="1">
      <c r="A369" s="2" t="str">
        <f>IF(VLOOKUP(E369,Sheet4!$A$585:$B$786,2,0)=0,1, )</f>
        <v>1</v>
      </c>
      <c r="B369" s="2" t="str">
        <f t="shared" si="1"/>
        <v>1</v>
      </c>
      <c r="C369" s="2" t="str">
        <f t="shared" si="2"/>
        <v>2000003931-9736</v>
      </c>
      <c r="D369" s="2">
        <v>3.20052416E8</v>
      </c>
      <c r="E369" s="2">
        <v>2.000003931E9</v>
      </c>
      <c r="F369" s="2">
        <v>9736.0</v>
      </c>
      <c r="G369" s="2">
        <v>1.0</v>
      </c>
      <c r="H369" s="2">
        <v>89040.0</v>
      </c>
      <c r="I369" s="2">
        <v>371000.0</v>
      </c>
      <c r="J369" s="2">
        <v>1.0</v>
      </c>
      <c r="K369" s="2">
        <v>7.0</v>
      </c>
      <c r="O369" s="2" t="s">
        <v>516</v>
      </c>
      <c r="P369" s="2" t="s">
        <v>166</v>
      </c>
      <c r="R369" s="2" t="s">
        <v>434</v>
      </c>
      <c r="S369" s="11">
        <v>42188.78759259259</v>
      </c>
    </row>
    <row r="370" ht="12.75" hidden="1" customHeight="1">
      <c r="A370" s="2" t="str">
        <f>IF(VLOOKUP(E370,Sheet4!$A$585:$B$786,2,0)=0,1, )</f>
        <v>1</v>
      </c>
      <c r="B370" s="2" t="str">
        <f t="shared" si="1"/>
        <v/>
      </c>
      <c r="C370" s="2" t="str">
        <f t="shared" si="2"/>
        <v>2000003931-9736</v>
      </c>
      <c r="D370" s="2">
        <v>3.20052418E8</v>
      </c>
      <c r="E370" s="2">
        <v>2.000003931E9</v>
      </c>
      <c r="F370" s="2">
        <v>9736.0</v>
      </c>
      <c r="G370" s="2">
        <v>1.0</v>
      </c>
      <c r="H370" s="2">
        <v>89040.0</v>
      </c>
      <c r="I370" s="2">
        <v>371000.0</v>
      </c>
      <c r="J370" s="2">
        <v>1.0</v>
      </c>
      <c r="K370" s="2">
        <v>7.0</v>
      </c>
      <c r="O370" s="2" t="s">
        <v>516</v>
      </c>
      <c r="P370" s="2" t="s">
        <v>166</v>
      </c>
      <c r="R370" s="2" t="s">
        <v>434</v>
      </c>
      <c r="S370" s="11">
        <v>42188.78759259259</v>
      </c>
    </row>
    <row r="371" ht="12.75" hidden="1" customHeight="1">
      <c r="A371" s="2" t="str">
        <f>IF(VLOOKUP(E371,Sheet4!$A$585:$B$786,2,0)=0,1, )</f>
        <v>1</v>
      </c>
      <c r="B371" s="2" t="str">
        <f t="shared" si="1"/>
        <v/>
      </c>
      <c r="C371" s="2" t="str">
        <f t="shared" si="2"/>
        <v>2000003931-9736</v>
      </c>
      <c r="D371" s="2">
        <v>3.20052417E8</v>
      </c>
      <c r="E371" s="2">
        <v>2.000003931E9</v>
      </c>
      <c r="F371" s="2">
        <v>9736.0</v>
      </c>
      <c r="G371" s="2">
        <v>1.0</v>
      </c>
      <c r="H371" s="2">
        <v>89040.0</v>
      </c>
      <c r="I371" s="2">
        <v>371000.0</v>
      </c>
      <c r="J371" s="2">
        <v>1.0</v>
      </c>
      <c r="K371" s="2">
        <v>7.0</v>
      </c>
      <c r="O371" s="2" t="s">
        <v>516</v>
      </c>
      <c r="P371" s="2" t="s">
        <v>166</v>
      </c>
      <c r="R371" s="2" t="s">
        <v>434</v>
      </c>
      <c r="S371" s="11">
        <v>42188.78759259259</v>
      </c>
    </row>
    <row r="372" ht="12.75" hidden="1" customHeight="1">
      <c r="A372" s="2" t="str">
        <f>IF(VLOOKUP(E372,Sheet4!$A$585:$B$786,2,0)=0,1, )</f>
        <v>1</v>
      </c>
      <c r="B372" s="2" t="str">
        <f t="shared" si="1"/>
        <v>1</v>
      </c>
      <c r="C372" s="2" t="str">
        <f t="shared" si="2"/>
        <v>2000003932-13814</v>
      </c>
      <c r="D372" s="2">
        <v>3.20052419E8</v>
      </c>
      <c r="E372" s="2">
        <v>2.000003932E9</v>
      </c>
      <c r="F372" s="2">
        <v>13814.0</v>
      </c>
      <c r="G372" s="2">
        <v>1.0</v>
      </c>
      <c r="H372" s="2">
        <v>0.0</v>
      </c>
      <c r="I372" s="2">
        <v>195000.0</v>
      </c>
      <c r="J372" s="2">
        <v>1.0</v>
      </c>
      <c r="K372" s="2">
        <v>7.0</v>
      </c>
      <c r="O372" s="2" t="s">
        <v>486</v>
      </c>
      <c r="P372" s="2" t="s">
        <v>166</v>
      </c>
      <c r="R372" s="2" t="s">
        <v>434</v>
      </c>
      <c r="S372" s="11">
        <v>42188.78760416667</v>
      </c>
    </row>
    <row r="373" ht="12.75" hidden="1" customHeight="1">
      <c r="A373" s="2" t="str">
        <f>IF(VLOOKUP(E373,Sheet4!$A$585:$B$786,2,0)=0,1, )</f>
        <v>1</v>
      </c>
      <c r="B373" s="2" t="str">
        <f t="shared" si="1"/>
        <v/>
      </c>
      <c r="C373" s="2" t="str">
        <f t="shared" si="2"/>
        <v>2000003932-13814</v>
      </c>
      <c r="D373" s="2">
        <v>3.2005242E8</v>
      </c>
      <c r="E373" s="2">
        <v>2.000003932E9</v>
      </c>
      <c r="F373" s="2">
        <v>13814.0</v>
      </c>
      <c r="G373" s="2">
        <v>1.0</v>
      </c>
      <c r="H373" s="2">
        <v>0.0</v>
      </c>
      <c r="I373" s="2">
        <v>195000.0</v>
      </c>
      <c r="J373" s="2">
        <v>1.0</v>
      </c>
      <c r="K373" s="2">
        <v>7.0</v>
      </c>
      <c r="O373" s="2" t="s">
        <v>486</v>
      </c>
      <c r="P373" s="2" t="s">
        <v>166</v>
      </c>
      <c r="R373" s="2" t="s">
        <v>434</v>
      </c>
      <c r="S373" s="11">
        <v>42188.78760416667</v>
      </c>
    </row>
    <row r="374" ht="12.75" hidden="1" customHeight="1">
      <c r="A374" s="2" t="str">
        <f>IF(VLOOKUP(E374,Sheet4!$A$585:$B$786,2,0)=0,1, )</f>
        <v>1</v>
      </c>
      <c r="B374" s="2" t="str">
        <f t="shared" si="1"/>
        <v/>
      </c>
      <c r="C374" s="2" t="str">
        <f t="shared" si="2"/>
        <v>2000003932-13814</v>
      </c>
      <c r="D374" s="2">
        <v>3.20052421E8</v>
      </c>
      <c r="E374" s="2">
        <v>2.000003932E9</v>
      </c>
      <c r="F374" s="2">
        <v>13814.0</v>
      </c>
      <c r="G374" s="2">
        <v>1.0</v>
      </c>
      <c r="H374" s="2">
        <v>0.0</v>
      </c>
      <c r="I374" s="2">
        <v>195000.0</v>
      </c>
      <c r="J374" s="2">
        <v>1.0</v>
      </c>
      <c r="K374" s="2">
        <v>7.0</v>
      </c>
      <c r="O374" s="2" t="s">
        <v>486</v>
      </c>
      <c r="P374" s="2" t="s">
        <v>166</v>
      </c>
      <c r="R374" s="2" t="s">
        <v>434</v>
      </c>
      <c r="S374" s="11">
        <v>42188.78760416667</v>
      </c>
    </row>
    <row r="375" ht="12.75" hidden="1" customHeight="1">
      <c r="A375" s="2" t="str">
        <f>IF(VLOOKUP(E375,Sheet4!$A$585:$B$786,2,0)=0,1, )</f>
        <v>1</v>
      </c>
      <c r="B375" s="2" t="str">
        <f t="shared" si="1"/>
        <v>1</v>
      </c>
      <c r="C375" s="2" t="str">
        <f t="shared" si="2"/>
        <v>2000003933-3243</v>
      </c>
      <c r="D375" s="2">
        <v>3.20052429E8</v>
      </c>
      <c r="E375" s="2">
        <v>2.000003933E9</v>
      </c>
      <c r="F375" s="2">
        <v>3243.0</v>
      </c>
      <c r="G375" s="2">
        <v>1.0</v>
      </c>
      <c r="H375" s="2">
        <v>59000.0</v>
      </c>
      <c r="I375" s="2">
        <v>295000.0</v>
      </c>
      <c r="J375" s="2">
        <v>1.0</v>
      </c>
      <c r="K375" s="2">
        <v>7.0</v>
      </c>
      <c r="O375" s="2" t="s">
        <v>519</v>
      </c>
      <c r="P375" s="2" t="s">
        <v>166</v>
      </c>
      <c r="R375" s="2" t="s">
        <v>434</v>
      </c>
      <c r="S375" s="11">
        <v>42188.78766203704</v>
      </c>
    </row>
    <row r="376" ht="12.75" hidden="1" customHeight="1">
      <c r="A376" s="2" t="str">
        <f>IF(VLOOKUP(E376,Sheet4!$A$585:$B$786,2,0)=0,1, )</f>
        <v>1</v>
      </c>
      <c r="B376" s="2" t="str">
        <f t="shared" si="1"/>
        <v/>
      </c>
      <c r="C376" s="2" t="str">
        <f t="shared" si="2"/>
        <v>2000003933-3243</v>
      </c>
      <c r="D376" s="2">
        <v>3.20052428E8</v>
      </c>
      <c r="E376" s="2">
        <v>2.000003933E9</v>
      </c>
      <c r="F376" s="2">
        <v>3243.0</v>
      </c>
      <c r="G376" s="2">
        <v>1.0</v>
      </c>
      <c r="H376" s="2">
        <v>59000.0</v>
      </c>
      <c r="I376" s="2">
        <v>295000.0</v>
      </c>
      <c r="J376" s="2">
        <v>1.0</v>
      </c>
      <c r="K376" s="2">
        <v>7.0</v>
      </c>
      <c r="O376" s="2" t="s">
        <v>519</v>
      </c>
      <c r="P376" s="2" t="s">
        <v>166</v>
      </c>
      <c r="R376" s="2" t="s">
        <v>434</v>
      </c>
      <c r="S376" s="11">
        <v>42188.78766203704</v>
      </c>
    </row>
    <row r="377" ht="12.75" hidden="1" customHeight="1">
      <c r="A377" s="2" t="str">
        <f>IF(VLOOKUP(E377,Sheet4!$A$585:$B$786,2,0)=0,1, )</f>
        <v>1</v>
      </c>
      <c r="B377" s="2" t="str">
        <f t="shared" si="1"/>
        <v/>
      </c>
      <c r="C377" s="2" t="str">
        <f t="shared" si="2"/>
        <v>2000003933-3243</v>
      </c>
      <c r="D377" s="2">
        <v>3.2005243E8</v>
      </c>
      <c r="E377" s="2">
        <v>2.000003933E9</v>
      </c>
      <c r="F377" s="2">
        <v>3243.0</v>
      </c>
      <c r="G377" s="2">
        <v>1.0</v>
      </c>
      <c r="H377" s="2">
        <v>59000.0</v>
      </c>
      <c r="I377" s="2">
        <v>295000.0</v>
      </c>
      <c r="J377" s="2">
        <v>1.0</v>
      </c>
      <c r="K377" s="2">
        <v>7.0</v>
      </c>
      <c r="O377" s="2" t="s">
        <v>519</v>
      </c>
      <c r="P377" s="2" t="s">
        <v>166</v>
      </c>
      <c r="R377" s="2" t="s">
        <v>434</v>
      </c>
      <c r="S377" s="11">
        <v>42188.78766203704</v>
      </c>
    </row>
    <row r="378" ht="12.75" hidden="1" customHeight="1">
      <c r="A378" s="2" t="str">
        <f>IF(VLOOKUP(E378,Sheet4!$A$585:$B$786,2,0)=0,1, )</f>
        <v>1</v>
      </c>
      <c r="B378" s="2" t="str">
        <f t="shared" si="1"/>
        <v>1</v>
      </c>
      <c r="C378" s="2" t="str">
        <f t="shared" si="2"/>
        <v>2000003933-6329</v>
      </c>
      <c r="D378" s="2">
        <v>3.20052434E8</v>
      </c>
      <c r="E378" s="2">
        <v>2.000003933E9</v>
      </c>
      <c r="F378" s="2">
        <v>6329.0</v>
      </c>
      <c r="G378" s="2">
        <v>1.0</v>
      </c>
      <c r="H378" s="2">
        <v>60000.0</v>
      </c>
      <c r="I378" s="2">
        <v>300000.0</v>
      </c>
      <c r="J378" s="2">
        <v>1.0</v>
      </c>
      <c r="K378" s="2">
        <v>7.0</v>
      </c>
      <c r="O378" s="2" t="s">
        <v>521</v>
      </c>
      <c r="P378" s="2" t="s">
        <v>166</v>
      </c>
      <c r="R378" s="2" t="s">
        <v>434</v>
      </c>
      <c r="S378" s="11">
        <v>42188.787673611114</v>
      </c>
    </row>
    <row r="379" ht="12.75" hidden="1" customHeight="1">
      <c r="A379" s="2" t="str">
        <f>IF(VLOOKUP(E379,Sheet4!$A$585:$B$786,2,0)=0,1, )</f>
        <v>1</v>
      </c>
      <c r="B379" s="2" t="str">
        <f t="shared" si="1"/>
        <v/>
      </c>
      <c r="C379" s="2" t="str">
        <f t="shared" si="2"/>
        <v>2000003933-6329</v>
      </c>
      <c r="D379" s="2">
        <v>3.20052432E8</v>
      </c>
      <c r="E379" s="2">
        <v>2.000003933E9</v>
      </c>
      <c r="F379" s="2">
        <v>6329.0</v>
      </c>
      <c r="G379" s="2">
        <v>1.0</v>
      </c>
      <c r="H379" s="2">
        <v>60000.0</v>
      </c>
      <c r="I379" s="2">
        <v>300000.0</v>
      </c>
      <c r="J379" s="2">
        <v>1.0</v>
      </c>
      <c r="K379" s="2">
        <v>7.0</v>
      </c>
      <c r="O379" s="2" t="s">
        <v>521</v>
      </c>
      <c r="P379" s="2" t="s">
        <v>166</v>
      </c>
      <c r="R379" s="2" t="s">
        <v>434</v>
      </c>
      <c r="S379" s="11">
        <v>42188.787673611114</v>
      </c>
    </row>
    <row r="380" ht="12.75" hidden="1" customHeight="1">
      <c r="A380" s="2" t="str">
        <f>IF(VLOOKUP(E380,Sheet4!$A$585:$B$786,2,0)=0,1, )</f>
        <v>1</v>
      </c>
      <c r="B380" s="2" t="str">
        <f t="shared" si="1"/>
        <v/>
      </c>
      <c r="C380" s="2" t="str">
        <f t="shared" si="2"/>
        <v>2000003933-6329</v>
      </c>
      <c r="D380" s="2">
        <v>3.20052431E8</v>
      </c>
      <c r="E380" s="2">
        <v>2.000003933E9</v>
      </c>
      <c r="F380" s="2">
        <v>6329.0</v>
      </c>
      <c r="G380" s="2">
        <v>1.0</v>
      </c>
      <c r="H380" s="2">
        <v>60000.0</v>
      </c>
      <c r="I380" s="2">
        <v>300000.0</v>
      </c>
      <c r="J380" s="2">
        <v>1.0</v>
      </c>
      <c r="K380" s="2">
        <v>7.0</v>
      </c>
      <c r="O380" s="2" t="s">
        <v>521</v>
      </c>
      <c r="P380" s="2" t="s">
        <v>166</v>
      </c>
      <c r="R380" s="2" t="s">
        <v>434</v>
      </c>
      <c r="S380" s="11">
        <v>42188.78766203704</v>
      </c>
    </row>
    <row r="381" ht="12.75" hidden="1" customHeight="1">
      <c r="A381" s="2" t="str">
        <f>IF(VLOOKUP(E381,Sheet4!$A$585:$B$786,2,0)=0,1, )</f>
        <v>1</v>
      </c>
      <c r="B381" s="2" t="str">
        <f t="shared" si="1"/>
        <v>1</v>
      </c>
      <c r="C381" s="2" t="str">
        <f t="shared" si="2"/>
        <v>2000003933-13681</v>
      </c>
      <c r="D381" s="2">
        <v>3.20052436E8</v>
      </c>
      <c r="E381" s="2">
        <v>2.000003933E9</v>
      </c>
      <c r="F381" s="2">
        <v>13681.0</v>
      </c>
      <c r="G381" s="2">
        <v>1.0</v>
      </c>
      <c r="H381" s="2">
        <v>43000.0</v>
      </c>
      <c r="I381" s="2">
        <v>215000.0</v>
      </c>
      <c r="J381" s="2">
        <v>1.0</v>
      </c>
      <c r="K381" s="2">
        <v>7.0</v>
      </c>
      <c r="O381" s="2" t="s">
        <v>523</v>
      </c>
      <c r="P381" s="2" t="s">
        <v>166</v>
      </c>
      <c r="R381" s="2" t="s">
        <v>434</v>
      </c>
      <c r="S381" s="11">
        <v>42188.787673611114</v>
      </c>
    </row>
    <row r="382" ht="12.75" hidden="1" customHeight="1">
      <c r="A382" s="2" t="str">
        <f>IF(VLOOKUP(E382,Sheet4!$A$585:$B$786,2,0)=0,1, )</f>
        <v>1</v>
      </c>
      <c r="B382" s="2" t="str">
        <f t="shared" si="1"/>
        <v/>
      </c>
      <c r="C382" s="2" t="str">
        <f t="shared" si="2"/>
        <v>2000003933-13681</v>
      </c>
      <c r="D382" s="2">
        <v>3.20052435E8</v>
      </c>
      <c r="E382" s="2">
        <v>2.000003933E9</v>
      </c>
      <c r="F382" s="2">
        <v>13681.0</v>
      </c>
      <c r="G382" s="2">
        <v>1.0</v>
      </c>
      <c r="H382" s="2">
        <v>43000.0</v>
      </c>
      <c r="I382" s="2">
        <v>215000.0</v>
      </c>
      <c r="J382" s="2">
        <v>1.0</v>
      </c>
      <c r="K382" s="2">
        <v>7.0</v>
      </c>
      <c r="O382" s="2" t="s">
        <v>523</v>
      </c>
      <c r="P382" s="2" t="s">
        <v>166</v>
      </c>
      <c r="R382" s="2" t="s">
        <v>434</v>
      </c>
      <c r="S382" s="11">
        <v>42188.787673611114</v>
      </c>
    </row>
    <row r="383" ht="12.75" hidden="1" customHeight="1">
      <c r="A383" s="2" t="str">
        <f>IF(VLOOKUP(E383,Sheet4!$A$585:$B$786,2,0)=0,1, )</f>
        <v>1</v>
      </c>
      <c r="B383" s="2" t="str">
        <f t="shared" si="1"/>
        <v/>
      </c>
      <c r="C383" s="2" t="str">
        <f t="shared" si="2"/>
        <v>2000003933-13681</v>
      </c>
      <c r="D383" s="2">
        <v>3.20052433E8</v>
      </c>
      <c r="E383" s="2">
        <v>2.000003933E9</v>
      </c>
      <c r="F383" s="2">
        <v>13681.0</v>
      </c>
      <c r="G383" s="2">
        <v>1.0</v>
      </c>
      <c r="H383" s="2">
        <v>43000.0</v>
      </c>
      <c r="I383" s="2">
        <v>215000.0</v>
      </c>
      <c r="J383" s="2">
        <v>1.0</v>
      </c>
      <c r="K383" s="2">
        <v>7.0</v>
      </c>
      <c r="O383" s="2" t="s">
        <v>523</v>
      </c>
      <c r="P383" s="2" t="s">
        <v>166</v>
      </c>
      <c r="R383" s="2" t="s">
        <v>434</v>
      </c>
      <c r="S383" s="11">
        <v>42188.787673611114</v>
      </c>
    </row>
    <row r="384" ht="12.75" hidden="1" customHeight="1">
      <c r="A384" s="2" t="str">
        <f>IF(VLOOKUP(E384,Sheet4!$A$585:$B$786,2,0)=0,1, )</f>
        <v>1</v>
      </c>
      <c r="B384" s="2" t="str">
        <f t="shared" si="1"/>
        <v>1</v>
      </c>
      <c r="C384" s="2" t="str">
        <f t="shared" si="2"/>
        <v>2000003933-15679</v>
      </c>
      <c r="D384" s="2">
        <v>3.20052439E8</v>
      </c>
      <c r="E384" s="2">
        <v>2.000003933E9</v>
      </c>
      <c r="F384" s="2">
        <v>15679.0</v>
      </c>
      <c r="G384" s="2">
        <v>1.0</v>
      </c>
      <c r="H384" s="2">
        <v>25000.0</v>
      </c>
      <c r="I384" s="2">
        <v>125000.0</v>
      </c>
      <c r="J384" s="2">
        <v>1.0</v>
      </c>
      <c r="K384" s="2">
        <v>7.0</v>
      </c>
      <c r="O384" s="2" t="s">
        <v>525</v>
      </c>
      <c r="P384" s="2" t="s">
        <v>166</v>
      </c>
      <c r="R384" s="2" t="s">
        <v>434</v>
      </c>
      <c r="S384" s="11">
        <v>42188.787673611114</v>
      </c>
    </row>
    <row r="385" ht="12.75" hidden="1" customHeight="1">
      <c r="A385" s="2" t="str">
        <f>IF(VLOOKUP(E385,Sheet4!$A$585:$B$786,2,0)=0,1, )</f>
        <v>1</v>
      </c>
      <c r="B385" s="2" t="str">
        <f t="shared" si="1"/>
        <v/>
      </c>
      <c r="C385" s="2" t="str">
        <f t="shared" si="2"/>
        <v>2000003933-15679</v>
      </c>
      <c r="D385" s="2">
        <v>3.20052438E8</v>
      </c>
      <c r="E385" s="2">
        <v>2.000003933E9</v>
      </c>
      <c r="F385" s="2">
        <v>15679.0</v>
      </c>
      <c r="G385" s="2">
        <v>1.0</v>
      </c>
      <c r="H385" s="2">
        <v>25000.0</v>
      </c>
      <c r="I385" s="2">
        <v>125000.0</v>
      </c>
      <c r="J385" s="2">
        <v>1.0</v>
      </c>
      <c r="K385" s="2">
        <v>7.0</v>
      </c>
      <c r="O385" s="2" t="s">
        <v>525</v>
      </c>
      <c r="P385" s="2" t="s">
        <v>166</v>
      </c>
      <c r="R385" s="2" t="s">
        <v>434</v>
      </c>
      <c r="S385" s="11">
        <v>42188.787673611114</v>
      </c>
    </row>
    <row r="386" ht="12.75" hidden="1" customHeight="1">
      <c r="A386" s="2" t="str">
        <f>IF(VLOOKUP(E386,Sheet4!$A$585:$B$786,2,0)=0,1, )</f>
        <v>1</v>
      </c>
      <c r="B386" s="2" t="str">
        <f t="shared" si="1"/>
        <v/>
      </c>
      <c r="C386" s="2" t="str">
        <f t="shared" si="2"/>
        <v>2000003933-15679</v>
      </c>
      <c r="D386" s="2">
        <v>3.20052437E8</v>
      </c>
      <c r="E386" s="2">
        <v>2.000003933E9</v>
      </c>
      <c r="F386" s="2">
        <v>15679.0</v>
      </c>
      <c r="G386" s="2">
        <v>1.0</v>
      </c>
      <c r="H386" s="2">
        <v>25000.0</v>
      </c>
      <c r="I386" s="2">
        <v>125000.0</v>
      </c>
      <c r="J386" s="2">
        <v>1.0</v>
      </c>
      <c r="K386" s="2">
        <v>7.0</v>
      </c>
      <c r="O386" s="2" t="s">
        <v>525</v>
      </c>
      <c r="P386" s="2" t="s">
        <v>166</v>
      </c>
      <c r="R386" s="2" t="s">
        <v>434</v>
      </c>
      <c r="S386" s="11">
        <v>42188.787673611114</v>
      </c>
    </row>
    <row r="387" ht="12.75" hidden="1" customHeight="1">
      <c r="A387" s="2" t="str">
        <f>IF(VLOOKUP(E387,Sheet4!$A$585:$B$786,2,0)=0,1, )</f>
        <v>1</v>
      </c>
      <c r="B387" s="2" t="str">
        <f t="shared" si="1"/>
        <v>1</v>
      </c>
      <c r="C387" s="2" t="str">
        <f t="shared" si="2"/>
        <v>2000003934-8599</v>
      </c>
      <c r="D387" s="2">
        <v>3.20052427E8</v>
      </c>
      <c r="E387" s="2">
        <v>2.000003934E9</v>
      </c>
      <c r="F387" s="2">
        <v>8599.0</v>
      </c>
      <c r="G387" s="2">
        <v>-1.0</v>
      </c>
      <c r="H387" s="2">
        <v>0.0</v>
      </c>
      <c r="I387" s="2">
        <v>-450000.0</v>
      </c>
      <c r="J387" s="2">
        <v>1.0</v>
      </c>
      <c r="K387" s="2">
        <v>7.0</v>
      </c>
      <c r="O387" s="2" t="s">
        <v>527</v>
      </c>
      <c r="P387" s="2" t="s">
        <v>166</v>
      </c>
      <c r="R387" s="2" t="s">
        <v>434</v>
      </c>
      <c r="S387" s="11">
        <v>42188.787627314814</v>
      </c>
    </row>
    <row r="388" ht="12.75" hidden="1" customHeight="1">
      <c r="A388" s="2" t="str">
        <f>IF(VLOOKUP(E388,Sheet4!$A$585:$B$786,2,0)=0,1, )</f>
        <v>1</v>
      </c>
      <c r="B388" s="2" t="str">
        <f t="shared" si="1"/>
        <v/>
      </c>
      <c r="C388" s="2" t="str">
        <f t="shared" si="2"/>
        <v>2000003934-8599</v>
      </c>
      <c r="D388" s="2">
        <v>3.20052426E8</v>
      </c>
      <c r="E388" s="2">
        <v>2.000003934E9</v>
      </c>
      <c r="F388" s="2">
        <v>8599.0</v>
      </c>
      <c r="G388" s="2">
        <v>-1.0</v>
      </c>
      <c r="H388" s="2">
        <v>0.0</v>
      </c>
      <c r="I388" s="2">
        <v>-450000.0</v>
      </c>
      <c r="J388" s="2">
        <v>1.0</v>
      </c>
      <c r="K388" s="2">
        <v>7.0</v>
      </c>
      <c r="O388" s="2" t="s">
        <v>527</v>
      </c>
      <c r="P388" s="2" t="s">
        <v>166</v>
      </c>
      <c r="R388" s="2" t="s">
        <v>434</v>
      </c>
      <c r="S388" s="11">
        <v>42188.787627314814</v>
      </c>
    </row>
    <row r="389" ht="12.75" hidden="1" customHeight="1">
      <c r="A389" s="2" t="str">
        <f>IF(VLOOKUP(E389,Sheet4!$A$585:$B$786,2,0)=0,1, )</f>
        <v>1</v>
      </c>
      <c r="B389" s="2" t="str">
        <f t="shared" si="1"/>
        <v/>
      </c>
      <c r="C389" s="2" t="str">
        <f t="shared" si="2"/>
        <v>2000003934-8599</v>
      </c>
      <c r="D389" s="2">
        <v>3.20052425E8</v>
      </c>
      <c r="E389" s="2">
        <v>2.000003934E9</v>
      </c>
      <c r="F389" s="2">
        <v>8599.0</v>
      </c>
      <c r="G389" s="2">
        <v>-1.0</v>
      </c>
      <c r="H389" s="2">
        <v>0.0</v>
      </c>
      <c r="I389" s="2">
        <v>-450000.0</v>
      </c>
      <c r="J389" s="2">
        <v>1.0</v>
      </c>
      <c r="K389" s="2">
        <v>7.0</v>
      </c>
      <c r="O389" s="2" t="s">
        <v>527</v>
      </c>
      <c r="P389" s="2" t="s">
        <v>166</v>
      </c>
      <c r="R389" s="2" t="s">
        <v>434</v>
      </c>
      <c r="S389" s="11">
        <v>42188.787627314814</v>
      </c>
    </row>
    <row r="390" ht="12.75" hidden="1" customHeight="1">
      <c r="A390" s="2" t="str">
        <f>IF(VLOOKUP(E390,Sheet4!$A$585:$B$786,2,0)=0,1, )</f>
        <v>1</v>
      </c>
      <c r="B390" s="2" t="str">
        <f t="shared" si="1"/>
        <v>1</v>
      </c>
      <c r="C390" s="2" t="str">
        <f t="shared" si="2"/>
        <v>2000003934-14436</v>
      </c>
      <c r="D390" s="2">
        <v>3.20052422E8</v>
      </c>
      <c r="E390" s="2">
        <v>2.000003934E9</v>
      </c>
      <c r="F390" s="2">
        <v>14436.0</v>
      </c>
      <c r="G390" s="2">
        <v>1.0</v>
      </c>
      <c r="H390" s="2">
        <v>0.0</v>
      </c>
      <c r="I390" s="2">
        <v>430000.0</v>
      </c>
      <c r="J390" s="2">
        <v>1.0</v>
      </c>
      <c r="K390" s="2">
        <v>7.0</v>
      </c>
      <c r="O390" s="2" t="s">
        <v>529</v>
      </c>
      <c r="P390" s="2" t="s">
        <v>166</v>
      </c>
      <c r="R390" s="2" t="s">
        <v>434</v>
      </c>
      <c r="S390" s="11">
        <v>42188.787627314814</v>
      </c>
    </row>
    <row r="391" ht="12.75" hidden="1" customHeight="1">
      <c r="A391" s="2" t="str">
        <f>IF(VLOOKUP(E391,Sheet4!$A$585:$B$786,2,0)=0,1, )</f>
        <v>1</v>
      </c>
      <c r="B391" s="2" t="str">
        <f t="shared" si="1"/>
        <v/>
      </c>
      <c r="C391" s="2" t="str">
        <f t="shared" si="2"/>
        <v>2000003934-14436</v>
      </c>
      <c r="D391" s="2">
        <v>3.20052423E8</v>
      </c>
      <c r="E391" s="2">
        <v>2.000003934E9</v>
      </c>
      <c r="F391" s="2">
        <v>14436.0</v>
      </c>
      <c r="G391" s="2">
        <v>1.0</v>
      </c>
      <c r="H391" s="2">
        <v>0.0</v>
      </c>
      <c r="I391" s="2">
        <v>430000.0</v>
      </c>
      <c r="J391" s="2">
        <v>1.0</v>
      </c>
      <c r="K391" s="2">
        <v>7.0</v>
      </c>
      <c r="O391" s="2" t="s">
        <v>529</v>
      </c>
      <c r="P391" s="2" t="s">
        <v>166</v>
      </c>
      <c r="R391" s="2" t="s">
        <v>434</v>
      </c>
      <c r="S391" s="11">
        <v>42188.787627314814</v>
      </c>
    </row>
    <row r="392" ht="12.75" hidden="1" customHeight="1">
      <c r="A392" s="2" t="str">
        <f>IF(VLOOKUP(E392,Sheet4!$A$585:$B$786,2,0)=0,1, )</f>
        <v>1</v>
      </c>
      <c r="B392" s="2" t="str">
        <f t="shared" si="1"/>
        <v/>
      </c>
      <c r="C392" s="2" t="str">
        <f t="shared" si="2"/>
        <v>2000003934-14436</v>
      </c>
      <c r="D392" s="2">
        <v>3.20052424E8</v>
      </c>
      <c r="E392" s="2">
        <v>2.000003934E9</v>
      </c>
      <c r="F392" s="2">
        <v>14436.0</v>
      </c>
      <c r="G392" s="2">
        <v>1.0</v>
      </c>
      <c r="H392" s="2">
        <v>0.0</v>
      </c>
      <c r="I392" s="2">
        <v>430000.0</v>
      </c>
      <c r="J392" s="2">
        <v>1.0</v>
      </c>
      <c r="K392" s="2">
        <v>7.0</v>
      </c>
      <c r="O392" s="2" t="s">
        <v>529</v>
      </c>
      <c r="P392" s="2" t="s">
        <v>166</v>
      </c>
      <c r="R392" s="2" t="s">
        <v>434</v>
      </c>
      <c r="S392" s="11">
        <v>42188.787627314814</v>
      </c>
    </row>
    <row r="393" ht="12.75" hidden="1" customHeight="1">
      <c r="A393" s="2" t="str">
        <f>IF(VLOOKUP(E393,Sheet4!$A$585:$B$786,2,0)=0,1, )</f>
        <v>1</v>
      </c>
      <c r="B393" s="2" t="str">
        <f t="shared" si="1"/>
        <v>1</v>
      </c>
      <c r="C393" s="2" t="str">
        <f t="shared" si="2"/>
        <v>2000003935-8528</v>
      </c>
      <c r="D393" s="2">
        <v>3.20052441E8</v>
      </c>
      <c r="E393" s="2">
        <v>2.000003935E9</v>
      </c>
      <c r="F393" s="2">
        <v>8528.0</v>
      </c>
      <c r="G393" s="2">
        <v>10.0</v>
      </c>
      <c r="H393" s="2">
        <v>110000.0</v>
      </c>
      <c r="I393" s="2">
        <v>550000.0</v>
      </c>
      <c r="J393" s="2">
        <v>1.0</v>
      </c>
      <c r="K393" s="2">
        <v>7.0</v>
      </c>
      <c r="O393" s="2" t="s">
        <v>531</v>
      </c>
      <c r="P393" s="2" t="s">
        <v>166</v>
      </c>
      <c r="R393" s="2" t="s">
        <v>434</v>
      </c>
      <c r="S393" s="11">
        <v>42188.78768518518</v>
      </c>
    </row>
    <row r="394" ht="12.75" hidden="1" customHeight="1">
      <c r="A394" s="2" t="str">
        <f>IF(VLOOKUP(E394,Sheet4!$A$585:$B$786,2,0)=0,1, )</f>
        <v>1</v>
      </c>
      <c r="B394" s="2" t="str">
        <f t="shared" si="1"/>
        <v/>
      </c>
      <c r="C394" s="2" t="str">
        <f t="shared" si="2"/>
        <v>2000003935-8528</v>
      </c>
      <c r="D394" s="2">
        <v>3.20052442E8</v>
      </c>
      <c r="E394" s="2">
        <v>2.000003935E9</v>
      </c>
      <c r="F394" s="2">
        <v>8528.0</v>
      </c>
      <c r="G394" s="2">
        <v>10.0</v>
      </c>
      <c r="H394" s="2">
        <v>110000.0</v>
      </c>
      <c r="I394" s="2">
        <v>550000.0</v>
      </c>
      <c r="J394" s="2">
        <v>1.0</v>
      </c>
      <c r="K394" s="2">
        <v>7.0</v>
      </c>
      <c r="O394" s="2" t="s">
        <v>531</v>
      </c>
      <c r="P394" s="2" t="s">
        <v>166</v>
      </c>
      <c r="R394" s="2" t="s">
        <v>434</v>
      </c>
      <c r="S394" s="11">
        <v>42188.78768518518</v>
      </c>
    </row>
    <row r="395" ht="12.75" hidden="1" customHeight="1">
      <c r="A395" s="2" t="str">
        <f>IF(VLOOKUP(E395,Sheet4!$A$585:$B$786,2,0)=0,1, )</f>
        <v>1</v>
      </c>
      <c r="B395" s="2" t="str">
        <f t="shared" si="1"/>
        <v/>
      </c>
      <c r="C395" s="2" t="str">
        <f t="shared" si="2"/>
        <v>2000003935-8528</v>
      </c>
      <c r="D395" s="2">
        <v>3.2005244E8</v>
      </c>
      <c r="E395" s="2">
        <v>2.000003935E9</v>
      </c>
      <c r="F395" s="2">
        <v>8528.0</v>
      </c>
      <c r="G395" s="2">
        <v>10.0</v>
      </c>
      <c r="H395" s="2">
        <v>110000.0</v>
      </c>
      <c r="I395" s="2">
        <v>550000.0</v>
      </c>
      <c r="J395" s="2">
        <v>1.0</v>
      </c>
      <c r="K395" s="2">
        <v>7.0</v>
      </c>
      <c r="O395" s="2" t="s">
        <v>531</v>
      </c>
      <c r="P395" s="2" t="s">
        <v>166</v>
      </c>
      <c r="R395" s="2" t="s">
        <v>434</v>
      </c>
      <c r="S395" s="11">
        <v>42188.78768518518</v>
      </c>
    </row>
    <row r="396" ht="12.75" hidden="1" customHeight="1">
      <c r="A396" s="2" t="str">
        <f>IF(VLOOKUP(E396,Sheet4!$A$585:$B$786,2,0)=0,1, )</f>
        <v>1</v>
      </c>
      <c r="B396" s="2" t="str">
        <f t="shared" si="1"/>
        <v>1</v>
      </c>
      <c r="C396" s="2" t="str">
        <f t="shared" si="2"/>
        <v>2000003936-5310</v>
      </c>
      <c r="D396" s="2">
        <v>3.20052445E8</v>
      </c>
      <c r="E396" s="2">
        <v>2.000003936E9</v>
      </c>
      <c r="F396" s="2">
        <v>5310.0</v>
      </c>
      <c r="G396" s="2">
        <v>1.0</v>
      </c>
      <c r="H396" s="2">
        <v>71000.0</v>
      </c>
      <c r="I396" s="2">
        <v>355000.0</v>
      </c>
      <c r="J396" s="2">
        <v>1.0</v>
      </c>
      <c r="K396" s="2">
        <v>7.0</v>
      </c>
      <c r="O396" s="2" t="s">
        <v>533</v>
      </c>
      <c r="P396" s="2" t="s">
        <v>166</v>
      </c>
      <c r="R396" s="2" t="s">
        <v>434</v>
      </c>
      <c r="S396" s="11">
        <v>42188.78769675926</v>
      </c>
    </row>
    <row r="397" ht="12.75" hidden="1" customHeight="1">
      <c r="A397" s="2" t="str">
        <f>IF(VLOOKUP(E397,Sheet4!$A$585:$B$786,2,0)=0,1, )</f>
        <v>1</v>
      </c>
      <c r="B397" s="2" t="str">
        <f t="shared" si="1"/>
        <v/>
      </c>
      <c r="C397" s="2" t="str">
        <f t="shared" si="2"/>
        <v>2000003936-5310</v>
      </c>
      <c r="D397" s="2">
        <v>3.20052444E8</v>
      </c>
      <c r="E397" s="2">
        <v>2.000003936E9</v>
      </c>
      <c r="F397" s="2">
        <v>5310.0</v>
      </c>
      <c r="G397" s="2">
        <v>1.0</v>
      </c>
      <c r="H397" s="2">
        <v>71000.0</v>
      </c>
      <c r="I397" s="2">
        <v>355000.0</v>
      </c>
      <c r="J397" s="2">
        <v>1.0</v>
      </c>
      <c r="K397" s="2">
        <v>7.0</v>
      </c>
      <c r="O397" s="2" t="s">
        <v>533</v>
      </c>
      <c r="P397" s="2" t="s">
        <v>166</v>
      </c>
      <c r="R397" s="2" t="s">
        <v>434</v>
      </c>
      <c r="S397" s="11">
        <v>42188.78769675926</v>
      </c>
    </row>
    <row r="398" ht="12.75" hidden="1" customHeight="1">
      <c r="A398" s="2" t="str">
        <f>IF(VLOOKUP(E398,Sheet4!$A$585:$B$786,2,0)=0,1, )</f>
        <v>1</v>
      </c>
      <c r="B398" s="2" t="str">
        <f t="shared" si="1"/>
        <v/>
      </c>
      <c r="C398" s="2" t="str">
        <f t="shared" si="2"/>
        <v>2000003936-5310</v>
      </c>
      <c r="D398" s="2">
        <v>3.20052443E8</v>
      </c>
      <c r="E398" s="2">
        <v>2.000003936E9</v>
      </c>
      <c r="F398" s="2">
        <v>5310.0</v>
      </c>
      <c r="G398" s="2">
        <v>1.0</v>
      </c>
      <c r="H398" s="2">
        <v>71000.0</v>
      </c>
      <c r="I398" s="2">
        <v>355000.0</v>
      </c>
      <c r="J398" s="2">
        <v>1.0</v>
      </c>
      <c r="K398" s="2">
        <v>7.0</v>
      </c>
      <c r="O398" s="2" t="s">
        <v>533</v>
      </c>
      <c r="P398" s="2" t="s">
        <v>166</v>
      </c>
      <c r="R398" s="2" t="s">
        <v>434</v>
      </c>
      <c r="S398" s="11">
        <v>42188.78769675926</v>
      </c>
    </row>
    <row r="399" ht="12.75" hidden="1" customHeight="1">
      <c r="A399" s="2" t="str">
        <f>IF(VLOOKUP(E399,Sheet4!$A$585:$B$786,2,0)=0,1, )</f>
        <v>1</v>
      </c>
      <c r="B399" s="2" t="str">
        <f t="shared" si="1"/>
        <v>1</v>
      </c>
      <c r="C399" s="2" t="str">
        <f t="shared" si="2"/>
        <v>2000003937-8509</v>
      </c>
      <c r="D399" s="2">
        <v>3.20052447E8</v>
      </c>
      <c r="E399" s="2">
        <v>2.000003937E9</v>
      </c>
      <c r="F399" s="2">
        <v>8509.0</v>
      </c>
      <c r="G399" s="2">
        <v>2.0</v>
      </c>
      <c r="H399" s="2">
        <v>150000.0</v>
      </c>
      <c r="I399" s="2">
        <v>750000.0</v>
      </c>
      <c r="J399" s="2">
        <v>1.0</v>
      </c>
      <c r="K399" s="2">
        <v>7.0</v>
      </c>
      <c r="O399" s="2" t="s">
        <v>484</v>
      </c>
      <c r="P399" s="2" t="s">
        <v>166</v>
      </c>
      <c r="R399" s="2" t="s">
        <v>434</v>
      </c>
      <c r="S399" s="11">
        <v>42188.78769675926</v>
      </c>
    </row>
    <row r="400" ht="12.75" hidden="1" customHeight="1">
      <c r="A400" s="2" t="str">
        <f>IF(VLOOKUP(E400,Sheet4!$A$585:$B$786,2,0)=0,1, )</f>
        <v>1</v>
      </c>
      <c r="B400" s="2" t="str">
        <f t="shared" si="1"/>
        <v/>
      </c>
      <c r="C400" s="2" t="str">
        <f t="shared" si="2"/>
        <v>2000003937-8509</v>
      </c>
      <c r="D400" s="2">
        <v>3.20052448E8</v>
      </c>
      <c r="E400" s="2">
        <v>2.000003937E9</v>
      </c>
      <c r="F400" s="2">
        <v>8509.0</v>
      </c>
      <c r="G400" s="2">
        <v>2.0</v>
      </c>
      <c r="H400" s="2">
        <v>150000.0</v>
      </c>
      <c r="I400" s="2">
        <v>750000.0</v>
      </c>
      <c r="J400" s="2">
        <v>1.0</v>
      </c>
      <c r="K400" s="2">
        <v>7.0</v>
      </c>
      <c r="O400" s="2" t="s">
        <v>484</v>
      </c>
      <c r="P400" s="2" t="s">
        <v>166</v>
      </c>
      <c r="R400" s="2" t="s">
        <v>434</v>
      </c>
      <c r="S400" s="11">
        <v>42188.78769675926</v>
      </c>
    </row>
    <row r="401" ht="12.75" hidden="1" customHeight="1">
      <c r="A401" s="2" t="str">
        <f>IF(VLOOKUP(E401,Sheet4!$A$585:$B$786,2,0)=0,1, )</f>
        <v>1</v>
      </c>
      <c r="B401" s="2" t="str">
        <f t="shared" si="1"/>
        <v/>
      </c>
      <c r="C401" s="2" t="str">
        <f t="shared" si="2"/>
        <v>2000003937-8509</v>
      </c>
      <c r="D401" s="2">
        <v>3.20052446E8</v>
      </c>
      <c r="E401" s="2">
        <v>2.000003937E9</v>
      </c>
      <c r="F401" s="2">
        <v>8509.0</v>
      </c>
      <c r="G401" s="2">
        <v>2.0</v>
      </c>
      <c r="H401" s="2">
        <v>150000.0</v>
      </c>
      <c r="I401" s="2">
        <v>750000.0</v>
      </c>
      <c r="J401" s="2">
        <v>1.0</v>
      </c>
      <c r="K401" s="2">
        <v>7.0</v>
      </c>
      <c r="O401" s="2" t="s">
        <v>484</v>
      </c>
      <c r="P401" s="2" t="s">
        <v>166</v>
      </c>
      <c r="R401" s="2" t="s">
        <v>434</v>
      </c>
      <c r="S401" s="11">
        <v>42188.78769675926</v>
      </c>
    </row>
    <row r="402" ht="12.75" hidden="1" customHeight="1">
      <c r="A402" s="2" t="str">
        <f>IF(VLOOKUP(E402,Sheet4!$A$585:$B$786,2,0)=0,1, )</f>
        <v>1</v>
      </c>
      <c r="B402" s="2" t="str">
        <f t="shared" si="1"/>
        <v>1</v>
      </c>
      <c r="C402" s="2" t="str">
        <f t="shared" si="2"/>
        <v>2000003937-8528</v>
      </c>
      <c r="D402" s="2">
        <v>3.20052451E8</v>
      </c>
      <c r="E402" s="2">
        <v>2.000003937E9</v>
      </c>
      <c r="F402" s="2">
        <v>8528.0</v>
      </c>
      <c r="G402" s="2">
        <v>2.0</v>
      </c>
      <c r="H402" s="2">
        <v>22000.0</v>
      </c>
      <c r="I402" s="2">
        <v>110000.0</v>
      </c>
      <c r="J402" s="2">
        <v>1.0</v>
      </c>
      <c r="K402" s="2">
        <v>7.0</v>
      </c>
      <c r="O402" s="2" t="s">
        <v>531</v>
      </c>
      <c r="P402" s="2" t="s">
        <v>166</v>
      </c>
      <c r="R402" s="2" t="s">
        <v>434</v>
      </c>
      <c r="S402" s="11">
        <v>42188.78770833334</v>
      </c>
    </row>
    <row r="403" ht="12.75" hidden="1" customHeight="1">
      <c r="A403" s="2" t="str">
        <f>IF(VLOOKUP(E403,Sheet4!$A$585:$B$786,2,0)=0,1, )</f>
        <v>1</v>
      </c>
      <c r="B403" s="2" t="str">
        <f t="shared" si="1"/>
        <v/>
      </c>
      <c r="C403" s="2" t="str">
        <f t="shared" si="2"/>
        <v>2000003937-8528</v>
      </c>
      <c r="D403" s="2">
        <v>3.2005245E8</v>
      </c>
      <c r="E403" s="2">
        <v>2.000003937E9</v>
      </c>
      <c r="F403" s="2">
        <v>8528.0</v>
      </c>
      <c r="G403" s="2">
        <v>2.0</v>
      </c>
      <c r="H403" s="2">
        <v>22000.0</v>
      </c>
      <c r="I403" s="2">
        <v>110000.0</v>
      </c>
      <c r="J403" s="2">
        <v>1.0</v>
      </c>
      <c r="K403" s="2">
        <v>7.0</v>
      </c>
      <c r="O403" s="2" t="s">
        <v>531</v>
      </c>
      <c r="P403" s="2" t="s">
        <v>166</v>
      </c>
      <c r="R403" s="2" t="s">
        <v>434</v>
      </c>
      <c r="S403" s="11">
        <v>42188.78770833334</v>
      </c>
    </row>
    <row r="404" ht="12.75" hidden="1" customHeight="1">
      <c r="A404" s="2" t="str">
        <f>IF(VLOOKUP(E404,Sheet4!$A$585:$B$786,2,0)=0,1, )</f>
        <v>1</v>
      </c>
      <c r="B404" s="2" t="str">
        <f t="shared" si="1"/>
        <v/>
      </c>
      <c r="C404" s="2" t="str">
        <f t="shared" si="2"/>
        <v>2000003937-8528</v>
      </c>
      <c r="D404" s="2">
        <v>3.20052449E8</v>
      </c>
      <c r="E404" s="2">
        <v>2.000003937E9</v>
      </c>
      <c r="F404" s="2">
        <v>8528.0</v>
      </c>
      <c r="G404" s="2">
        <v>2.0</v>
      </c>
      <c r="H404" s="2">
        <v>22000.0</v>
      </c>
      <c r="I404" s="2">
        <v>110000.0</v>
      </c>
      <c r="J404" s="2">
        <v>1.0</v>
      </c>
      <c r="K404" s="2">
        <v>7.0</v>
      </c>
      <c r="O404" s="2" t="s">
        <v>531</v>
      </c>
      <c r="P404" s="2" t="s">
        <v>166</v>
      </c>
      <c r="R404" s="2" t="s">
        <v>434</v>
      </c>
      <c r="S404" s="11">
        <v>42188.78770833334</v>
      </c>
    </row>
    <row r="405" ht="12.75" hidden="1" customHeight="1">
      <c r="A405" s="2" t="str">
        <f>IF(VLOOKUP(E405,Sheet4!$A$585:$B$786,2,0)=0,1, )</f>
        <v>1</v>
      </c>
      <c r="B405" s="2" t="str">
        <f t="shared" si="1"/>
        <v>1</v>
      </c>
      <c r="C405" s="2" t="str">
        <f t="shared" si="2"/>
        <v>2000003938-7005</v>
      </c>
      <c r="D405" s="2">
        <v>3.20052454E8</v>
      </c>
      <c r="E405" s="2">
        <v>2.000003938E9</v>
      </c>
      <c r="F405" s="2">
        <v>7005.0</v>
      </c>
      <c r="G405" s="2">
        <v>1.0</v>
      </c>
      <c r="H405" s="2">
        <v>70000.0</v>
      </c>
      <c r="I405" s="2">
        <v>350000.0</v>
      </c>
      <c r="J405" s="2">
        <v>1.0</v>
      </c>
      <c r="K405" s="2">
        <v>7.0</v>
      </c>
      <c r="O405" s="2" t="s">
        <v>537</v>
      </c>
      <c r="P405" s="2" t="s">
        <v>166</v>
      </c>
      <c r="R405" s="2" t="s">
        <v>434</v>
      </c>
      <c r="S405" s="11">
        <v>42188.78770833334</v>
      </c>
    </row>
    <row r="406" ht="12.75" hidden="1" customHeight="1">
      <c r="A406" s="2" t="str">
        <f>IF(VLOOKUP(E406,Sheet4!$A$585:$B$786,2,0)=0,1, )</f>
        <v>1</v>
      </c>
      <c r="B406" s="2" t="str">
        <f t="shared" si="1"/>
        <v/>
      </c>
      <c r="C406" s="2" t="str">
        <f t="shared" si="2"/>
        <v>2000003938-7005</v>
      </c>
      <c r="D406" s="2">
        <v>3.20052453E8</v>
      </c>
      <c r="E406" s="2">
        <v>2.000003938E9</v>
      </c>
      <c r="F406" s="2">
        <v>7005.0</v>
      </c>
      <c r="G406" s="2">
        <v>1.0</v>
      </c>
      <c r="H406" s="2">
        <v>70000.0</v>
      </c>
      <c r="I406" s="2">
        <v>350000.0</v>
      </c>
      <c r="J406" s="2">
        <v>1.0</v>
      </c>
      <c r="K406" s="2">
        <v>7.0</v>
      </c>
      <c r="O406" s="2" t="s">
        <v>537</v>
      </c>
      <c r="P406" s="2" t="s">
        <v>166</v>
      </c>
      <c r="R406" s="2" t="s">
        <v>434</v>
      </c>
      <c r="S406" s="11">
        <v>42188.78770833334</v>
      </c>
    </row>
    <row r="407" ht="12.75" hidden="1" customHeight="1">
      <c r="A407" s="2" t="str">
        <f>IF(VLOOKUP(E407,Sheet4!$A$585:$B$786,2,0)=0,1, )</f>
        <v>1</v>
      </c>
      <c r="B407" s="2" t="str">
        <f t="shared" si="1"/>
        <v/>
      </c>
      <c r="C407" s="2" t="str">
        <f t="shared" si="2"/>
        <v>2000003938-7005</v>
      </c>
      <c r="D407" s="2">
        <v>3.20052452E8</v>
      </c>
      <c r="E407" s="2">
        <v>2.000003938E9</v>
      </c>
      <c r="F407" s="2">
        <v>7005.0</v>
      </c>
      <c r="G407" s="2">
        <v>1.0</v>
      </c>
      <c r="H407" s="2">
        <v>70000.0</v>
      </c>
      <c r="I407" s="2">
        <v>350000.0</v>
      </c>
      <c r="J407" s="2">
        <v>1.0</v>
      </c>
      <c r="K407" s="2">
        <v>7.0</v>
      </c>
      <c r="O407" s="2" t="s">
        <v>537</v>
      </c>
      <c r="P407" s="2" t="s">
        <v>166</v>
      </c>
      <c r="R407" s="2" t="s">
        <v>434</v>
      </c>
      <c r="S407" s="11">
        <v>42188.78770833334</v>
      </c>
    </row>
    <row r="408" ht="12.75" hidden="1" customHeight="1">
      <c r="A408" s="2" t="str">
        <f>IF(VLOOKUP(E408,Sheet4!$A$585:$B$786,2,0)=0,1, )</f>
        <v>1</v>
      </c>
      <c r="B408" s="2" t="str">
        <f t="shared" si="1"/>
        <v>1</v>
      </c>
      <c r="C408" s="2" t="str">
        <f t="shared" si="2"/>
        <v>2000003938-7053</v>
      </c>
      <c r="D408" s="2">
        <v>3.20052457E8</v>
      </c>
      <c r="E408" s="2">
        <v>2.000003938E9</v>
      </c>
      <c r="F408" s="2">
        <v>7053.0</v>
      </c>
      <c r="G408" s="2">
        <v>2.0</v>
      </c>
      <c r="H408" s="2">
        <v>151200.0</v>
      </c>
      <c r="I408" s="2">
        <v>756000.0</v>
      </c>
      <c r="J408" s="2">
        <v>1.0</v>
      </c>
      <c r="K408" s="2">
        <v>7.0</v>
      </c>
      <c r="O408" s="2" t="s">
        <v>539</v>
      </c>
      <c r="P408" s="2" t="s">
        <v>166</v>
      </c>
      <c r="R408" s="2" t="s">
        <v>434</v>
      </c>
      <c r="S408" s="11">
        <v>42188.78770833334</v>
      </c>
    </row>
    <row r="409" ht="12.75" hidden="1" customHeight="1">
      <c r="A409" s="2" t="str">
        <f>IF(VLOOKUP(E409,Sheet4!$A$585:$B$786,2,0)=0,1, )</f>
        <v>1</v>
      </c>
      <c r="B409" s="2" t="str">
        <f t="shared" si="1"/>
        <v/>
      </c>
      <c r="C409" s="2" t="str">
        <f t="shared" si="2"/>
        <v>2000003938-7053</v>
      </c>
      <c r="D409" s="2">
        <v>3.20052456E8</v>
      </c>
      <c r="E409" s="2">
        <v>2.000003938E9</v>
      </c>
      <c r="F409" s="2">
        <v>7053.0</v>
      </c>
      <c r="G409" s="2">
        <v>2.0</v>
      </c>
      <c r="H409" s="2">
        <v>151200.0</v>
      </c>
      <c r="I409" s="2">
        <v>756000.0</v>
      </c>
      <c r="J409" s="2">
        <v>1.0</v>
      </c>
      <c r="K409" s="2">
        <v>7.0</v>
      </c>
      <c r="O409" s="2" t="s">
        <v>539</v>
      </c>
      <c r="P409" s="2" t="s">
        <v>166</v>
      </c>
      <c r="R409" s="2" t="s">
        <v>434</v>
      </c>
      <c r="S409" s="11">
        <v>42188.78770833334</v>
      </c>
    </row>
    <row r="410" ht="12.75" hidden="1" customHeight="1">
      <c r="A410" s="2" t="str">
        <f>IF(VLOOKUP(E410,Sheet4!$A$585:$B$786,2,0)=0,1, )</f>
        <v>1</v>
      </c>
      <c r="B410" s="2" t="str">
        <f t="shared" si="1"/>
        <v/>
      </c>
      <c r="C410" s="2" t="str">
        <f t="shared" si="2"/>
        <v>2000003938-7053</v>
      </c>
      <c r="D410" s="2">
        <v>3.20052455E8</v>
      </c>
      <c r="E410" s="2">
        <v>2.000003938E9</v>
      </c>
      <c r="F410" s="2">
        <v>7053.0</v>
      </c>
      <c r="G410" s="2">
        <v>2.0</v>
      </c>
      <c r="H410" s="2">
        <v>151200.0</v>
      </c>
      <c r="I410" s="2">
        <v>756000.0</v>
      </c>
      <c r="J410" s="2">
        <v>1.0</v>
      </c>
      <c r="K410" s="2">
        <v>7.0</v>
      </c>
      <c r="O410" s="2" t="s">
        <v>539</v>
      </c>
      <c r="P410" s="2" t="s">
        <v>166</v>
      </c>
      <c r="R410" s="2" t="s">
        <v>434</v>
      </c>
      <c r="S410" s="11">
        <v>42188.78770833334</v>
      </c>
    </row>
    <row r="411" ht="12.75" hidden="1" customHeight="1">
      <c r="A411" s="2" t="str">
        <f>IF(VLOOKUP(E411,Sheet4!$A$585:$B$786,2,0)=0,1, )</f>
        <v>1</v>
      </c>
      <c r="B411" s="2" t="str">
        <f t="shared" si="1"/>
        <v>1</v>
      </c>
      <c r="C411" s="2" t="str">
        <f t="shared" si="2"/>
        <v>2000003939-3846</v>
      </c>
      <c r="D411" s="2">
        <v>3.20052473E8</v>
      </c>
      <c r="E411" s="2">
        <v>2.000003939E9</v>
      </c>
      <c r="F411" s="2">
        <v>3846.0</v>
      </c>
      <c r="G411" s="2">
        <v>2.0</v>
      </c>
      <c r="H411" s="2">
        <v>720000.0</v>
      </c>
      <c r="I411" s="2">
        <v>3600000.0</v>
      </c>
      <c r="J411" s="2">
        <v>1.0</v>
      </c>
      <c r="K411" s="2">
        <v>7.0</v>
      </c>
      <c r="O411" s="2" t="s">
        <v>541</v>
      </c>
      <c r="P411" s="2" t="s">
        <v>166</v>
      </c>
      <c r="R411" s="2" t="s">
        <v>434</v>
      </c>
      <c r="S411" s="11">
        <v>42188.78773148148</v>
      </c>
    </row>
    <row r="412" ht="12.75" hidden="1" customHeight="1">
      <c r="A412" s="2" t="str">
        <f>IF(VLOOKUP(E412,Sheet4!$A$585:$B$786,2,0)=0,1, )</f>
        <v>1</v>
      </c>
      <c r="B412" s="2" t="str">
        <f t="shared" si="1"/>
        <v/>
      </c>
      <c r="C412" s="2" t="str">
        <f t="shared" si="2"/>
        <v>2000003939-3846</v>
      </c>
      <c r="D412" s="2">
        <v>3.20052475E8</v>
      </c>
      <c r="E412" s="2">
        <v>2.000003939E9</v>
      </c>
      <c r="F412" s="2">
        <v>3846.0</v>
      </c>
      <c r="G412" s="2">
        <v>2.0</v>
      </c>
      <c r="H412" s="2">
        <v>720000.0</v>
      </c>
      <c r="I412" s="2">
        <v>3600000.0</v>
      </c>
      <c r="J412" s="2">
        <v>1.0</v>
      </c>
      <c r="K412" s="2">
        <v>7.0</v>
      </c>
      <c r="O412" s="2" t="s">
        <v>541</v>
      </c>
      <c r="P412" s="2" t="s">
        <v>166</v>
      </c>
      <c r="R412" s="2" t="s">
        <v>434</v>
      </c>
      <c r="S412" s="11">
        <v>42188.78773148148</v>
      </c>
    </row>
    <row r="413" ht="12.75" hidden="1" customHeight="1">
      <c r="A413" s="2" t="str">
        <f>IF(VLOOKUP(E413,Sheet4!$A$585:$B$786,2,0)=0,1, )</f>
        <v>1</v>
      </c>
      <c r="B413" s="2" t="str">
        <f t="shared" si="1"/>
        <v/>
      </c>
      <c r="C413" s="2" t="str">
        <f t="shared" si="2"/>
        <v>2000003939-3846</v>
      </c>
      <c r="D413" s="2">
        <v>3.20052474E8</v>
      </c>
      <c r="E413" s="2">
        <v>2.000003939E9</v>
      </c>
      <c r="F413" s="2">
        <v>3846.0</v>
      </c>
      <c r="G413" s="2">
        <v>2.0</v>
      </c>
      <c r="H413" s="2">
        <v>720000.0</v>
      </c>
      <c r="I413" s="2">
        <v>3600000.0</v>
      </c>
      <c r="J413" s="2">
        <v>1.0</v>
      </c>
      <c r="K413" s="2">
        <v>7.0</v>
      </c>
      <c r="O413" s="2" t="s">
        <v>541</v>
      </c>
      <c r="P413" s="2" t="s">
        <v>166</v>
      </c>
      <c r="R413" s="2" t="s">
        <v>434</v>
      </c>
      <c r="S413" s="11">
        <v>42188.78773148148</v>
      </c>
    </row>
    <row r="414" ht="12.75" hidden="1" customHeight="1">
      <c r="A414" s="2" t="str">
        <f>IF(VLOOKUP(E414,Sheet4!$A$585:$B$786,2,0)=0,1, )</f>
        <v>1</v>
      </c>
      <c r="B414" s="2" t="str">
        <f t="shared" si="1"/>
        <v>1</v>
      </c>
      <c r="C414" s="2" t="str">
        <f t="shared" si="2"/>
        <v>2000003939-5305</v>
      </c>
      <c r="D414" s="2">
        <v>3.20052482E8</v>
      </c>
      <c r="E414" s="2">
        <v>2.000003939E9</v>
      </c>
      <c r="F414" s="2">
        <v>5305.0</v>
      </c>
      <c r="G414" s="2">
        <v>2.0</v>
      </c>
      <c r="H414" s="2">
        <v>136000.0</v>
      </c>
      <c r="I414" s="2">
        <v>680000.0</v>
      </c>
      <c r="J414" s="2">
        <v>1.0</v>
      </c>
      <c r="K414" s="2">
        <v>7.0</v>
      </c>
      <c r="O414" s="2" t="s">
        <v>543</v>
      </c>
      <c r="P414" s="2" t="s">
        <v>166</v>
      </c>
      <c r="R414" s="2" t="s">
        <v>434</v>
      </c>
      <c r="S414" s="11">
        <v>42188.78778935185</v>
      </c>
    </row>
    <row r="415" ht="12.75" hidden="1" customHeight="1">
      <c r="A415" s="2" t="str">
        <f>IF(VLOOKUP(E415,Sheet4!$A$585:$B$786,2,0)=0,1, )</f>
        <v>1</v>
      </c>
      <c r="B415" s="2" t="str">
        <f t="shared" si="1"/>
        <v/>
      </c>
      <c r="C415" s="2" t="str">
        <f t="shared" si="2"/>
        <v>2000003939-5305</v>
      </c>
      <c r="D415" s="2">
        <v>3.20052483E8</v>
      </c>
      <c r="E415" s="2">
        <v>2.000003939E9</v>
      </c>
      <c r="F415" s="2">
        <v>5305.0</v>
      </c>
      <c r="G415" s="2">
        <v>2.0</v>
      </c>
      <c r="H415" s="2">
        <v>136000.0</v>
      </c>
      <c r="I415" s="2">
        <v>680000.0</v>
      </c>
      <c r="J415" s="2">
        <v>1.0</v>
      </c>
      <c r="K415" s="2">
        <v>7.0</v>
      </c>
      <c r="O415" s="2" t="s">
        <v>543</v>
      </c>
      <c r="P415" s="2" t="s">
        <v>166</v>
      </c>
      <c r="R415" s="2" t="s">
        <v>434</v>
      </c>
      <c r="S415" s="11">
        <v>42188.78778935185</v>
      </c>
    </row>
    <row r="416" ht="12.75" hidden="1" customHeight="1">
      <c r="A416" s="2" t="str">
        <f>IF(VLOOKUP(E416,Sheet4!$A$585:$B$786,2,0)=0,1, )</f>
        <v>1</v>
      </c>
      <c r="B416" s="2" t="str">
        <f t="shared" si="1"/>
        <v/>
      </c>
      <c r="C416" s="2" t="str">
        <f t="shared" si="2"/>
        <v>2000003939-5305</v>
      </c>
      <c r="D416" s="2">
        <v>3.20052484E8</v>
      </c>
      <c r="E416" s="2">
        <v>2.000003939E9</v>
      </c>
      <c r="F416" s="2">
        <v>5305.0</v>
      </c>
      <c r="G416" s="2">
        <v>2.0</v>
      </c>
      <c r="H416" s="2">
        <v>136000.0</v>
      </c>
      <c r="I416" s="2">
        <v>680000.0</v>
      </c>
      <c r="J416" s="2">
        <v>1.0</v>
      </c>
      <c r="K416" s="2">
        <v>7.0</v>
      </c>
      <c r="O416" s="2" t="s">
        <v>543</v>
      </c>
      <c r="P416" s="2" t="s">
        <v>166</v>
      </c>
      <c r="R416" s="2" t="s">
        <v>434</v>
      </c>
      <c r="S416" s="11">
        <v>42188.78778935185</v>
      </c>
    </row>
    <row r="417" ht="12.75" hidden="1" customHeight="1">
      <c r="A417" s="2" t="str">
        <f>IF(VLOOKUP(E417,Sheet4!$A$585:$B$786,2,0)=0,1, )</f>
        <v>1</v>
      </c>
      <c r="B417" s="2" t="str">
        <f t="shared" si="1"/>
        <v>1</v>
      </c>
      <c r="C417" s="2" t="str">
        <f t="shared" si="2"/>
        <v>2000003939-5447</v>
      </c>
      <c r="D417" s="2">
        <v>3.20052478E8</v>
      </c>
      <c r="E417" s="2">
        <v>2.000003939E9</v>
      </c>
      <c r="F417" s="2">
        <v>5447.0</v>
      </c>
      <c r="G417" s="2">
        <v>1.0</v>
      </c>
      <c r="H417" s="2">
        <v>352000.0</v>
      </c>
      <c r="I417" s="2">
        <v>1760000.0</v>
      </c>
      <c r="J417" s="2">
        <v>1.0</v>
      </c>
      <c r="K417" s="2">
        <v>7.0</v>
      </c>
      <c r="O417" s="2" t="s">
        <v>545</v>
      </c>
      <c r="P417" s="2" t="s">
        <v>166</v>
      </c>
      <c r="R417" s="2" t="s">
        <v>434</v>
      </c>
      <c r="S417" s="11">
        <v>42188.787777777776</v>
      </c>
    </row>
    <row r="418" ht="12.75" hidden="1" customHeight="1">
      <c r="A418" s="2" t="str">
        <f>IF(VLOOKUP(E418,Sheet4!$A$585:$B$786,2,0)=0,1, )</f>
        <v>1</v>
      </c>
      <c r="B418" s="2" t="str">
        <f t="shared" si="1"/>
        <v/>
      </c>
      <c r="C418" s="2" t="str">
        <f t="shared" si="2"/>
        <v>2000003939-5447</v>
      </c>
      <c r="D418" s="2">
        <v>3.20052477E8</v>
      </c>
      <c r="E418" s="2">
        <v>2.000003939E9</v>
      </c>
      <c r="F418" s="2">
        <v>5447.0</v>
      </c>
      <c r="G418" s="2">
        <v>1.0</v>
      </c>
      <c r="H418" s="2">
        <v>352000.0</v>
      </c>
      <c r="I418" s="2">
        <v>1760000.0</v>
      </c>
      <c r="J418" s="2">
        <v>1.0</v>
      </c>
      <c r="K418" s="2">
        <v>7.0</v>
      </c>
      <c r="O418" s="2" t="s">
        <v>545</v>
      </c>
      <c r="P418" s="2" t="s">
        <v>166</v>
      </c>
      <c r="R418" s="2" t="s">
        <v>434</v>
      </c>
      <c r="S418" s="11">
        <v>42188.787777777776</v>
      </c>
    </row>
    <row r="419" ht="12.75" hidden="1" customHeight="1">
      <c r="A419" s="2" t="str">
        <f>IF(VLOOKUP(E419,Sheet4!$A$585:$B$786,2,0)=0,1, )</f>
        <v>1</v>
      </c>
      <c r="B419" s="2" t="str">
        <f t="shared" si="1"/>
        <v/>
      </c>
      <c r="C419" s="2" t="str">
        <f t="shared" si="2"/>
        <v>2000003939-5447</v>
      </c>
      <c r="D419" s="2">
        <v>3.20052476E8</v>
      </c>
      <c r="E419" s="2">
        <v>2.000003939E9</v>
      </c>
      <c r="F419" s="2">
        <v>5447.0</v>
      </c>
      <c r="G419" s="2">
        <v>1.0</v>
      </c>
      <c r="H419" s="2">
        <v>352000.0</v>
      </c>
      <c r="I419" s="2">
        <v>1760000.0</v>
      </c>
      <c r="J419" s="2">
        <v>1.0</v>
      </c>
      <c r="K419" s="2">
        <v>7.0</v>
      </c>
      <c r="O419" s="2" t="s">
        <v>545</v>
      </c>
      <c r="P419" s="2" t="s">
        <v>166</v>
      </c>
      <c r="R419" s="2" t="s">
        <v>434</v>
      </c>
      <c r="S419" s="11">
        <v>42188.787777777776</v>
      </c>
    </row>
    <row r="420" ht="12.75" hidden="1" customHeight="1">
      <c r="A420" s="2" t="str">
        <f>IF(VLOOKUP(E420,Sheet4!$A$585:$B$786,2,0)=0,1, )</f>
        <v>1</v>
      </c>
      <c r="B420" s="2" t="str">
        <f t="shared" si="1"/>
        <v>1</v>
      </c>
      <c r="C420" s="2" t="str">
        <f t="shared" si="2"/>
        <v>2000003939-5449</v>
      </c>
      <c r="D420" s="2">
        <v>3.20052481E8</v>
      </c>
      <c r="E420" s="2">
        <v>2.000003939E9</v>
      </c>
      <c r="F420" s="2">
        <v>5449.0</v>
      </c>
      <c r="G420" s="2">
        <v>1.0</v>
      </c>
      <c r="H420" s="2">
        <v>88000.0</v>
      </c>
      <c r="I420" s="2">
        <v>440000.0</v>
      </c>
      <c r="J420" s="2">
        <v>1.0</v>
      </c>
      <c r="K420" s="2">
        <v>7.0</v>
      </c>
      <c r="O420" s="2" t="s">
        <v>547</v>
      </c>
      <c r="P420" s="2" t="s">
        <v>166</v>
      </c>
      <c r="R420" s="2" t="s">
        <v>434</v>
      </c>
      <c r="S420" s="11">
        <v>42188.78778935185</v>
      </c>
    </row>
    <row r="421" ht="12.75" hidden="1" customHeight="1">
      <c r="A421" s="2" t="str">
        <f>IF(VLOOKUP(E421,Sheet4!$A$585:$B$786,2,0)=0,1, )</f>
        <v>1</v>
      </c>
      <c r="B421" s="2" t="str">
        <f t="shared" si="1"/>
        <v/>
      </c>
      <c r="C421" s="2" t="str">
        <f t="shared" si="2"/>
        <v>2000003939-5449</v>
      </c>
      <c r="D421" s="2">
        <v>3.20052479E8</v>
      </c>
      <c r="E421" s="2">
        <v>2.000003939E9</v>
      </c>
      <c r="F421" s="2">
        <v>5449.0</v>
      </c>
      <c r="G421" s="2">
        <v>1.0</v>
      </c>
      <c r="H421" s="2">
        <v>88000.0</v>
      </c>
      <c r="I421" s="2">
        <v>440000.0</v>
      </c>
      <c r="J421" s="2">
        <v>1.0</v>
      </c>
      <c r="K421" s="2">
        <v>7.0</v>
      </c>
      <c r="O421" s="2" t="s">
        <v>547</v>
      </c>
      <c r="P421" s="2" t="s">
        <v>166</v>
      </c>
      <c r="R421" s="2" t="s">
        <v>434</v>
      </c>
      <c r="S421" s="11">
        <v>42188.78778935185</v>
      </c>
    </row>
    <row r="422" ht="12.75" hidden="1" customHeight="1">
      <c r="A422" s="2" t="str">
        <f>IF(VLOOKUP(E422,Sheet4!$A$585:$B$786,2,0)=0,1, )</f>
        <v>1</v>
      </c>
      <c r="B422" s="2" t="str">
        <f t="shared" si="1"/>
        <v/>
      </c>
      <c r="C422" s="2" t="str">
        <f t="shared" si="2"/>
        <v>2000003939-5449</v>
      </c>
      <c r="D422" s="2">
        <v>3.2005248E8</v>
      </c>
      <c r="E422" s="2">
        <v>2.000003939E9</v>
      </c>
      <c r="F422" s="2">
        <v>5449.0</v>
      </c>
      <c r="G422" s="2">
        <v>1.0</v>
      </c>
      <c r="H422" s="2">
        <v>88000.0</v>
      </c>
      <c r="I422" s="2">
        <v>440000.0</v>
      </c>
      <c r="J422" s="2">
        <v>1.0</v>
      </c>
      <c r="K422" s="2">
        <v>7.0</v>
      </c>
      <c r="O422" s="2" t="s">
        <v>547</v>
      </c>
      <c r="P422" s="2" t="s">
        <v>166</v>
      </c>
      <c r="R422" s="2" t="s">
        <v>434</v>
      </c>
      <c r="S422" s="11">
        <v>42188.78778935185</v>
      </c>
    </row>
    <row r="423" ht="12.75" hidden="1" customHeight="1">
      <c r="A423" s="2" t="str">
        <f>IF(VLOOKUP(E423,Sheet4!$A$585:$B$786,2,0)=0,1, )</f>
        <v>1</v>
      </c>
      <c r="B423" s="2" t="str">
        <f t="shared" si="1"/>
        <v>1</v>
      </c>
      <c r="C423" s="2" t="str">
        <f t="shared" si="2"/>
        <v>2000003939-6312</v>
      </c>
      <c r="D423" s="2">
        <v>3.20052487E8</v>
      </c>
      <c r="E423" s="2">
        <v>2.000003939E9</v>
      </c>
      <c r="F423" s="2">
        <v>6312.0</v>
      </c>
      <c r="G423" s="2">
        <v>1.0</v>
      </c>
      <c r="H423" s="2">
        <v>8000.0</v>
      </c>
      <c r="I423" s="2">
        <v>40000.0</v>
      </c>
      <c r="J423" s="2">
        <v>1.0</v>
      </c>
      <c r="K423" s="2">
        <v>7.0</v>
      </c>
      <c r="O423" s="2" t="s">
        <v>264</v>
      </c>
      <c r="P423" s="2" t="s">
        <v>166</v>
      </c>
      <c r="R423" s="2" t="s">
        <v>434</v>
      </c>
      <c r="S423" s="11">
        <v>42188.78778935185</v>
      </c>
    </row>
    <row r="424" ht="12.75" hidden="1" customHeight="1">
      <c r="A424" s="2" t="str">
        <f>IF(VLOOKUP(E424,Sheet4!$A$585:$B$786,2,0)=0,1, )</f>
        <v>1</v>
      </c>
      <c r="B424" s="2" t="str">
        <f t="shared" si="1"/>
        <v/>
      </c>
      <c r="C424" s="2" t="str">
        <f t="shared" si="2"/>
        <v>2000003939-6312</v>
      </c>
      <c r="D424" s="2">
        <v>3.20052485E8</v>
      </c>
      <c r="E424" s="2">
        <v>2.000003939E9</v>
      </c>
      <c r="F424" s="2">
        <v>6312.0</v>
      </c>
      <c r="G424" s="2">
        <v>1.0</v>
      </c>
      <c r="H424" s="2">
        <v>8000.0</v>
      </c>
      <c r="I424" s="2">
        <v>40000.0</v>
      </c>
      <c r="J424" s="2">
        <v>1.0</v>
      </c>
      <c r="K424" s="2">
        <v>7.0</v>
      </c>
      <c r="O424" s="2" t="s">
        <v>264</v>
      </c>
      <c r="P424" s="2" t="s">
        <v>166</v>
      </c>
      <c r="R424" s="2" t="s">
        <v>434</v>
      </c>
      <c r="S424" s="11">
        <v>42188.78778935185</v>
      </c>
    </row>
    <row r="425" ht="12.75" hidden="1" customHeight="1">
      <c r="A425" s="2" t="str">
        <f>IF(VLOOKUP(E425,Sheet4!$A$585:$B$786,2,0)=0,1, )</f>
        <v>1</v>
      </c>
      <c r="B425" s="2" t="str">
        <f t="shared" si="1"/>
        <v/>
      </c>
      <c r="C425" s="2" t="str">
        <f t="shared" si="2"/>
        <v>2000003939-6312</v>
      </c>
      <c r="D425" s="2">
        <v>3.20052486E8</v>
      </c>
      <c r="E425" s="2">
        <v>2.000003939E9</v>
      </c>
      <c r="F425" s="2">
        <v>6312.0</v>
      </c>
      <c r="G425" s="2">
        <v>1.0</v>
      </c>
      <c r="H425" s="2">
        <v>8000.0</v>
      </c>
      <c r="I425" s="2">
        <v>40000.0</v>
      </c>
      <c r="J425" s="2">
        <v>1.0</v>
      </c>
      <c r="K425" s="2">
        <v>7.0</v>
      </c>
      <c r="O425" s="2" t="s">
        <v>264</v>
      </c>
      <c r="P425" s="2" t="s">
        <v>166</v>
      </c>
      <c r="R425" s="2" t="s">
        <v>434</v>
      </c>
      <c r="S425" s="11">
        <v>42188.78778935185</v>
      </c>
    </row>
    <row r="426" ht="12.75" hidden="1" customHeight="1">
      <c r="A426" s="2" t="str">
        <f>IF(VLOOKUP(E426,Sheet4!$A$585:$B$786,2,0)=0,1, )</f>
        <v>1</v>
      </c>
      <c r="B426" s="2" t="str">
        <f t="shared" si="1"/>
        <v>1</v>
      </c>
      <c r="C426" s="2" t="str">
        <f t="shared" si="2"/>
        <v>2000003939-6990</v>
      </c>
      <c r="D426" s="2">
        <v>3.20052472E8</v>
      </c>
      <c r="E426" s="2">
        <v>2.000003939E9</v>
      </c>
      <c r="F426" s="2">
        <v>6990.0</v>
      </c>
      <c r="G426" s="2">
        <v>1.0</v>
      </c>
      <c r="H426" s="2">
        <v>79000.0</v>
      </c>
      <c r="I426" s="2">
        <v>395000.0</v>
      </c>
      <c r="J426" s="2">
        <v>1.0</v>
      </c>
      <c r="K426" s="2">
        <v>7.0</v>
      </c>
      <c r="O426" s="2" t="s">
        <v>550</v>
      </c>
      <c r="P426" s="2" t="s">
        <v>166</v>
      </c>
      <c r="R426" s="2" t="s">
        <v>434</v>
      </c>
      <c r="S426" s="11">
        <v>42188.78773148148</v>
      </c>
    </row>
    <row r="427" ht="12.75" hidden="1" customHeight="1">
      <c r="A427" s="2" t="str">
        <f>IF(VLOOKUP(E427,Sheet4!$A$585:$B$786,2,0)=0,1, )</f>
        <v>1</v>
      </c>
      <c r="B427" s="2" t="str">
        <f t="shared" si="1"/>
        <v/>
      </c>
      <c r="C427" s="2" t="str">
        <f t="shared" si="2"/>
        <v>2000003939-6990</v>
      </c>
      <c r="D427" s="2">
        <v>3.2005247E8</v>
      </c>
      <c r="E427" s="2">
        <v>2.000003939E9</v>
      </c>
      <c r="F427" s="2">
        <v>6990.0</v>
      </c>
      <c r="G427" s="2">
        <v>1.0</v>
      </c>
      <c r="H427" s="2">
        <v>79000.0</v>
      </c>
      <c r="I427" s="2">
        <v>395000.0</v>
      </c>
      <c r="J427" s="2">
        <v>1.0</v>
      </c>
      <c r="K427" s="2">
        <v>7.0</v>
      </c>
      <c r="O427" s="2" t="s">
        <v>550</v>
      </c>
      <c r="P427" s="2" t="s">
        <v>166</v>
      </c>
      <c r="R427" s="2" t="s">
        <v>434</v>
      </c>
      <c r="S427" s="11">
        <v>42188.78771990741</v>
      </c>
    </row>
    <row r="428" ht="12.75" hidden="1" customHeight="1">
      <c r="A428" s="2" t="str">
        <f>IF(VLOOKUP(E428,Sheet4!$A$585:$B$786,2,0)=0,1, )</f>
        <v>1</v>
      </c>
      <c r="B428" s="2" t="str">
        <f t="shared" si="1"/>
        <v/>
      </c>
      <c r="C428" s="2" t="str">
        <f t="shared" si="2"/>
        <v>2000003939-6990</v>
      </c>
      <c r="D428" s="2">
        <v>3.20052471E8</v>
      </c>
      <c r="E428" s="2">
        <v>2.000003939E9</v>
      </c>
      <c r="F428" s="2">
        <v>6990.0</v>
      </c>
      <c r="G428" s="2">
        <v>1.0</v>
      </c>
      <c r="H428" s="2">
        <v>79000.0</v>
      </c>
      <c r="I428" s="2">
        <v>395000.0</v>
      </c>
      <c r="J428" s="2">
        <v>1.0</v>
      </c>
      <c r="K428" s="2">
        <v>7.0</v>
      </c>
      <c r="O428" s="2" t="s">
        <v>550</v>
      </c>
      <c r="P428" s="2" t="s">
        <v>166</v>
      </c>
      <c r="R428" s="2" t="s">
        <v>434</v>
      </c>
      <c r="S428" s="11">
        <v>42188.78773148148</v>
      </c>
    </row>
    <row r="429" ht="12.75" hidden="1" customHeight="1">
      <c r="A429" s="2" t="str">
        <f>IF(VLOOKUP(E429,Sheet4!$A$585:$B$786,2,0)=0,1, )</f>
        <v>1</v>
      </c>
      <c r="B429" s="2" t="str">
        <f t="shared" si="1"/>
        <v>1</v>
      </c>
      <c r="C429" s="2" t="str">
        <f t="shared" si="2"/>
        <v>2000003939-8520</v>
      </c>
      <c r="D429" s="2">
        <v>3.20052462E8</v>
      </c>
      <c r="E429" s="2">
        <v>2.000003939E9</v>
      </c>
      <c r="F429" s="2">
        <v>8520.0</v>
      </c>
      <c r="G429" s="2">
        <v>2.0</v>
      </c>
      <c r="H429" s="2">
        <v>174000.0</v>
      </c>
      <c r="I429" s="2">
        <v>870000.0</v>
      </c>
      <c r="J429" s="2">
        <v>1.0</v>
      </c>
      <c r="K429" s="2">
        <v>7.0</v>
      </c>
      <c r="O429" s="2" t="s">
        <v>552</v>
      </c>
      <c r="P429" s="2" t="s">
        <v>166</v>
      </c>
      <c r="R429" s="2" t="s">
        <v>434</v>
      </c>
      <c r="S429" s="11">
        <v>42188.78771990741</v>
      </c>
    </row>
    <row r="430" ht="12.75" hidden="1" customHeight="1">
      <c r="A430" s="2" t="str">
        <f>IF(VLOOKUP(E430,Sheet4!$A$585:$B$786,2,0)=0,1, )</f>
        <v>1</v>
      </c>
      <c r="B430" s="2" t="str">
        <f t="shared" si="1"/>
        <v/>
      </c>
      <c r="C430" s="2" t="str">
        <f t="shared" si="2"/>
        <v>2000003939-8520</v>
      </c>
      <c r="D430" s="2">
        <v>3.20052461E8</v>
      </c>
      <c r="E430" s="2">
        <v>2.000003939E9</v>
      </c>
      <c r="F430" s="2">
        <v>8520.0</v>
      </c>
      <c r="G430" s="2">
        <v>2.0</v>
      </c>
      <c r="H430" s="2">
        <v>174000.0</v>
      </c>
      <c r="I430" s="2">
        <v>870000.0</v>
      </c>
      <c r="J430" s="2">
        <v>1.0</v>
      </c>
      <c r="K430" s="2">
        <v>7.0</v>
      </c>
      <c r="O430" s="2" t="s">
        <v>552</v>
      </c>
      <c r="P430" s="2" t="s">
        <v>166</v>
      </c>
      <c r="R430" s="2" t="s">
        <v>434</v>
      </c>
      <c r="S430" s="11">
        <v>42188.78771990741</v>
      </c>
    </row>
    <row r="431" ht="12.75" hidden="1" customHeight="1">
      <c r="A431" s="2" t="str">
        <f>IF(VLOOKUP(E431,Sheet4!$A$585:$B$786,2,0)=0,1, )</f>
        <v>1</v>
      </c>
      <c r="B431" s="2" t="str">
        <f t="shared" si="1"/>
        <v/>
      </c>
      <c r="C431" s="2" t="str">
        <f t="shared" si="2"/>
        <v>2000003939-8520</v>
      </c>
      <c r="D431" s="2">
        <v>3.20052463E8</v>
      </c>
      <c r="E431" s="2">
        <v>2.000003939E9</v>
      </c>
      <c r="F431" s="2">
        <v>8520.0</v>
      </c>
      <c r="G431" s="2">
        <v>2.0</v>
      </c>
      <c r="H431" s="2">
        <v>174000.0</v>
      </c>
      <c r="I431" s="2">
        <v>870000.0</v>
      </c>
      <c r="J431" s="2">
        <v>1.0</v>
      </c>
      <c r="K431" s="2">
        <v>7.0</v>
      </c>
      <c r="O431" s="2" t="s">
        <v>552</v>
      </c>
      <c r="P431" s="2" t="s">
        <v>166</v>
      </c>
      <c r="R431" s="2" t="s">
        <v>434</v>
      </c>
      <c r="S431" s="11">
        <v>42188.78771990741</v>
      </c>
    </row>
    <row r="432" ht="12.75" hidden="1" customHeight="1">
      <c r="A432" s="2" t="str">
        <f>IF(VLOOKUP(E432,Sheet4!$A$585:$B$786,2,0)=0,1, )</f>
        <v>1</v>
      </c>
      <c r="B432" s="2" t="str">
        <f t="shared" si="1"/>
        <v>1</v>
      </c>
      <c r="C432" s="2" t="str">
        <f t="shared" si="2"/>
        <v>2000003939-8521</v>
      </c>
      <c r="D432" s="2">
        <v>3.20052459E8</v>
      </c>
      <c r="E432" s="2">
        <v>2.000003939E9</v>
      </c>
      <c r="F432" s="2">
        <v>8521.0</v>
      </c>
      <c r="G432" s="2">
        <v>1.0</v>
      </c>
      <c r="H432" s="2">
        <v>95000.0</v>
      </c>
      <c r="I432" s="2">
        <v>475000.0</v>
      </c>
      <c r="J432" s="2">
        <v>1.0</v>
      </c>
      <c r="K432" s="2">
        <v>7.0</v>
      </c>
      <c r="O432" s="2" t="s">
        <v>554</v>
      </c>
      <c r="P432" s="2" t="s">
        <v>166</v>
      </c>
      <c r="R432" s="2" t="s">
        <v>434</v>
      </c>
      <c r="S432" s="11">
        <v>42188.78770833334</v>
      </c>
    </row>
    <row r="433" ht="12.75" hidden="1" customHeight="1">
      <c r="A433" s="2" t="str">
        <f>IF(VLOOKUP(E433,Sheet4!$A$585:$B$786,2,0)=0,1, )</f>
        <v>1</v>
      </c>
      <c r="B433" s="2" t="str">
        <f t="shared" si="1"/>
        <v/>
      </c>
      <c r="C433" s="2" t="str">
        <f t="shared" si="2"/>
        <v>2000003939-8521</v>
      </c>
      <c r="D433" s="2">
        <v>3.20052458E8</v>
      </c>
      <c r="E433" s="2">
        <v>2.000003939E9</v>
      </c>
      <c r="F433" s="2">
        <v>8521.0</v>
      </c>
      <c r="G433" s="2">
        <v>1.0</v>
      </c>
      <c r="H433" s="2">
        <v>95000.0</v>
      </c>
      <c r="I433" s="2">
        <v>475000.0</v>
      </c>
      <c r="J433" s="2">
        <v>1.0</v>
      </c>
      <c r="K433" s="2">
        <v>7.0</v>
      </c>
      <c r="O433" s="2" t="s">
        <v>554</v>
      </c>
      <c r="P433" s="2" t="s">
        <v>166</v>
      </c>
      <c r="R433" s="2" t="s">
        <v>434</v>
      </c>
      <c r="S433" s="11">
        <v>42188.78770833334</v>
      </c>
    </row>
    <row r="434" ht="12.75" hidden="1" customHeight="1">
      <c r="A434" s="2" t="str">
        <f>IF(VLOOKUP(E434,Sheet4!$A$585:$B$786,2,0)=0,1, )</f>
        <v>1</v>
      </c>
      <c r="B434" s="2" t="str">
        <f t="shared" si="1"/>
        <v/>
      </c>
      <c r="C434" s="2" t="str">
        <f t="shared" si="2"/>
        <v>2000003939-8521</v>
      </c>
      <c r="D434" s="2">
        <v>3.2005246E8</v>
      </c>
      <c r="E434" s="2">
        <v>2.000003939E9</v>
      </c>
      <c r="F434" s="2">
        <v>8521.0</v>
      </c>
      <c r="G434" s="2">
        <v>1.0</v>
      </c>
      <c r="H434" s="2">
        <v>95000.0</v>
      </c>
      <c r="I434" s="2">
        <v>475000.0</v>
      </c>
      <c r="J434" s="2">
        <v>1.0</v>
      </c>
      <c r="K434" s="2">
        <v>7.0</v>
      </c>
      <c r="O434" s="2" t="s">
        <v>554</v>
      </c>
      <c r="P434" s="2" t="s">
        <v>166</v>
      </c>
      <c r="R434" s="2" t="s">
        <v>434</v>
      </c>
      <c r="S434" s="11">
        <v>42188.78771990741</v>
      </c>
    </row>
    <row r="435" ht="12.75" hidden="1" customHeight="1">
      <c r="A435" s="2" t="str">
        <f>IF(VLOOKUP(E435,Sheet4!$A$585:$B$786,2,0)=0,1, )</f>
        <v>1</v>
      </c>
      <c r="B435" s="2" t="str">
        <f t="shared" si="1"/>
        <v>1</v>
      </c>
      <c r="C435" s="2" t="str">
        <f t="shared" si="2"/>
        <v>2000003939-8528</v>
      </c>
      <c r="D435" s="2">
        <v>3.20052466E8</v>
      </c>
      <c r="E435" s="2">
        <v>2.000003939E9</v>
      </c>
      <c r="F435" s="2">
        <v>8528.0</v>
      </c>
      <c r="G435" s="2">
        <v>2.0</v>
      </c>
      <c r="H435" s="2">
        <v>22000.0</v>
      </c>
      <c r="I435" s="2">
        <v>110000.0</v>
      </c>
      <c r="J435" s="2">
        <v>1.0</v>
      </c>
      <c r="K435" s="2">
        <v>7.0</v>
      </c>
      <c r="O435" s="2" t="s">
        <v>531</v>
      </c>
      <c r="P435" s="2" t="s">
        <v>166</v>
      </c>
      <c r="R435" s="2" t="s">
        <v>434</v>
      </c>
      <c r="S435" s="11">
        <v>42188.78771990741</v>
      </c>
    </row>
    <row r="436" ht="12.75" hidden="1" customHeight="1">
      <c r="A436" s="2" t="str">
        <f>IF(VLOOKUP(E436,Sheet4!$A$585:$B$786,2,0)=0,1, )</f>
        <v>1</v>
      </c>
      <c r="B436" s="2" t="str">
        <f t="shared" si="1"/>
        <v/>
      </c>
      <c r="C436" s="2" t="str">
        <f t="shared" si="2"/>
        <v>2000003939-8528</v>
      </c>
      <c r="D436" s="2">
        <v>3.20052465E8</v>
      </c>
      <c r="E436" s="2">
        <v>2.000003939E9</v>
      </c>
      <c r="F436" s="2">
        <v>8528.0</v>
      </c>
      <c r="G436" s="2">
        <v>2.0</v>
      </c>
      <c r="H436" s="2">
        <v>22000.0</v>
      </c>
      <c r="I436" s="2">
        <v>110000.0</v>
      </c>
      <c r="J436" s="2">
        <v>1.0</v>
      </c>
      <c r="K436" s="2">
        <v>7.0</v>
      </c>
      <c r="O436" s="2" t="s">
        <v>531</v>
      </c>
      <c r="P436" s="2" t="s">
        <v>166</v>
      </c>
      <c r="R436" s="2" t="s">
        <v>434</v>
      </c>
      <c r="S436" s="11">
        <v>42188.78771990741</v>
      </c>
    </row>
    <row r="437" ht="12.75" hidden="1" customHeight="1">
      <c r="A437" s="2" t="str">
        <f>IF(VLOOKUP(E437,Sheet4!$A$585:$B$786,2,0)=0,1, )</f>
        <v>1</v>
      </c>
      <c r="B437" s="2" t="str">
        <f t="shared" si="1"/>
        <v/>
      </c>
      <c r="C437" s="2" t="str">
        <f t="shared" si="2"/>
        <v>2000003939-8528</v>
      </c>
      <c r="D437" s="2">
        <v>3.20052464E8</v>
      </c>
      <c r="E437" s="2">
        <v>2.000003939E9</v>
      </c>
      <c r="F437" s="2">
        <v>8528.0</v>
      </c>
      <c r="G437" s="2">
        <v>2.0</v>
      </c>
      <c r="H437" s="2">
        <v>22000.0</v>
      </c>
      <c r="I437" s="2">
        <v>110000.0</v>
      </c>
      <c r="J437" s="2">
        <v>1.0</v>
      </c>
      <c r="K437" s="2">
        <v>7.0</v>
      </c>
      <c r="O437" s="2" t="s">
        <v>531</v>
      </c>
      <c r="P437" s="2" t="s">
        <v>166</v>
      </c>
      <c r="R437" s="2" t="s">
        <v>434</v>
      </c>
      <c r="S437" s="11">
        <v>42188.78771990741</v>
      </c>
    </row>
    <row r="438" ht="12.75" hidden="1" customHeight="1">
      <c r="A438" s="2" t="str">
        <f>IF(VLOOKUP(E438,Sheet4!$A$585:$B$786,2,0)=0,1, )</f>
        <v>1</v>
      </c>
      <c r="B438" s="2" t="str">
        <f t="shared" si="1"/>
        <v>1</v>
      </c>
      <c r="C438" s="2" t="str">
        <f t="shared" si="2"/>
        <v>2000003939-13041</v>
      </c>
      <c r="D438" s="2">
        <v>3.20052467E8</v>
      </c>
      <c r="E438" s="2">
        <v>2.000003939E9</v>
      </c>
      <c r="F438" s="2">
        <v>13041.0</v>
      </c>
      <c r="G438" s="2">
        <v>5.0</v>
      </c>
      <c r="H438" s="2">
        <v>39000.0</v>
      </c>
      <c r="I438" s="2">
        <v>195000.0</v>
      </c>
      <c r="J438" s="2">
        <v>1.0</v>
      </c>
      <c r="K438" s="2">
        <v>7.0</v>
      </c>
      <c r="O438" s="2" t="s">
        <v>476</v>
      </c>
      <c r="P438" s="2" t="s">
        <v>166</v>
      </c>
      <c r="R438" s="2" t="s">
        <v>434</v>
      </c>
      <c r="S438" s="11">
        <v>42188.78771990741</v>
      </c>
    </row>
    <row r="439" ht="12.75" hidden="1" customHeight="1">
      <c r="A439" s="2" t="str">
        <f>IF(VLOOKUP(E439,Sheet4!$A$585:$B$786,2,0)=0,1, )</f>
        <v>1</v>
      </c>
      <c r="B439" s="2" t="str">
        <f t="shared" si="1"/>
        <v/>
      </c>
      <c r="C439" s="2" t="str">
        <f t="shared" si="2"/>
        <v>2000003939-13041</v>
      </c>
      <c r="D439" s="2">
        <v>3.20052468E8</v>
      </c>
      <c r="E439" s="2">
        <v>2.000003939E9</v>
      </c>
      <c r="F439" s="2">
        <v>13041.0</v>
      </c>
      <c r="G439" s="2">
        <v>5.0</v>
      </c>
      <c r="H439" s="2">
        <v>39000.0</v>
      </c>
      <c r="I439" s="2">
        <v>195000.0</v>
      </c>
      <c r="J439" s="2">
        <v>1.0</v>
      </c>
      <c r="K439" s="2">
        <v>7.0</v>
      </c>
      <c r="O439" s="2" t="s">
        <v>476</v>
      </c>
      <c r="P439" s="2" t="s">
        <v>166</v>
      </c>
      <c r="R439" s="2" t="s">
        <v>434</v>
      </c>
      <c r="S439" s="11">
        <v>42188.78771990741</v>
      </c>
    </row>
    <row r="440" ht="12.75" hidden="1" customHeight="1">
      <c r="A440" s="2" t="str">
        <f>IF(VLOOKUP(E440,Sheet4!$A$585:$B$786,2,0)=0,1, )</f>
        <v>1</v>
      </c>
      <c r="B440" s="2" t="str">
        <f t="shared" si="1"/>
        <v/>
      </c>
      <c r="C440" s="2" t="str">
        <f t="shared" si="2"/>
        <v>2000003939-13041</v>
      </c>
      <c r="D440" s="2">
        <v>3.20052469E8</v>
      </c>
      <c r="E440" s="2">
        <v>2.000003939E9</v>
      </c>
      <c r="F440" s="2">
        <v>13041.0</v>
      </c>
      <c r="G440" s="2">
        <v>5.0</v>
      </c>
      <c r="H440" s="2">
        <v>39000.0</v>
      </c>
      <c r="I440" s="2">
        <v>195000.0</v>
      </c>
      <c r="J440" s="2">
        <v>1.0</v>
      </c>
      <c r="K440" s="2">
        <v>7.0</v>
      </c>
      <c r="O440" s="2" t="s">
        <v>476</v>
      </c>
      <c r="P440" s="2" t="s">
        <v>166</v>
      </c>
      <c r="R440" s="2" t="s">
        <v>434</v>
      </c>
      <c r="S440" s="11">
        <v>42188.78771990741</v>
      </c>
    </row>
    <row r="441" ht="12.75" hidden="1" customHeight="1">
      <c r="A441" s="2" t="str">
        <f>IF(VLOOKUP(E441,Sheet4!$A$585:$B$786,2,0)=0,1, )</f>
        <v>1</v>
      </c>
      <c r="B441" s="2" t="str">
        <f t="shared" si="1"/>
        <v>1</v>
      </c>
      <c r="C441" s="2" t="str">
        <f t="shared" si="2"/>
        <v>2000003940-1002</v>
      </c>
      <c r="D441" s="2">
        <v>3.20052493E8</v>
      </c>
      <c r="E441" s="2">
        <v>2.00000394E9</v>
      </c>
      <c r="F441" s="2">
        <v>1002.0</v>
      </c>
      <c r="G441" s="2">
        <v>1.0</v>
      </c>
      <c r="H441" s="2">
        <v>48000.0</v>
      </c>
      <c r="I441" s="2">
        <v>240000.0</v>
      </c>
      <c r="J441" s="2">
        <v>1.0</v>
      </c>
      <c r="K441" s="2">
        <v>7.0</v>
      </c>
      <c r="O441" s="2" t="s">
        <v>558</v>
      </c>
      <c r="P441" s="2" t="s">
        <v>166</v>
      </c>
      <c r="R441" s="2" t="s">
        <v>434</v>
      </c>
      <c r="S441" s="11">
        <v>42188.78780092593</v>
      </c>
    </row>
    <row r="442" ht="12.75" hidden="1" customHeight="1">
      <c r="A442" s="2" t="str">
        <f>IF(VLOOKUP(E442,Sheet4!$A$585:$B$786,2,0)=0,1, )</f>
        <v>1</v>
      </c>
      <c r="B442" s="2" t="str">
        <f t="shared" si="1"/>
        <v/>
      </c>
      <c r="C442" s="2" t="str">
        <f t="shared" si="2"/>
        <v>2000003940-1002</v>
      </c>
      <c r="D442" s="2">
        <v>3.20052492E8</v>
      </c>
      <c r="E442" s="2">
        <v>2.00000394E9</v>
      </c>
      <c r="F442" s="2">
        <v>1002.0</v>
      </c>
      <c r="G442" s="2">
        <v>1.0</v>
      </c>
      <c r="H442" s="2">
        <v>48000.0</v>
      </c>
      <c r="I442" s="2">
        <v>240000.0</v>
      </c>
      <c r="J442" s="2">
        <v>1.0</v>
      </c>
      <c r="K442" s="2">
        <v>7.0</v>
      </c>
      <c r="O442" s="2" t="s">
        <v>558</v>
      </c>
      <c r="P442" s="2" t="s">
        <v>166</v>
      </c>
      <c r="R442" s="2" t="s">
        <v>434</v>
      </c>
      <c r="S442" s="11">
        <v>42188.78780092593</v>
      </c>
    </row>
    <row r="443" ht="12.75" hidden="1" customHeight="1">
      <c r="A443" s="2" t="str">
        <f>IF(VLOOKUP(E443,Sheet4!$A$585:$B$786,2,0)=0,1, )</f>
        <v>1</v>
      </c>
      <c r="B443" s="2" t="str">
        <f t="shared" si="1"/>
        <v/>
      </c>
      <c r="C443" s="2" t="str">
        <f t="shared" si="2"/>
        <v>2000003940-1002</v>
      </c>
      <c r="D443" s="2">
        <v>3.20052491E8</v>
      </c>
      <c r="E443" s="2">
        <v>2.00000394E9</v>
      </c>
      <c r="F443" s="2">
        <v>1002.0</v>
      </c>
      <c r="G443" s="2">
        <v>1.0</v>
      </c>
      <c r="H443" s="2">
        <v>48000.0</v>
      </c>
      <c r="I443" s="2">
        <v>240000.0</v>
      </c>
      <c r="J443" s="2">
        <v>1.0</v>
      </c>
      <c r="K443" s="2">
        <v>7.0</v>
      </c>
      <c r="O443" s="2" t="s">
        <v>558</v>
      </c>
      <c r="P443" s="2" t="s">
        <v>166</v>
      </c>
      <c r="R443" s="2" t="s">
        <v>434</v>
      </c>
      <c r="S443" s="11">
        <v>42188.78780092593</v>
      </c>
    </row>
    <row r="444" ht="12.75" hidden="1" customHeight="1">
      <c r="A444" s="2" t="str">
        <f>IF(VLOOKUP(E444,Sheet4!$A$585:$B$786,2,0)=0,1, )</f>
        <v>1</v>
      </c>
      <c r="B444" s="2" t="str">
        <f t="shared" si="1"/>
        <v>1</v>
      </c>
      <c r="C444" s="2" t="str">
        <f t="shared" si="2"/>
        <v>2000003940-3148</v>
      </c>
      <c r="D444" s="2">
        <v>3.20052497E8</v>
      </c>
      <c r="E444" s="2">
        <v>2.00000394E9</v>
      </c>
      <c r="F444" s="2">
        <v>3148.0</v>
      </c>
      <c r="G444" s="2">
        <v>0.0</v>
      </c>
      <c r="H444" s="2">
        <v>0.0</v>
      </c>
      <c r="I444" s="2">
        <v>0.0</v>
      </c>
      <c r="J444" s="2">
        <v>1.0</v>
      </c>
      <c r="K444" s="2">
        <v>7.0</v>
      </c>
      <c r="O444" s="2" t="s">
        <v>560</v>
      </c>
      <c r="P444" s="2" t="s">
        <v>166</v>
      </c>
      <c r="R444" s="2" t="s">
        <v>434</v>
      </c>
      <c r="S444" s="11">
        <v>42188.78780092593</v>
      </c>
    </row>
    <row r="445" ht="12.75" hidden="1" customHeight="1">
      <c r="A445" s="2" t="str">
        <f>IF(VLOOKUP(E445,Sheet4!$A$585:$B$786,2,0)=0,1, )</f>
        <v>1</v>
      </c>
      <c r="B445" s="2" t="str">
        <f t="shared" si="1"/>
        <v/>
      </c>
      <c r="C445" s="2" t="str">
        <f t="shared" si="2"/>
        <v>2000003940-3148</v>
      </c>
      <c r="D445" s="2">
        <v>3.20052498E8</v>
      </c>
      <c r="E445" s="2">
        <v>2.00000394E9</v>
      </c>
      <c r="F445" s="2">
        <v>3148.0</v>
      </c>
      <c r="G445" s="2">
        <v>0.0</v>
      </c>
      <c r="H445" s="2">
        <v>0.0</v>
      </c>
      <c r="I445" s="2">
        <v>0.0</v>
      </c>
      <c r="J445" s="2">
        <v>1.0</v>
      </c>
      <c r="K445" s="2">
        <v>7.0</v>
      </c>
      <c r="O445" s="2" t="s">
        <v>560</v>
      </c>
      <c r="P445" s="2" t="s">
        <v>166</v>
      </c>
      <c r="R445" s="2" t="s">
        <v>434</v>
      </c>
      <c r="S445" s="11">
        <v>42188.78780092593</v>
      </c>
    </row>
    <row r="446" ht="12.75" hidden="1" customHeight="1">
      <c r="A446" s="2" t="str">
        <f>IF(VLOOKUP(E446,Sheet4!$A$585:$B$786,2,0)=0,1, )</f>
        <v>1</v>
      </c>
      <c r="B446" s="2" t="str">
        <f t="shared" si="1"/>
        <v/>
      </c>
      <c r="C446" s="2" t="str">
        <f t="shared" si="2"/>
        <v>2000003940-3148</v>
      </c>
      <c r="D446" s="2">
        <v>3.20052499E8</v>
      </c>
      <c r="E446" s="2">
        <v>2.00000394E9</v>
      </c>
      <c r="F446" s="2">
        <v>3148.0</v>
      </c>
      <c r="G446" s="2">
        <v>0.0</v>
      </c>
      <c r="H446" s="2">
        <v>0.0</v>
      </c>
      <c r="I446" s="2">
        <v>0.0</v>
      </c>
      <c r="J446" s="2">
        <v>1.0</v>
      </c>
      <c r="K446" s="2">
        <v>7.0</v>
      </c>
      <c r="O446" s="2" t="s">
        <v>560</v>
      </c>
      <c r="P446" s="2" t="s">
        <v>166</v>
      </c>
      <c r="R446" s="2" t="s">
        <v>434</v>
      </c>
      <c r="S446" s="11">
        <v>42188.78780092593</v>
      </c>
    </row>
    <row r="447" ht="12.75" hidden="1" customHeight="1">
      <c r="A447" s="2" t="str">
        <f>IF(VLOOKUP(E447,Sheet4!$A$585:$B$786,2,0)=0,1, )</f>
        <v>1</v>
      </c>
      <c r="B447" s="2" t="str">
        <f t="shared" si="1"/>
        <v>1</v>
      </c>
      <c r="C447" s="2" t="str">
        <f t="shared" si="2"/>
        <v>2000003940-5305</v>
      </c>
      <c r="D447" s="2">
        <v>3.2005249E8</v>
      </c>
      <c r="E447" s="2">
        <v>2.00000394E9</v>
      </c>
      <c r="F447" s="2">
        <v>5305.0</v>
      </c>
      <c r="G447" s="2">
        <v>2.0</v>
      </c>
      <c r="H447" s="2">
        <v>136000.0</v>
      </c>
      <c r="I447" s="2">
        <v>680000.0</v>
      </c>
      <c r="J447" s="2">
        <v>1.0</v>
      </c>
      <c r="K447" s="2">
        <v>7.0</v>
      </c>
      <c r="O447" s="2" t="s">
        <v>543</v>
      </c>
      <c r="P447" s="2" t="s">
        <v>166</v>
      </c>
      <c r="R447" s="2" t="s">
        <v>434</v>
      </c>
      <c r="S447" s="11">
        <v>42188.78778935185</v>
      </c>
    </row>
    <row r="448" ht="12.75" hidden="1" customHeight="1">
      <c r="A448" s="2" t="str">
        <f>IF(VLOOKUP(E448,Sheet4!$A$585:$B$786,2,0)=0,1, )</f>
        <v>1</v>
      </c>
      <c r="B448" s="2" t="str">
        <f t="shared" si="1"/>
        <v/>
      </c>
      <c r="C448" s="2" t="str">
        <f t="shared" si="2"/>
        <v>2000003940-5305</v>
      </c>
      <c r="D448" s="2">
        <v>3.20052488E8</v>
      </c>
      <c r="E448" s="2">
        <v>2.00000394E9</v>
      </c>
      <c r="F448" s="2">
        <v>5305.0</v>
      </c>
      <c r="G448" s="2">
        <v>2.0</v>
      </c>
      <c r="H448" s="2">
        <v>136000.0</v>
      </c>
      <c r="I448" s="2">
        <v>680000.0</v>
      </c>
      <c r="J448" s="2">
        <v>1.0</v>
      </c>
      <c r="K448" s="2">
        <v>7.0</v>
      </c>
      <c r="O448" s="2" t="s">
        <v>543</v>
      </c>
      <c r="P448" s="2" t="s">
        <v>166</v>
      </c>
      <c r="R448" s="2" t="s">
        <v>434</v>
      </c>
      <c r="S448" s="11">
        <v>42188.78778935185</v>
      </c>
    </row>
    <row r="449" ht="12.75" hidden="1" customHeight="1">
      <c r="A449" s="2" t="str">
        <f>IF(VLOOKUP(E449,Sheet4!$A$585:$B$786,2,0)=0,1, )</f>
        <v>1</v>
      </c>
      <c r="B449" s="2" t="str">
        <f t="shared" si="1"/>
        <v/>
      </c>
      <c r="C449" s="2" t="str">
        <f t="shared" si="2"/>
        <v>2000003940-5305</v>
      </c>
      <c r="D449" s="2">
        <v>3.20052489E8</v>
      </c>
      <c r="E449" s="2">
        <v>2.00000394E9</v>
      </c>
      <c r="F449" s="2">
        <v>5305.0</v>
      </c>
      <c r="G449" s="2">
        <v>2.0</v>
      </c>
      <c r="H449" s="2">
        <v>136000.0</v>
      </c>
      <c r="I449" s="2">
        <v>680000.0</v>
      </c>
      <c r="J449" s="2">
        <v>1.0</v>
      </c>
      <c r="K449" s="2">
        <v>7.0</v>
      </c>
      <c r="O449" s="2" t="s">
        <v>543</v>
      </c>
      <c r="P449" s="2" t="s">
        <v>166</v>
      </c>
      <c r="R449" s="2" t="s">
        <v>434</v>
      </c>
      <c r="S449" s="11">
        <v>42188.78778935185</v>
      </c>
    </row>
    <row r="450" ht="12.75" hidden="1" customHeight="1">
      <c r="A450" s="2" t="str">
        <f>IF(VLOOKUP(E450,Sheet4!$A$585:$B$786,2,0)=0,1, )</f>
        <v>1</v>
      </c>
      <c r="B450" s="2" t="str">
        <f t="shared" si="1"/>
        <v>1</v>
      </c>
      <c r="C450" s="2" t="str">
        <f t="shared" si="2"/>
        <v>2000003940-5326</v>
      </c>
      <c r="D450" s="2">
        <v>3.2005251E8</v>
      </c>
      <c r="E450" s="2">
        <v>2.00000394E9</v>
      </c>
      <c r="F450" s="2">
        <v>5326.0</v>
      </c>
      <c r="G450" s="2">
        <v>1.0</v>
      </c>
      <c r="H450" s="2">
        <v>67000.0</v>
      </c>
      <c r="I450" s="2">
        <v>335000.0</v>
      </c>
      <c r="J450" s="2">
        <v>1.0</v>
      </c>
      <c r="K450" s="2">
        <v>7.0</v>
      </c>
      <c r="O450" s="2" t="s">
        <v>563</v>
      </c>
      <c r="P450" s="2" t="s">
        <v>166</v>
      </c>
      <c r="R450" s="2" t="s">
        <v>434</v>
      </c>
      <c r="S450" s="11">
        <v>42188.78780092593</v>
      </c>
    </row>
    <row r="451" ht="12.75" hidden="1" customHeight="1">
      <c r="A451" s="2" t="str">
        <f>IF(VLOOKUP(E451,Sheet4!$A$585:$B$786,2,0)=0,1, )</f>
        <v>1</v>
      </c>
      <c r="B451" s="2" t="str">
        <f t="shared" si="1"/>
        <v/>
      </c>
      <c r="C451" s="2" t="str">
        <f t="shared" si="2"/>
        <v>2000003940-5326</v>
      </c>
      <c r="D451" s="2">
        <v>3.20052509E8</v>
      </c>
      <c r="E451" s="2">
        <v>2.00000394E9</v>
      </c>
      <c r="F451" s="2">
        <v>5326.0</v>
      </c>
      <c r="G451" s="2">
        <v>1.0</v>
      </c>
      <c r="H451" s="2">
        <v>67000.0</v>
      </c>
      <c r="I451" s="2">
        <v>335000.0</v>
      </c>
      <c r="J451" s="2">
        <v>1.0</v>
      </c>
      <c r="K451" s="2">
        <v>7.0</v>
      </c>
      <c r="O451" s="2" t="s">
        <v>563</v>
      </c>
      <c r="P451" s="2" t="s">
        <v>166</v>
      </c>
      <c r="R451" s="2" t="s">
        <v>434</v>
      </c>
      <c r="S451" s="11">
        <v>42188.78780092593</v>
      </c>
    </row>
    <row r="452" ht="12.75" hidden="1" customHeight="1">
      <c r="A452" s="2" t="str">
        <f>IF(VLOOKUP(E452,Sheet4!$A$585:$B$786,2,0)=0,1, )</f>
        <v>1</v>
      </c>
      <c r="B452" s="2" t="str">
        <f t="shared" si="1"/>
        <v/>
      </c>
      <c r="C452" s="2" t="str">
        <f t="shared" si="2"/>
        <v>2000003940-5326</v>
      </c>
      <c r="D452" s="2">
        <v>3.20052511E8</v>
      </c>
      <c r="E452" s="2">
        <v>2.00000394E9</v>
      </c>
      <c r="F452" s="2">
        <v>5326.0</v>
      </c>
      <c r="G452" s="2">
        <v>1.0</v>
      </c>
      <c r="H452" s="2">
        <v>67000.0</v>
      </c>
      <c r="I452" s="2">
        <v>335000.0</v>
      </c>
      <c r="J452" s="2">
        <v>1.0</v>
      </c>
      <c r="K452" s="2">
        <v>7.0</v>
      </c>
      <c r="O452" s="2" t="s">
        <v>563</v>
      </c>
      <c r="P452" s="2" t="s">
        <v>166</v>
      </c>
      <c r="R452" s="2" t="s">
        <v>434</v>
      </c>
      <c r="S452" s="11">
        <v>42188.78780092593</v>
      </c>
    </row>
    <row r="453" ht="12.75" hidden="1" customHeight="1">
      <c r="A453" s="2" t="str">
        <f>IF(VLOOKUP(E453,Sheet4!$A$585:$B$786,2,0)=0,1, )</f>
        <v>1</v>
      </c>
      <c r="B453" s="2" t="str">
        <f t="shared" si="1"/>
        <v>1</v>
      </c>
      <c r="C453" s="2" t="str">
        <f t="shared" si="2"/>
        <v>2000003940-6316</v>
      </c>
      <c r="D453" s="2">
        <v>3.20052503E8</v>
      </c>
      <c r="E453" s="2">
        <v>2.00000394E9</v>
      </c>
      <c r="F453" s="2">
        <v>6316.0</v>
      </c>
      <c r="G453" s="2">
        <v>1.0</v>
      </c>
      <c r="H453" s="2">
        <v>6000.0</v>
      </c>
      <c r="I453" s="2">
        <v>30000.0</v>
      </c>
      <c r="J453" s="2">
        <v>1.0</v>
      </c>
      <c r="K453" s="2">
        <v>7.0</v>
      </c>
      <c r="O453" s="2" t="s">
        <v>266</v>
      </c>
      <c r="P453" s="2" t="s">
        <v>166</v>
      </c>
      <c r="R453" s="2" t="s">
        <v>434</v>
      </c>
      <c r="S453" s="11">
        <v>42188.78780092593</v>
      </c>
    </row>
    <row r="454" ht="12.75" hidden="1" customHeight="1">
      <c r="A454" s="2" t="str">
        <f>IF(VLOOKUP(E454,Sheet4!$A$585:$B$786,2,0)=0,1, )</f>
        <v>1</v>
      </c>
      <c r="B454" s="2" t="str">
        <f t="shared" si="1"/>
        <v/>
      </c>
      <c r="C454" s="2" t="str">
        <f t="shared" si="2"/>
        <v>2000003940-6316</v>
      </c>
      <c r="D454" s="2">
        <v>3.20052504E8</v>
      </c>
      <c r="E454" s="2">
        <v>2.00000394E9</v>
      </c>
      <c r="F454" s="2">
        <v>6316.0</v>
      </c>
      <c r="G454" s="2">
        <v>1.0</v>
      </c>
      <c r="H454" s="2">
        <v>6000.0</v>
      </c>
      <c r="I454" s="2">
        <v>30000.0</v>
      </c>
      <c r="J454" s="2">
        <v>1.0</v>
      </c>
      <c r="K454" s="2">
        <v>7.0</v>
      </c>
      <c r="O454" s="2" t="s">
        <v>266</v>
      </c>
      <c r="P454" s="2" t="s">
        <v>166</v>
      </c>
      <c r="R454" s="2" t="s">
        <v>434</v>
      </c>
      <c r="S454" s="11">
        <v>42188.78780092593</v>
      </c>
    </row>
    <row r="455" ht="12.75" hidden="1" customHeight="1">
      <c r="A455" s="2" t="str">
        <f>IF(VLOOKUP(E455,Sheet4!$A$585:$B$786,2,0)=0,1, )</f>
        <v>1</v>
      </c>
      <c r="B455" s="2" t="str">
        <f t="shared" si="1"/>
        <v/>
      </c>
      <c r="C455" s="2" t="str">
        <f t="shared" si="2"/>
        <v>2000003940-6316</v>
      </c>
      <c r="D455" s="2">
        <v>3.20052505E8</v>
      </c>
      <c r="E455" s="2">
        <v>2.00000394E9</v>
      </c>
      <c r="F455" s="2">
        <v>6316.0</v>
      </c>
      <c r="G455" s="2">
        <v>1.0</v>
      </c>
      <c r="H455" s="2">
        <v>6000.0</v>
      </c>
      <c r="I455" s="2">
        <v>30000.0</v>
      </c>
      <c r="J455" s="2">
        <v>1.0</v>
      </c>
      <c r="K455" s="2">
        <v>7.0</v>
      </c>
      <c r="O455" s="2" t="s">
        <v>266</v>
      </c>
      <c r="P455" s="2" t="s">
        <v>166</v>
      </c>
      <c r="R455" s="2" t="s">
        <v>434</v>
      </c>
      <c r="S455" s="11">
        <v>42188.78780092593</v>
      </c>
    </row>
    <row r="456" ht="12.75" hidden="1" customHeight="1">
      <c r="A456" s="2" t="str">
        <f>IF(VLOOKUP(E456,Sheet4!$A$585:$B$786,2,0)=0,1, )</f>
        <v>1</v>
      </c>
      <c r="B456" s="2" t="str">
        <f t="shared" si="1"/>
        <v>1</v>
      </c>
      <c r="C456" s="2" t="str">
        <f t="shared" si="2"/>
        <v>2000003940-6402</v>
      </c>
      <c r="D456" s="2">
        <v>3.20052506E8</v>
      </c>
      <c r="E456" s="2">
        <v>2.00000394E9</v>
      </c>
      <c r="F456" s="2">
        <v>6402.0</v>
      </c>
      <c r="G456" s="2">
        <v>1.0</v>
      </c>
      <c r="H456" s="2">
        <v>15800.0</v>
      </c>
      <c r="I456" s="2">
        <v>79000.0</v>
      </c>
      <c r="J456" s="2">
        <v>1.0</v>
      </c>
      <c r="K456" s="2">
        <v>7.0</v>
      </c>
      <c r="O456" s="2" t="s">
        <v>453</v>
      </c>
      <c r="P456" s="2" t="s">
        <v>166</v>
      </c>
      <c r="R456" s="2" t="s">
        <v>434</v>
      </c>
      <c r="S456" s="11">
        <v>42188.78780092593</v>
      </c>
    </row>
    <row r="457" ht="12.75" hidden="1" customHeight="1">
      <c r="A457" s="2" t="str">
        <f>IF(VLOOKUP(E457,Sheet4!$A$585:$B$786,2,0)=0,1, )</f>
        <v>1</v>
      </c>
      <c r="B457" s="2" t="str">
        <f t="shared" si="1"/>
        <v/>
      </c>
      <c r="C457" s="2" t="str">
        <f t="shared" si="2"/>
        <v>2000003940-6402</v>
      </c>
      <c r="D457" s="2">
        <v>3.20052507E8</v>
      </c>
      <c r="E457" s="2">
        <v>2.00000394E9</v>
      </c>
      <c r="F457" s="2">
        <v>6402.0</v>
      </c>
      <c r="G457" s="2">
        <v>1.0</v>
      </c>
      <c r="H457" s="2">
        <v>15800.0</v>
      </c>
      <c r="I457" s="2">
        <v>79000.0</v>
      </c>
      <c r="J457" s="2">
        <v>1.0</v>
      </c>
      <c r="K457" s="2">
        <v>7.0</v>
      </c>
      <c r="O457" s="2" t="s">
        <v>453</v>
      </c>
      <c r="P457" s="2" t="s">
        <v>166</v>
      </c>
      <c r="R457" s="2" t="s">
        <v>434</v>
      </c>
      <c r="S457" s="11">
        <v>42188.78780092593</v>
      </c>
    </row>
    <row r="458" ht="12.75" hidden="1" customHeight="1">
      <c r="A458" s="2" t="str">
        <f>IF(VLOOKUP(E458,Sheet4!$A$585:$B$786,2,0)=0,1, )</f>
        <v>1</v>
      </c>
      <c r="B458" s="2" t="str">
        <f t="shared" si="1"/>
        <v/>
      </c>
      <c r="C458" s="2" t="str">
        <f t="shared" si="2"/>
        <v>2000003940-6402</v>
      </c>
      <c r="D458" s="2">
        <v>3.20052508E8</v>
      </c>
      <c r="E458" s="2">
        <v>2.00000394E9</v>
      </c>
      <c r="F458" s="2">
        <v>6402.0</v>
      </c>
      <c r="G458" s="2">
        <v>1.0</v>
      </c>
      <c r="H458" s="2">
        <v>15800.0</v>
      </c>
      <c r="I458" s="2">
        <v>79000.0</v>
      </c>
      <c r="J458" s="2">
        <v>1.0</v>
      </c>
      <c r="K458" s="2">
        <v>7.0</v>
      </c>
      <c r="O458" s="2" t="s">
        <v>453</v>
      </c>
      <c r="P458" s="2" t="s">
        <v>166</v>
      </c>
      <c r="R458" s="2" t="s">
        <v>434</v>
      </c>
      <c r="S458" s="11">
        <v>42188.78780092593</v>
      </c>
    </row>
    <row r="459" ht="12.75" hidden="1" customHeight="1">
      <c r="A459" s="2" t="str">
        <f>IF(VLOOKUP(E459,Sheet4!$A$585:$B$786,2,0)=0,1, )</f>
        <v>1</v>
      </c>
      <c r="B459" s="2" t="str">
        <f t="shared" si="1"/>
        <v>1</v>
      </c>
      <c r="C459" s="2" t="str">
        <f t="shared" si="2"/>
        <v>2000003940-8528</v>
      </c>
      <c r="D459" s="2">
        <v>3.20052501E8</v>
      </c>
      <c r="E459" s="2">
        <v>2.00000394E9</v>
      </c>
      <c r="F459" s="2">
        <v>8528.0</v>
      </c>
      <c r="G459" s="2">
        <v>0.0</v>
      </c>
      <c r="H459" s="2">
        <v>0.0</v>
      </c>
      <c r="I459" s="2">
        <v>0.0</v>
      </c>
      <c r="J459" s="2">
        <v>1.0</v>
      </c>
      <c r="K459" s="2">
        <v>7.0</v>
      </c>
      <c r="O459" s="2" t="s">
        <v>531</v>
      </c>
      <c r="P459" s="2" t="s">
        <v>166</v>
      </c>
      <c r="R459" s="2" t="s">
        <v>434</v>
      </c>
      <c r="S459" s="11">
        <v>42188.78780092593</v>
      </c>
    </row>
    <row r="460" ht="12.75" hidden="1" customHeight="1">
      <c r="A460" s="2" t="str">
        <f>IF(VLOOKUP(E460,Sheet4!$A$585:$B$786,2,0)=0,1, )</f>
        <v>1</v>
      </c>
      <c r="B460" s="2" t="str">
        <f t="shared" si="1"/>
        <v/>
      </c>
      <c r="C460" s="2" t="str">
        <f t="shared" si="2"/>
        <v>2000003940-8528</v>
      </c>
      <c r="D460" s="2">
        <v>3.20052502E8</v>
      </c>
      <c r="E460" s="2">
        <v>2.00000394E9</v>
      </c>
      <c r="F460" s="2">
        <v>8528.0</v>
      </c>
      <c r="G460" s="2">
        <v>0.0</v>
      </c>
      <c r="H460" s="2">
        <v>0.0</v>
      </c>
      <c r="I460" s="2">
        <v>0.0</v>
      </c>
      <c r="J460" s="2">
        <v>1.0</v>
      </c>
      <c r="K460" s="2">
        <v>7.0</v>
      </c>
      <c r="O460" s="2" t="s">
        <v>531</v>
      </c>
      <c r="P460" s="2" t="s">
        <v>166</v>
      </c>
      <c r="R460" s="2" t="s">
        <v>434</v>
      </c>
      <c r="S460" s="11">
        <v>42188.78780092593</v>
      </c>
    </row>
    <row r="461" ht="12.75" hidden="1" customHeight="1">
      <c r="A461" s="2" t="str">
        <f>IF(VLOOKUP(E461,Sheet4!$A$585:$B$786,2,0)=0,1, )</f>
        <v>1</v>
      </c>
      <c r="B461" s="2" t="str">
        <f t="shared" si="1"/>
        <v/>
      </c>
      <c r="C461" s="2" t="str">
        <f t="shared" si="2"/>
        <v>2000003940-8528</v>
      </c>
      <c r="D461" s="2">
        <v>3.200525E8</v>
      </c>
      <c r="E461" s="2">
        <v>2.00000394E9</v>
      </c>
      <c r="F461" s="2">
        <v>8528.0</v>
      </c>
      <c r="G461" s="2">
        <v>0.0</v>
      </c>
      <c r="H461" s="2">
        <v>0.0</v>
      </c>
      <c r="I461" s="2">
        <v>0.0</v>
      </c>
      <c r="J461" s="2">
        <v>1.0</v>
      </c>
      <c r="K461" s="2">
        <v>7.0</v>
      </c>
      <c r="O461" s="2" t="s">
        <v>531</v>
      </c>
      <c r="P461" s="2" t="s">
        <v>166</v>
      </c>
      <c r="R461" s="2" t="s">
        <v>434</v>
      </c>
      <c r="S461" s="11">
        <v>42188.78780092593</v>
      </c>
    </row>
    <row r="462" ht="12.75" hidden="1" customHeight="1">
      <c r="A462" s="2" t="str">
        <f>IF(VLOOKUP(E462,Sheet4!$A$585:$B$786,2,0)=0,1, )</f>
        <v>1</v>
      </c>
      <c r="B462" s="2" t="str">
        <f t="shared" si="1"/>
        <v>1</v>
      </c>
      <c r="C462" s="2" t="str">
        <f t="shared" si="2"/>
        <v>2000003940-13041</v>
      </c>
      <c r="D462" s="2">
        <v>3.20052494E8</v>
      </c>
      <c r="E462" s="2">
        <v>2.00000394E9</v>
      </c>
      <c r="F462" s="2">
        <v>13041.0</v>
      </c>
      <c r="G462" s="2">
        <v>2.0</v>
      </c>
      <c r="H462" s="2">
        <v>15600.0</v>
      </c>
      <c r="I462" s="2">
        <v>78000.0</v>
      </c>
      <c r="J462" s="2">
        <v>1.0</v>
      </c>
      <c r="K462" s="2">
        <v>7.0</v>
      </c>
      <c r="O462" s="2" t="s">
        <v>476</v>
      </c>
      <c r="P462" s="2" t="s">
        <v>166</v>
      </c>
      <c r="R462" s="2" t="s">
        <v>434</v>
      </c>
      <c r="S462" s="11">
        <v>42188.78780092593</v>
      </c>
    </row>
    <row r="463" ht="12.75" hidden="1" customHeight="1">
      <c r="A463" s="2" t="str">
        <f>IF(VLOOKUP(E463,Sheet4!$A$585:$B$786,2,0)=0,1, )</f>
        <v>1</v>
      </c>
      <c r="B463" s="2" t="str">
        <f t="shared" si="1"/>
        <v/>
      </c>
      <c r="C463" s="2" t="str">
        <f t="shared" si="2"/>
        <v>2000003940-13041</v>
      </c>
      <c r="D463" s="2">
        <v>3.20052496E8</v>
      </c>
      <c r="E463" s="2">
        <v>2.00000394E9</v>
      </c>
      <c r="F463" s="2">
        <v>13041.0</v>
      </c>
      <c r="G463" s="2">
        <v>2.0</v>
      </c>
      <c r="H463" s="2">
        <v>15600.0</v>
      </c>
      <c r="I463" s="2">
        <v>78000.0</v>
      </c>
      <c r="J463" s="2">
        <v>1.0</v>
      </c>
      <c r="K463" s="2">
        <v>7.0</v>
      </c>
      <c r="O463" s="2" t="s">
        <v>476</v>
      </c>
      <c r="P463" s="2" t="s">
        <v>166</v>
      </c>
      <c r="R463" s="2" t="s">
        <v>434</v>
      </c>
      <c r="S463" s="11">
        <v>42188.78780092593</v>
      </c>
    </row>
    <row r="464" ht="12.75" hidden="1" customHeight="1">
      <c r="A464" s="2" t="str">
        <f>IF(VLOOKUP(E464,Sheet4!$A$585:$B$786,2,0)=0,1, )</f>
        <v>1</v>
      </c>
      <c r="B464" s="2" t="str">
        <f t="shared" si="1"/>
        <v/>
      </c>
      <c r="C464" s="2" t="str">
        <f t="shared" si="2"/>
        <v>2000003940-13041</v>
      </c>
      <c r="D464" s="2">
        <v>3.20052495E8</v>
      </c>
      <c r="E464" s="2">
        <v>2.00000394E9</v>
      </c>
      <c r="F464" s="2">
        <v>13041.0</v>
      </c>
      <c r="G464" s="2">
        <v>2.0</v>
      </c>
      <c r="H464" s="2">
        <v>15600.0</v>
      </c>
      <c r="I464" s="2">
        <v>78000.0</v>
      </c>
      <c r="J464" s="2">
        <v>1.0</v>
      </c>
      <c r="K464" s="2">
        <v>7.0</v>
      </c>
      <c r="O464" s="2" t="s">
        <v>476</v>
      </c>
      <c r="P464" s="2" t="s">
        <v>166</v>
      </c>
      <c r="R464" s="2" t="s">
        <v>434</v>
      </c>
      <c r="S464" s="11">
        <v>42188.78780092593</v>
      </c>
    </row>
    <row r="465" ht="12.75" hidden="1" customHeight="1">
      <c r="A465" s="2" t="str">
        <f>IF(VLOOKUP(E465,Sheet4!$A$585:$B$786,2,0)=0,1, )</f>
        <v>1</v>
      </c>
      <c r="B465" s="2" t="str">
        <f t="shared" si="1"/>
        <v>1</v>
      </c>
      <c r="C465" s="2" t="str">
        <f t="shared" si="2"/>
        <v>2000003941-1003</v>
      </c>
      <c r="D465" s="2">
        <v>3.2005252E8</v>
      </c>
      <c r="E465" s="2">
        <v>2.000003941E9</v>
      </c>
      <c r="F465" s="2">
        <v>1003.0</v>
      </c>
      <c r="G465" s="2">
        <v>1.0</v>
      </c>
      <c r="H465" s="2">
        <v>39000.0</v>
      </c>
      <c r="I465" s="2">
        <v>195000.0</v>
      </c>
      <c r="J465" s="2">
        <v>1.0</v>
      </c>
      <c r="K465" s="2">
        <v>7.0</v>
      </c>
      <c r="O465" s="2" t="s">
        <v>569</v>
      </c>
      <c r="P465" s="2" t="s">
        <v>166</v>
      </c>
      <c r="R465" s="2" t="s">
        <v>434</v>
      </c>
      <c r="S465" s="11">
        <v>42188.7878125</v>
      </c>
    </row>
    <row r="466" ht="12.75" hidden="1" customHeight="1">
      <c r="A466" s="2" t="str">
        <f>IF(VLOOKUP(E466,Sheet4!$A$585:$B$786,2,0)=0,1, )</f>
        <v>1</v>
      </c>
      <c r="B466" s="2" t="str">
        <f t="shared" si="1"/>
        <v/>
      </c>
      <c r="C466" s="2" t="str">
        <f t="shared" si="2"/>
        <v>2000003941-1003</v>
      </c>
      <c r="D466" s="2">
        <v>3.20052518E8</v>
      </c>
      <c r="E466" s="2">
        <v>2.000003941E9</v>
      </c>
      <c r="F466" s="2">
        <v>1003.0</v>
      </c>
      <c r="G466" s="2">
        <v>1.0</v>
      </c>
      <c r="H466" s="2">
        <v>39000.0</v>
      </c>
      <c r="I466" s="2">
        <v>195000.0</v>
      </c>
      <c r="J466" s="2">
        <v>1.0</v>
      </c>
      <c r="K466" s="2">
        <v>7.0</v>
      </c>
      <c r="O466" s="2" t="s">
        <v>569</v>
      </c>
      <c r="P466" s="2" t="s">
        <v>166</v>
      </c>
      <c r="R466" s="2" t="s">
        <v>434</v>
      </c>
      <c r="S466" s="11">
        <v>42188.7878125</v>
      </c>
    </row>
    <row r="467" ht="12.75" hidden="1" customHeight="1">
      <c r="A467" s="2" t="str">
        <f>IF(VLOOKUP(E467,Sheet4!$A$585:$B$786,2,0)=0,1, )</f>
        <v>1</v>
      </c>
      <c r="B467" s="2" t="str">
        <f t="shared" si="1"/>
        <v/>
      </c>
      <c r="C467" s="2" t="str">
        <f t="shared" si="2"/>
        <v>2000003941-1003</v>
      </c>
      <c r="D467" s="2">
        <v>3.20052519E8</v>
      </c>
      <c r="E467" s="2">
        <v>2.000003941E9</v>
      </c>
      <c r="F467" s="2">
        <v>1003.0</v>
      </c>
      <c r="G467" s="2">
        <v>1.0</v>
      </c>
      <c r="H467" s="2">
        <v>39000.0</v>
      </c>
      <c r="I467" s="2">
        <v>195000.0</v>
      </c>
      <c r="J467" s="2">
        <v>1.0</v>
      </c>
      <c r="K467" s="2">
        <v>7.0</v>
      </c>
      <c r="O467" s="2" t="s">
        <v>569</v>
      </c>
      <c r="P467" s="2" t="s">
        <v>166</v>
      </c>
      <c r="R467" s="2" t="s">
        <v>434</v>
      </c>
      <c r="S467" s="11">
        <v>42188.7878125</v>
      </c>
    </row>
    <row r="468" ht="12.75" hidden="1" customHeight="1">
      <c r="A468" s="2" t="str">
        <f>IF(VLOOKUP(E468,Sheet4!$A$585:$B$786,2,0)=0,1, )</f>
        <v>1</v>
      </c>
      <c r="B468" s="2" t="str">
        <f t="shared" si="1"/>
        <v>1</v>
      </c>
      <c r="C468" s="2" t="str">
        <f t="shared" si="2"/>
        <v>2000003941-3243</v>
      </c>
      <c r="D468" s="2">
        <v>3.20052517E8</v>
      </c>
      <c r="E468" s="2">
        <v>2.000003941E9</v>
      </c>
      <c r="F468" s="2">
        <v>3243.0</v>
      </c>
      <c r="G468" s="2">
        <v>1.0</v>
      </c>
      <c r="H468" s="2">
        <v>59000.0</v>
      </c>
      <c r="I468" s="2">
        <v>295000.0</v>
      </c>
      <c r="J468" s="2">
        <v>1.0</v>
      </c>
      <c r="K468" s="2">
        <v>7.0</v>
      </c>
      <c r="O468" s="2" t="s">
        <v>519</v>
      </c>
      <c r="P468" s="2" t="s">
        <v>166</v>
      </c>
      <c r="R468" s="2" t="s">
        <v>434</v>
      </c>
      <c r="S468" s="11">
        <v>42188.7878125</v>
      </c>
    </row>
    <row r="469" ht="12.75" hidden="1" customHeight="1">
      <c r="A469" s="2" t="str">
        <f>IF(VLOOKUP(E469,Sheet4!$A$585:$B$786,2,0)=0,1, )</f>
        <v>1</v>
      </c>
      <c r="B469" s="2" t="str">
        <f t="shared" si="1"/>
        <v/>
      </c>
      <c r="C469" s="2" t="str">
        <f t="shared" si="2"/>
        <v>2000003941-3243</v>
      </c>
      <c r="D469" s="2">
        <v>3.20052515E8</v>
      </c>
      <c r="E469" s="2">
        <v>2.000003941E9</v>
      </c>
      <c r="F469" s="2">
        <v>3243.0</v>
      </c>
      <c r="G469" s="2">
        <v>1.0</v>
      </c>
      <c r="H469" s="2">
        <v>59000.0</v>
      </c>
      <c r="I469" s="2">
        <v>295000.0</v>
      </c>
      <c r="J469" s="2">
        <v>1.0</v>
      </c>
      <c r="K469" s="2">
        <v>7.0</v>
      </c>
      <c r="O469" s="2" t="s">
        <v>519</v>
      </c>
      <c r="P469" s="2" t="s">
        <v>166</v>
      </c>
      <c r="R469" s="2" t="s">
        <v>434</v>
      </c>
      <c r="S469" s="11">
        <v>42188.7878125</v>
      </c>
    </row>
    <row r="470" ht="12.75" hidden="1" customHeight="1">
      <c r="A470" s="2" t="str">
        <f>IF(VLOOKUP(E470,Sheet4!$A$585:$B$786,2,0)=0,1, )</f>
        <v>1</v>
      </c>
      <c r="B470" s="2" t="str">
        <f t="shared" si="1"/>
        <v/>
      </c>
      <c r="C470" s="2" t="str">
        <f t="shared" si="2"/>
        <v>2000003941-3243</v>
      </c>
      <c r="D470" s="2">
        <v>3.20052516E8</v>
      </c>
      <c r="E470" s="2">
        <v>2.000003941E9</v>
      </c>
      <c r="F470" s="2">
        <v>3243.0</v>
      </c>
      <c r="G470" s="2">
        <v>1.0</v>
      </c>
      <c r="H470" s="2">
        <v>59000.0</v>
      </c>
      <c r="I470" s="2">
        <v>295000.0</v>
      </c>
      <c r="J470" s="2">
        <v>1.0</v>
      </c>
      <c r="K470" s="2">
        <v>7.0</v>
      </c>
      <c r="O470" s="2" t="s">
        <v>519</v>
      </c>
      <c r="P470" s="2" t="s">
        <v>166</v>
      </c>
      <c r="R470" s="2" t="s">
        <v>434</v>
      </c>
      <c r="S470" s="11">
        <v>42188.7878125</v>
      </c>
    </row>
    <row r="471" ht="12.75" hidden="1" customHeight="1">
      <c r="A471" s="2" t="str">
        <f>IF(VLOOKUP(E471,Sheet4!$A$585:$B$786,2,0)=0,1, )</f>
        <v>1</v>
      </c>
      <c r="B471" s="2" t="str">
        <f t="shared" si="1"/>
        <v>1</v>
      </c>
      <c r="C471" s="2" t="str">
        <f t="shared" si="2"/>
        <v>2000003941-3249</v>
      </c>
      <c r="D471" s="2">
        <v>3.20052524E8</v>
      </c>
      <c r="E471" s="2">
        <v>2.000003941E9</v>
      </c>
      <c r="F471" s="2">
        <v>3249.0</v>
      </c>
      <c r="G471" s="2">
        <v>1.0</v>
      </c>
      <c r="H471" s="2">
        <v>19800.0</v>
      </c>
      <c r="I471" s="2">
        <v>99000.0</v>
      </c>
      <c r="J471" s="2">
        <v>1.0</v>
      </c>
      <c r="K471" s="2">
        <v>7.0</v>
      </c>
      <c r="O471" s="2" t="s">
        <v>572</v>
      </c>
      <c r="P471" s="2" t="s">
        <v>166</v>
      </c>
      <c r="R471" s="2" t="s">
        <v>434</v>
      </c>
      <c r="S471" s="11">
        <v>42188.7878125</v>
      </c>
    </row>
    <row r="472" ht="12.75" hidden="1" customHeight="1">
      <c r="A472" s="2" t="str">
        <f>IF(VLOOKUP(E472,Sheet4!$A$585:$B$786,2,0)=0,1, )</f>
        <v>1</v>
      </c>
      <c r="B472" s="2" t="str">
        <f t="shared" si="1"/>
        <v/>
      </c>
      <c r="C472" s="2" t="str">
        <f t="shared" si="2"/>
        <v>2000003941-3249</v>
      </c>
      <c r="D472" s="2">
        <v>3.20052525E8</v>
      </c>
      <c r="E472" s="2">
        <v>2.000003941E9</v>
      </c>
      <c r="F472" s="2">
        <v>3249.0</v>
      </c>
      <c r="G472" s="2">
        <v>1.0</v>
      </c>
      <c r="H472" s="2">
        <v>19800.0</v>
      </c>
      <c r="I472" s="2">
        <v>99000.0</v>
      </c>
      <c r="J472" s="2">
        <v>1.0</v>
      </c>
      <c r="K472" s="2">
        <v>7.0</v>
      </c>
      <c r="O472" s="2" t="s">
        <v>572</v>
      </c>
      <c r="P472" s="2" t="s">
        <v>166</v>
      </c>
      <c r="R472" s="2" t="s">
        <v>434</v>
      </c>
      <c r="S472" s="11">
        <v>42188.7878125</v>
      </c>
    </row>
    <row r="473" ht="12.75" hidden="1" customHeight="1">
      <c r="A473" s="2" t="str">
        <f>IF(VLOOKUP(E473,Sheet4!$A$585:$B$786,2,0)=0,1, )</f>
        <v>1</v>
      </c>
      <c r="B473" s="2" t="str">
        <f t="shared" si="1"/>
        <v/>
      </c>
      <c r="C473" s="2" t="str">
        <f t="shared" si="2"/>
        <v>2000003941-3249</v>
      </c>
      <c r="D473" s="2">
        <v>3.20052526E8</v>
      </c>
      <c r="E473" s="2">
        <v>2.000003941E9</v>
      </c>
      <c r="F473" s="2">
        <v>3249.0</v>
      </c>
      <c r="G473" s="2">
        <v>1.0</v>
      </c>
      <c r="H473" s="2">
        <v>19800.0</v>
      </c>
      <c r="I473" s="2">
        <v>99000.0</v>
      </c>
      <c r="J473" s="2">
        <v>1.0</v>
      </c>
      <c r="K473" s="2">
        <v>7.0</v>
      </c>
      <c r="O473" s="2" t="s">
        <v>572</v>
      </c>
      <c r="P473" s="2" t="s">
        <v>166</v>
      </c>
      <c r="R473" s="2" t="s">
        <v>434</v>
      </c>
      <c r="S473" s="11">
        <v>42188.7878125</v>
      </c>
    </row>
    <row r="474" ht="12.75" hidden="1" customHeight="1">
      <c r="A474" s="2" t="str">
        <f>IF(VLOOKUP(E474,Sheet4!$A$585:$B$786,2,0)=0,1, )</f>
        <v>1</v>
      </c>
      <c r="B474" s="2" t="str">
        <f t="shared" si="1"/>
        <v>1</v>
      </c>
      <c r="C474" s="2" t="str">
        <f t="shared" si="2"/>
        <v>2000003941-5344</v>
      </c>
      <c r="D474" s="2">
        <v>3.20052513E8</v>
      </c>
      <c r="E474" s="2">
        <v>2.000003941E9</v>
      </c>
      <c r="F474" s="2">
        <v>5344.0</v>
      </c>
      <c r="G474" s="2">
        <v>1.0</v>
      </c>
      <c r="H474" s="2">
        <v>67000.0</v>
      </c>
      <c r="I474" s="2">
        <v>335000.0</v>
      </c>
      <c r="J474" s="2">
        <v>1.0</v>
      </c>
      <c r="K474" s="2">
        <v>7.0</v>
      </c>
      <c r="O474" s="2" t="s">
        <v>574</v>
      </c>
      <c r="P474" s="2" t="s">
        <v>166</v>
      </c>
      <c r="R474" s="2" t="s">
        <v>434</v>
      </c>
      <c r="S474" s="11">
        <v>42188.7878125</v>
      </c>
    </row>
    <row r="475" ht="12.75" hidden="1" customHeight="1">
      <c r="A475" s="2" t="str">
        <f>IF(VLOOKUP(E475,Sheet4!$A$585:$B$786,2,0)=0,1, )</f>
        <v>1</v>
      </c>
      <c r="B475" s="2" t="str">
        <f t="shared" si="1"/>
        <v/>
      </c>
      <c r="C475" s="2" t="str">
        <f t="shared" si="2"/>
        <v>2000003941-5344</v>
      </c>
      <c r="D475" s="2">
        <v>3.20052514E8</v>
      </c>
      <c r="E475" s="2">
        <v>2.000003941E9</v>
      </c>
      <c r="F475" s="2">
        <v>5344.0</v>
      </c>
      <c r="G475" s="2">
        <v>1.0</v>
      </c>
      <c r="H475" s="2">
        <v>67000.0</v>
      </c>
      <c r="I475" s="2">
        <v>335000.0</v>
      </c>
      <c r="J475" s="2">
        <v>1.0</v>
      </c>
      <c r="K475" s="2">
        <v>7.0</v>
      </c>
      <c r="O475" s="2" t="s">
        <v>574</v>
      </c>
      <c r="P475" s="2" t="s">
        <v>166</v>
      </c>
      <c r="R475" s="2" t="s">
        <v>434</v>
      </c>
      <c r="S475" s="11">
        <v>42188.7878125</v>
      </c>
    </row>
    <row r="476" ht="12.75" hidden="1" customHeight="1">
      <c r="A476" s="2" t="str">
        <f>IF(VLOOKUP(E476,Sheet4!$A$585:$B$786,2,0)=0,1, )</f>
        <v>1</v>
      </c>
      <c r="B476" s="2" t="str">
        <f t="shared" si="1"/>
        <v/>
      </c>
      <c r="C476" s="2" t="str">
        <f t="shared" si="2"/>
        <v>2000003941-5344</v>
      </c>
      <c r="D476" s="2">
        <v>3.20052512E8</v>
      </c>
      <c r="E476" s="2">
        <v>2.000003941E9</v>
      </c>
      <c r="F476" s="2">
        <v>5344.0</v>
      </c>
      <c r="G476" s="2">
        <v>1.0</v>
      </c>
      <c r="H476" s="2">
        <v>67000.0</v>
      </c>
      <c r="I476" s="2">
        <v>335000.0</v>
      </c>
      <c r="J476" s="2">
        <v>1.0</v>
      </c>
      <c r="K476" s="2">
        <v>7.0</v>
      </c>
      <c r="O476" s="2" t="s">
        <v>574</v>
      </c>
      <c r="P476" s="2" t="s">
        <v>166</v>
      </c>
      <c r="R476" s="2" t="s">
        <v>434</v>
      </c>
      <c r="S476" s="11">
        <v>42188.7878125</v>
      </c>
    </row>
    <row r="477" ht="12.75" hidden="1" customHeight="1">
      <c r="A477" s="2" t="str">
        <f>IF(VLOOKUP(E477,Sheet4!$A$585:$B$786,2,0)=0,1, )</f>
        <v>1</v>
      </c>
      <c r="B477" s="2" t="str">
        <f t="shared" si="1"/>
        <v>1</v>
      </c>
      <c r="C477" s="2" t="str">
        <f t="shared" si="2"/>
        <v>2000003941-15678</v>
      </c>
      <c r="D477" s="2">
        <v>3.20052521E8</v>
      </c>
      <c r="E477" s="2">
        <v>2.000003941E9</v>
      </c>
      <c r="F477" s="2">
        <v>15678.0</v>
      </c>
      <c r="G477" s="2">
        <v>1.0</v>
      </c>
      <c r="H477" s="2">
        <v>29800.0</v>
      </c>
      <c r="I477" s="2">
        <v>149000.0</v>
      </c>
      <c r="J477" s="2">
        <v>1.0</v>
      </c>
      <c r="K477" s="2">
        <v>7.0</v>
      </c>
      <c r="O477" s="2" t="s">
        <v>449</v>
      </c>
      <c r="P477" s="2" t="s">
        <v>166</v>
      </c>
      <c r="R477" s="2" t="s">
        <v>434</v>
      </c>
      <c r="S477" s="11">
        <v>42188.7878125</v>
      </c>
    </row>
    <row r="478" ht="12.75" hidden="1" customHeight="1">
      <c r="A478" s="2" t="str">
        <f>IF(VLOOKUP(E478,Sheet4!$A$585:$B$786,2,0)=0,1, )</f>
        <v>1</v>
      </c>
      <c r="B478" s="2" t="str">
        <f t="shared" si="1"/>
        <v/>
      </c>
      <c r="C478" s="2" t="str">
        <f t="shared" si="2"/>
        <v>2000003941-15678</v>
      </c>
      <c r="D478" s="2">
        <v>3.20052522E8</v>
      </c>
      <c r="E478" s="2">
        <v>2.000003941E9</v>
      </c>
      <c r="F478" s="2">
        <v>15678.0</v>
      </c>
      <c r="G478" s="2">
        <v>1.0</v>
      </c>
      <c r="H478" s="2">
        <v>29800.0</v>
      </c>
      <c r="I478" s="2">
        <v>149000.0</v>
      </c>
      <c r="J478" s="2">
        <v>1.0</v>
      </c>
      <c r="K478" s="2">
        <v>7.0</v>
      </c>
      <c r="O478" s="2" t="s">
        <v>449</v>
      </c>
      <c r="P478" s="2" t="s">
        <v>166</v>
      </c>
      <c r="R478" s="2" t="s">
        <v>434</v>
      </c>
      <c r="S478" s="11">
        <v>42188.7878125</v>
      </c>
    </row>
    <row r="479" ht="12.75" hidden="1" customHeight="1">
      <c r="A479" s="2" t="str">
        <f>IF(VLOOKUP(E479,Sheet4!$A$585:$B$786,2,0)=0,1, )</f>
        <v>1</v>
      </c>
      <c r="B479" s="2" t="str">
        <f t="shared" si="1"/>
        <v/>
      </c>
      <c r="C479" s="2" t="str">
        <f t="shared" si="2"/>
        <v>2000003941-15678</v>
      </c>
      <c r="D479" s="2">
        <v>3.20052523E8</v>
      </c>
      <c r="E479" s="2">
        <v>2.000003941E9</v>
      </c>
      <c r="F479" s="2">
        <v>15678.0</v>
      </c>
      <c r="G479" s="2">
        <v>1.0</v>
      </c>
      <c r="H479" s="2">
        <v>29800.0</v>
      </c>
      <c r="I479" s="2">
        <v>149000.0</v>
      </c>
      <c r="J479" s="2">
        <v>1.0</v>
      </c>
      <c r="K479" s="2">
        <v>7.0</v>
      </c>
      <c r="O479" s="2" t="s">
        <v>449</v>
      </c>
      <c r="P479" s="2" t="s">
        <v>166</v>
      </c>
      <c r="R479" s="2" t="s">
        <v>434</v>
      </c>
      <c r="S479" s="11">
        <v>42188.7878125</v>
      </c>
    </row>
    <row r="480" ht="12.75" hidden="1" customHeight="1">
      <c r="A480" s="2" t="str">
        <f>IF(VLOOKUP(E480,Sheet4!$A$585:$B$786,2,0)=0,1, )</f>
        <v>1</v>
      </c>
      <c r="B480" s="2" t="str">
        <f t="shared" si="1"/>
        <v>1</v>
      </c>
      <c r="C480" s="2" t="str">
        <f t="shared" si="2"/>
        <v>2000003942-8515</v>
      </c>
      <c r="D480" s="2">
        <v>3.20052527E8</v>
      </c>
      <c r="E480" s="2">
        <v>2.000003942E9</v>
      </c>
      <c r="F480" s="2">
        <v>8515.0</v>
      </c>
      <c r="G480" s="2">
        <v>1.0</v>
      </c>
      <c r="H480" s="2">
        <v>0.0</v>
      </c>
      <c r="I480" s="2">
        <v>635000.0</v>
      </c>
      <c r="J480" s="2">
        <v>1.0</v>
      </c>
      <c r="K480" s="2">
        <v>7.0</v>
      </c>
      <c r="O480" s="2" t="s">
        <v>577</v>
      </c>
      <c r="P480" s="2" t="s">
        <v>166</v>
      </c>
      <c r="R480" s="2" t="s">
        <v>434</v>
      </c>
      <c r="S480" s="11">
        <v>42188.787824074076</v>
      </c>
    </row>
    <row r="481" ht="12.75" hidden="1" customHeight="1">
      <c r="A481" s="2" t="str">
        <f>IF(VLOOKUP(E481,Sheet4!$A$585:$B$786,2,0)=0,1, )</f>
        <v>1</v>
      </c>
      <c r="B481" s="2" t="str">
        <f t="shared" si="1"/>
        <v/>
      </c>
      <c r="C481" s="2" t="str">
        <f t="shared" si="2"/>
        <v>2000003942-8515</v>
      </c>
      <c r="D481" s="2">
        <v>3.20052528E8</v>
      </c>
      <c r="E481" s="2">
        <v>2.000003942E9</v>
      </c>
      <c r="F481" s="2">
        <v>8515.0</v>
      </c>
      <c r="G481" s="2">
        <v>1.0</v>
      </c>
      <c r="H481" s="2">
        <v>0.0</v>
      </c>
      <c r="I481" s="2">
        <v>635000.0</v>
      </c>
      <c r="J481" s="2">
        <v>1.0</v>
      </c>
      <c r="K481" s="2">
        <v>7.0</v>
      </c>
      <c r="O481" s="2" t="s">
        <v>577</v>
      </c>
      <c r="P481" s="2" t="s">
        <v>166</v>
      </c>
      <c r="R481" s="2" t="s">
        <v>434</v>
      </c>
      <c r="S481" s="11">
        <v>42188.787824074076</v>
      </c>
    </row>
    <row r="482" ht="12.75" hidden="1" customHeight="1">
      <c r="A482" s="2" t="str">
        <f>IF(VLOOKUP(E482,Sheet4!$A$585:$B$786,2,0)=0,1, )</f>
        <v>1</v>
      </c>
      <c r="B482" s="2" t="str">
        <f t="shared" si="1"/>
        <v/>
      </c>
      <c r="C482" s="2" t="str">
        <f t="shared" si="2"/>
        <v>2000003942-8515</v>
      </c>
      <c r="D482" s="2">
        <v>3.20052529E8</v>
      </c>
      <c r="E482" s="2">
        <v>2.000003942E9</v>
      </c>
      <c r="F482" s="2">
        <v>8515.0</v>
      </c>
      <c r="G482" s="2">
        <v>1.0</v>
      </c>
      <c r="H482" s="2">
        <v>0.0</v>
      </c>
      <c r="I482" s="2">
        <v>635000.0</v>
      </c>
      <c r="J482" s="2">
        <v>1.0</v>
      </c>
      <c r="K482" s="2">
        <v>7.0</v>
      </c>
      <c r="O482" s="2" t="s">
        <v>577</v>
      </c>
      <c r="P482" s="2" t="s">
        <v>166</v>
      </c>
      <c r="R482" s="2" t="s">
        <v>434</v>
      </c>
      <c r="S482" s="11">
        <v>42188.787824074076</v>
      </c>
    </row>
    <row r="483" ht="12.75" hidden="1" customHeight="1">
      <c r="A483" s="2" t="str">
        <f>IF(VLOOKUP(E483,Sheet4!$A$585:$B$786,2,0)=0,1, )</f>
        <v>1</v>
      </c>
      <c r="B483" s="2" t="str">
        <f t="shared" si="1"/>
        <v>1</v>
      </c>
      <c r="C483" s="2" t="str">
        <f t="shared" si="2"/>
        <v>2000003944-3361</v>
      </c>
      <c r="D483" s="2">
        <v>3.20052594E8</v>
      </c>
      <c r="E483" s="2">
        <v>2.000003944E9</v>
      </c>
      <c r="F483" s="2">
        <v>3361.0</v>
      </c>
      <c r="G483" s="2">
        <v>1.0</v>
      </c>
      <c r="H483" s="2">
        <v>0.0</v>
      </c>
      <c r="I483" s="2">
        <v>300000.0</v>
      </c>
      <c r="J483" s="2">
        <v>1.0</v>
      </c>
      <c r="K483" s="2">
        <v>7.0</v>
      </c>
      <c r="O483" s="2" t="s">
        <v>579</v>
      </c>
      <c r="P483" s="2" t="s">
        <v>166</v>
      </c>
      <c r="R483" s="2" t="s">
        <v>434</v>
      </c>
      <c r="S483" s="11">
        <v>42188.86157407407</v>
      </c>
    </row>
    <row r="484" ht="12.75" hidden="1" customHeight="1">
      <c r="A484" s="2" t="str">
        <f>IF(VLOOKUP(E484,Sheet4!$A$585:$B$786,2,0)=0,1, )</f>
        <v>1</v>
      </c>
      <c r="B484" s="2" t="str">
        <f t="shared" si="1"/>
        <v/>
      </c>
      <c r="C484" s="2" t="str">
        <f t="shared" si="2"/>
        <v>2000003944-3361</v>
      </c>
      <c r="D484" s="2">
        <v>3.20052595E8</v>
      </c>
      <c r="E484" s="2">
        <v>2.000003944E9</v>
      </c>
      <c r="F484" s="2">
        <v>3361.0</v>
      </c>
      <c r="G484" s="2">
        <v>1.0</v>
      </c>
      <c r="H484" s="2">
        <v>0.0</v>
      </c>
      <c r="I484" s="2">
        <v>300000.0</v>
      </c>
      <c r="J484" s="2">
        <v>1.0</v>
      </c>
      <c r="K484" s="2">
        <v>7.0</v>
      </c>
      <c r="O484" s="2" t="s">
        <v>579</v>
      </c>
      <c r="P484" s="2" t="s">
        <v>166</v>
      </c>
      <c r="R484" s="2" t="s">
        <v>434</v>
      </c>
      <c r="S484" s="11">
        <v>42188.86157407407</v>
      </c>
    </row>
    <row r="485" ht="12.75" hidden="1" customHeight="1">
      <c r="A485" s="2" t="str">
        <f>IF(VLOOKUP(E485,Sheet4!$A$585:$B$786,2,0)=0,1, )</f>
        <v>1</v>
      </c>
      <c r="B485" s="2" t="str">
        <f t="shared" si="1"/>
        <v/>
      </c>
      <c r="C485" s="2" t="str">
        <f t="shared" si="2"/>
        <v>2000003944-3361</v>
      </c>
      <c r="D485" s="2">
        <v>3.20052596E8</v>
      </c>
      <c r="E485" s="2">
        <v>2.000003944E9</v>
      </c>
      <c r="F485" s="2">
        <v>3361.0</v>
      </c>
      <c r="G485" s="2">
        <v>1.0</v>
      </c>
      <c r="H485" s="2">
        <v>0.0</v>
      </c>
      <c r="I485" s="2">
        <v>300000.0</v>
      </c>
      <c r="J485" s="2">
        <v>1.0</v>
      </c>
      <c r="K485" s="2">
        <v>7.0</v>
      </c>
      <c r="O485" s="2" t="s">
        <v>579</v>
      </c>
      <c r="P485" s="2" t="s">
        <v>166</v>
      </c>
      <c r="R485" s="2" t="s">
        <v>434</v>
      </c>
      <c r="S485" s="11">
        <v>42188.86157407407</v>
      </c>
    </row>
    <row r="486" ht="12.75" hidden="1" customHeight="1">
      <c r="A486" s="2" t="str">
        <f>IF(VLOOKUP(E486,Sheet4!$A$585:$B$786,2,0)=0,1, )</f>
        <v>1</v>
      </c>
      <c r="B486" s="2" t="str">
        <f t="shared" si="1"/>
        <v>1</v>
      </c>
      <c r="C486" s="2" t="str">
        <f t="shared" si="2"/>
        <v>2000003944-6385</v>
      </c>
      <c r="D486" s="2">
        <v>3.20052588E8</v>
      </c>
      <c r="E486" s="2">
        <v>2.000003944E9</v>
      </c>
      <c r="F486" s="2">
        <v>6385.0</v>
      </c>
      <c r="G486" s="2">
        <v>1.0</v>
      </c>
      <c r="H486" s="2">
        <v>0.0</v>
      </c>
      <c r="I486" s="2">
        <v>60000.0</v>
      </c>
      <c r="J486" s="2">
        <v>1.0</v>
      </c>
      <c r="K486" s="2">
        <v>7.0</v>
      </c>
      <c r="O486" s="2" t="s">
        <v>581</v>
      </c>
      <c r="P486" s="2" t="s">
        <v>166</v>
      </c>
      <c r="R486" s="2" t="s">
        <v>434</v>
      </c>
      <c r="S486" s="11">
        <v>42188.86157407407</v>
      </c>
    </row>
    <row r="487" ht="12.75" hidden="1" customHeight="1">
      <c r="A487" s="2" t="str">
        <f>IF(VLOOKUP(E487,Sheet4!$A$585:$B$786,2,0)=0,1, )</f>
        <v>1</v>
      </c>
      <c r="B487" s="2" t="str">
        <f t="shared" si="1"/>
        <v/>
      </c>
      <c r="C487" s="2" t="str">
        <f t="shared" si="2"/>
        <v>2000003944-6385</v>
      </c>
      <c r="D487" s="2">
        <v>3.2005259E8</v>
      </c>
      <c r="E487" s="2">
        <v>2.000003944E9</v>
      </c>
      <c r="F487" s="2">
        <v>6385.0</v>
      </c>
      <c r="G487" s="2">
        <v>1.0</v>
      </c>
      <c r="H487" s="2">
        <v>0.0</v>
      </c>
      <c r="I487" s="2">
        <v>60000.0</v>
      </c>
      <c r="J487" s="2">
        <v>1.0</v>
      </c>
      <c r="K487" s="2">
        <v>7.0</v>
      </c>
      <c r="O487" s="2" t="s">
        <v>581</v>
      </c>
      <c r="P487" s="2" t="s">
        <v>166</v>
      </c>
      <c r="R487" s="2" t="s">
        <v>434</v>
      </c>
      <c r="S487" s="11">
        <v>42188.86157407407</v>
      </c>
    </row>
    <row r="488" ht="12.75" hidden="1" customHeight="1">
      <c r="A488" s="2" t="str">
        <f>IF(VLOOKUP(E488,Sheet4!$A$585:$B$786,2,0)=0,1, )</f>
        <v>1</v>
      </c>
      <c r="B488" s="2" t="str">
        <f t="shared" si="1"/>
        <v/>
      </c>
      <c r="C488" s="2" t="str">
        <f t="shared" si="2"/>
        <v>2000003944-6385</v>
      </c>
      <c r="D488" s="2">
        <v>3.20052589E8</v>
      </c>
      <c r="E488" s="2">
        <v>2.000003944E9</v>
      </c>
      <c r="F488" s="2">
        <v>6385.0</v>
      </c>
      <c r="G488" s="2">
        <v>1.0</v>
      </c>
      <c r="H488" s="2">
        <v>0.0</v>
      </c>
      <c r="I488" s="2">
        <v>60000.0</v>
      </c>
      <c r="J488" s="2">
        <v>1.0</v>
      </c>
      <c r="K488" s="2">
        <v>7.0</v>
      </c>
      <c r="O488" s="2" t="s">
        <v>581</v>
      </c>
      <c r="P488" s="2" t="s">
        <v>166</v>
      </c>
      <c r="R488" s="2" t="s">
        <v>434</v>
      </c>
      <c r="S488" s="11">
        <v>42188.86157407407</v>
      </c>
    </row>
    <row r="489" ht="12.75" hidden="1" customHeight="1">
      <c r="A489" s="2" t="str">
        <f>IF(VLOOKUP(E489,Sheet4!$A$585:$B$786,2,0)=0,1, )</f>
        <v>1</v>
      </c>
      <c r="B489" s="2" t="str">
        <f t="shared" si="1"/>
        <v>1</v>
      </c>
      <c r="C489" s="2" t="str">
        <f t="shared" si="2"/>
        <v>2000003944-6400</v>
      </c>
      <c r="D489" s="2">
        <v>3.20052591E8</v>
      </c>
      <c r="E489" s="2">
        <v>2.000003944E9</v>
      </c>
      <c r="F489" s="2">
        <v>6400.0</v>
      </c>
      <c r="G489" s="2">
        <v>1.0</v>
      </c>
      <c r="H489" s="2">
        <v>0.0</v>
      </c>
      <c r="I489" s="2">
        <v>60000.0</v>
      </c>
      <c r="J489" s="2">
        <v>1.0</v>
      </c>
      <c r="K489" s="2">
        <v>7.0</v>
      </c>
      <c r="O489" s="2" t="s">
        <v>583</v>
      </c>
      <c r="P489" s="2" t="s">
        <v>166</v>
      </c>
      <c r="R489" s="2" t="s">
        <v>434</v>
      </c>
      <c r="S489" s="11">
        <v>42188.86157407407</v>
      </c>
    </row>
    <row r="490" ht="12.75" hidden="1" customHeight="1">
      <c r="A490" s="2" t="str">
        <f>IF(VLOOKUP(E490,Sheet4!$A$585:$B$786,2,0)=0,1, )</f>
        <v>1</v>
      </c>
      <c r="B490" s="2" t="str">
        <f t="shared" si="1"/>
        <v/>
      </c>
      <c r="C490" s="2" t="str">
        <f t="shared" si="2"/>
        <v>2000003944-6400</v>
      </c>
      <c r="D490" s="2">
        <v>3.20052593E8</v>
      </c>
      <c r="E490" s="2">
        <v>2.000003944E9</v>
      </c>
      <c r="F490" s="2">
        <v>6400.0</v>
      </c>
      <c r="G490" s="2">
        <v>1.0</v>
      </c>
      <c r="H490" s="2">
        <v>0.0</v>
      </c>
      <c r="I490" s="2">
        <v>60000.0</v>
      </c>
      <c r="J490" s="2">
        <v>1.0</v>
      </c>
      <c r="K490" s="2">
        <v>7.0</v>
      </c>
      <c r="O490" s="2" t="s">
        <v>583</v>
      </c>
      <c r="P490" s="2" t="s">
        <v>166</v>
      </c>
      <c r="R490" s="2" t="s">
        <v>434</v>
      </c>
      <c r="S490" s="11">
        <v>42188.86157407407</v>
      </c>
    </row>
    <row r="491" ht="12.75" hidden="1" customHeight="1">
      <c r="A491" s="2" t="str">
        <f>IF(VLOOKUP(E491,Sheet4!$A$585:$B$786,2,0)=0,1, )</f>
        <v>1</v>
      </c>
      <c r="B491" s="2" t="str">
        <f t="shared" si="1"/>
        <v/>
      </c>
      <c r="C491" s="2" t="str">
        <f t="shared" si="2"/>
        <v>2000003944-6400</v>
      </c>
      <c r="D491" s="2">
        <v>3.20052592E8</v>
      </c>
      <c r="E491" s="2">
        <v>2.000003944E9</v>
      </c>
      <c r="F491" s="2">
        <v>6400.0</v>
      </c>
      <c r="G491" s="2">
        <v>1.0</v>
      </c>
      <c r="H491" s="2">
        <v>0.0</v>
      </c>
      <c r="I491" s="2">
        <v>60000.0</v>
      </c>
      <c r="J491" s="2">
        <v>1.0</v>
      </c>
      <c r="K491" s="2">
        <v>7.0</v>
      </c>
      <c r="O491" s="2" t="s">
        <v>583</v>
      </c>
      <c r="P491" s="2" t="s">
        <v>166</v>
      </c>
      <c r="R491" s="2" t="s">
        <v>434</v>
      </c>
      <c r="S491" s="11">
        <v>42188.86157407407</v>
      </c>
    </row>
    <row r="492" ht="12.75" hidden="1" customHeight="1">
      <c r="A492" s="2" t="str">
        <f>IF(VLOOKUP(E492,Sheet4!$A$585:$B$786,2,0)=0,1, )</f>
        <v>1</v>
      </c>
      <c r="B492" s="2" t="str">
        <f t="shared" si="1"/>
        <v>1</v>
      </c>
      <c r="C492" s="2" t="str">
        <f t="shared" si="2"/>
        <v>2000003944-6610</v>
      </c>
      <c r="D492" s="2">
        <v>3.20052582E8</v>
      </c>
      <c r="E492" s="2">
        <v>2.000003944E9</v>
      </c>
      <c r="F492" s="2">
        <v>6610.0</v>
      </c>
      <c r="G492" s="2">
        <v>1.0</v>
      </c>
      <c r="H492" s="2">
        <v>0.0</v>
      </c>
      <c r="I492" s="2">
        <v>257000.0</v>
      </c>
      <c r="J492" s="2">
        <v>1.0</v>
      </c>
      <c r="K492" s="2">
        <v>7.0</v>
      </c>
      <c r="O492" s="2" t="s">
        <v>585</v>
      </c>
      <c r="P492" s="2" t="s">
        <v>166</v>
      </c>
      <c r="R492" s="2" t="s">
        <v>434</v>
      </c>
      <c r="S492" s="11">
        <v>42188.86157407407</v>
      </c>
    </row>
    <row r="493" ht="12.75" hidden="1" customHeight="1">
      <c r="A493" s="2" t="str">
        <f>IF(VLOOKUP(E493,Sheet4!$A$585:$B$786,2,0)=0,1, )</f>
        <v>1</v>
      </c>
      <c r="B493" s="2" t="str">
        <f t="shared" si="1"/>
        <v/>
      </c>
      <c r="C493" s="2" t="str">
        <f t="shared" si="2"/>
        <v>2000003944-6610</v>
      </c>
      <c r="D493" s="2">
        <v>3.20052584E8</v>
      </c>
      <c r="E493" s="2">
        <v>2.000003944E9</v>
      </c>
      <c r="F493" s="2">
        <v>6610.0</v>
      </c>
      <c r="G493" s="2">
        <v>1.0</v>
      </c>
      <c r="H493" s="2">
        <v>0.0</v>
      </c>
      <c r="I493" s="2">
        <v>257000.0</v>
      </c>
      <c r="J493" s="2">
        <v>1.0</v>
      </c>
      <c r="K493" s="2">
        <v>7.0</v>
      </c>
      <c r="O493" s="2" t="s">
        <v>585</v>
      </c>
      <c r="P493" s="2" t="s">
        <v>166</v>
      </c>
      <c r="R493" s="2" t="s">
        <v>434</v>
      </c>
      <c r="S493" s="11">
        <v>42188.86157407407</v>
      </c>
    </row>
    <row r="494" ht="12.75" hidden="1" customHeight="1">
      <c r="A494" s="2" t="str">
        <f>IF(VLOOKUP(E494,Sheet4!$A$585:$B$786,2,0)=0,1, )</f>
        <v>1</v>
      </c>
      <c r="B494" s="2" t="str">
        <f t="shared" si="1"/>
        <v/>
      </c>
      <c r="C494" s="2" t="str">
        <f t="shared" si="2"/>
        <v>2000003944-6610</v>
      </c>
      <c r="D494" s="2">
        <v>3.20052583E8</v>
      </c>
      <c r="E494" s="2">
        <v>2.000003944E9</v>
      </c>
      <c r="F494" s="2">
        <v>6610.0</v>
      </c>
      <c r="G494" s="2">
        <v>1.0</v>
      </c>
      <c r="H494" s="2">
        <v>0.0</v>
      </c>
      <c r="I494" s="2">
        <v>257000.0</v>
      </c>
      <c r="J494" s="2">
        <v>1.0</v>
      </c>
      <c r="K494" s="2">
        <v>7.0</v>
      </c>
      <c r="O494" s="2" t="s">
        <v>585</v>
      </c>
      <c r="P494" s="2" t="s">
        <v>166</v>
      </c>
      <c r="R494" s="2" t="s">
        <v>434</v>
      </c>
      <c r="S494" s="11">
        <v>42188.86157407407</v>
      </c>
    </row>
    <row r="495" ht="12.75" hidden="1" customHeight="1">
      <c r="A495" s="2" t="str">
        <f>IF(VLOOKUP(E495,Sheet4!$A$585:$B$786,2,0)=0,1, )</f>
        <v>1</v>
      </c>
      <c r="B495" s="2" t="str">
        <f t="shared" si="1"/>
        <v>1</v>
      </c>
      <c r="C495" s="2" t="str">
        <f t="shared" si="2"/>
        <v>2000003944-9736</v>
      </c>
      <c r="D495" s="2">
        <v>3.20052585E8</v>
      </c>
      <c r="E495" s="2">
        <v>2.000003944E9</v>
      </c>
      <c r="F495" s="2">
        <v>9736.0</v>
      </c>
      <c r="G495" s="2">
        <v>1.0</v>
      </c>
      <c r="H495" s="2">
        <v>0.0</v>
      </c>
      <c r="I495" s="2">
        <v>371000.0</v>
      </c>
      <c r="J495" s="2">
        <v>1.0</v>
      </c>
      <c r="K495" s="2">
        <v>7.0</v>
      </c>
      <c r="O495" s="2" t="s">
        <v>516</v>
      </c>
      <c r="P495" s="2" t="s">
        <v>166</v>
      </c>
      <c r="R495" s="2" t="s">
        <v>434</v>
      </c>
      <c r="S495" s="11">
        <v>42188.86157407407</v>
      </c>
    </row>
    <row r="496" ht="12.75" hidden="1" customHeight="1">
      <c r="A496" s="2" t="str">
        <f>IF(VLOOKUP(E496,Sheet4!$A$585:$B$786,2,0)=0,1, )</f>
        <v>1</v>
      </c>
      <c r="B496" s="2" t="str">
        <f t="shared" si="1"/>
        <v/>
      </c>
      <c r="C496" s="2" t="str">
        <f t="shared" si="2"/>
        <v>2000003944-9736</v>
      </c>
      <c r="D496" s="2">
        <v>3.20052586E8</v>
      </c>
      <c r="E496" s="2">
        <v>2.000003944E9</v>
      </c>
      <c r="F496" s="2">
        <v>9736.0</v>
      </c>
      <c r="G496" s="2">
        <v>1.0</v>
      </c>
      <c r="H496" s="2">
        <v>0.0</v>
      </c>
      <c r="I496" s="2">
        <v>371000.0</v>
      </c>
      <c r="J496" s="2">
        <v>1.0</v>
      </c>
      <c r="K496" s="2">
        <v>7.0</v>
      </c>
      <c r="O496" s="2" t="s">
        <v>516</v>
      </c>
      <c r="P496" s="2" t="s">
        <v>166</v>
      </c>
      <c r="R496" s="2" t="s">
        <v>434</v>
      </c>
      <c r="S496" s="11">
        <v>42188.86157407407</v>
      </c>
    </row>
    <row r="497" ht="12.75" hidden="1" customHeight="1">
      <c r="A497" s="2" t="str">
        <f>IF(VLOOKUP(E497,Sheet4!$A$585:$B$786,2,0)=0,1, )</f>
        <v>1</v>
      </c>
      <c r="B497" s="2" t="str">
        <f t="shared" si="1"/>
        <v/>
      </c>
      <c r="C497" s="2" t="str">
        <f t="shared" si="2"/>
        <v>2000003944-9736</v>
      </c>
      <c r="D497" s="2">
        <v>3.20052587E8</v>
      </c>
      <c r="E497" s="2">
        <v>2.000003944E9</v>
      </c>
      <c r="F497" s="2">
        <v>9736.0</v>
      </c>
      <c r="G497" s="2">
        <v>1.0</v>
      </c>
      <c r="H497" s="2">
        <v>0.0</v>
      </c>
      <c r="I497" s="2">
        <v>371000.0</v>
      </c>
      <c r="J497" s="2">
        <v>1.0</v>
      </c>
      <c r="K497" s="2">
        <v>7.0</v>
      </c>
      <c r="O497" s="2" t="s">
        <v>516</v>
      </c>
      <c r="P497" s="2" t="s">
        <v>166</v>
      </c>
      <c r="R497" s="2" t="s">
        <v>434</v>
      </c>
      <c r="S497" s="11">
        <v>42188.86157407407</v>
      </c>
    </row>
    <row r="498" ht="12.75" hidden="1" customHeight="1">
      <c r="A498" s="2" t="str">
        <f>IF(VLOOKUP(E498,Sheet4!$A$585:$B$786,2,0)=0,1, )</f>
        <v>1</v>
      </c>
      <c r="B498" s="2" t="str">
        <f t="shared" si="1"/>
        <v>1</v>
      </c>
      <c r="C498" s="2" t="str">
        <f t="shared" si="2"/>
        <v>2000003979-12524</v>
      </c>
      <c r="D498" s="2">
        <v>3.20054312E8</v>
      </c>
      <c r="E498" s="2">
        <v>2.000003979E9</v>
      </c>
      <c r="F498" s="2">
        <v>12524.0</v>
      </c>
      <c r="G498" s="2">
        <v>2.0</v>
      </c>
      <c r="H498" s="2">
        <v>0.0</v>
      </c>
      <c r="I498" s="2">
        <v>182000.0</v>
      </c>
      <c r="J498" s="2">
        <v>1.0</v>
      </c>
      <c r="K498" s="2">
        <v>7.0</v>
      </c>
      <c r="O498" s="2" t="s">
        <v>345</v>
      </c>
      <c r="P498" s="2" t="s">
        <v>166</v>
      </c>
      <c r="R498" s="2" t="s">
        <v>434</v>
      </c>
      <c r="S498" s="11">
        <v>42191.49901620371</v>
      </c>
    </row>
    <row r="499" ht="12.75" hidden="1" customHeight="1">
      <c r="A499" s="2" t="str">
        <f>IF(VLOOKUP(E499,Sheet4!$A$585:$B$786,2,0)=0,1, )</f>
        <v>1</v>
      </c>
      <c r="B499" s="2" t="str">
        <f t="shared" si="1"/>
        <v/>
      </c>
      <c r="C499" s="2" t="str">
        <f t="shared" si="2"/>
        <v>2000003979-12524</v>
      </c>
      <c r="D499" s="2">
        <v>3.20054313E8</v>
      </c>
      <c r="E499" s="2">
        <v>2.000003979E9</v>
      </c>
      <c r="F499" s="2">
        <v>12524.0</v>
      </c>
      <c r="G499" s="2">
        <v>2.0</v>
      </c>
      <c r="H499" s="2">
        <v>0.0</v>
      </c>
      <c r="I499" s="2">
        <v>182000.0</v>
      </c>
      <c r="J499" s="2">
        <v>1.0</v>
      </c>
      <c r="K499" s="2">
        <v>7.0</v>
      </c>
      <c r="O499" s="2" t="s">
        <v>345</v>
      </c>
      <c r="P499" s="2" t="s">
        <v>166</v>
      </c>
      <c r="R499" s="2" t="s">
        <v>434</v>
      </c>
      <c r="S499" s="11">
        <v>42191.49901620371</v>
      </c>
    </row>
    <row r="500" ht="12.75" hidden="1" customHeight="1">
      <c r="A500" s="2" t="str">
        <f>IF(VLOOKUP(E500,Sheet4!$A$585:$B$786,2,0)=0,1, )</f>
        <v>1</v>
      </c>
      <c r="B500" s="2" t="str">
        <f t="shared" si="1"/>
        <v>1</v>
      </c>
      <c r="C500" s="2" t="str">
        <f t="shared" si="2"/>
        <v>2000003979-13049</v>
      </c>
      <c r="D500" s="2">
        <v>3.20054314E8</v>
      </c>
      <c r="E500" s="2">
        <v>2.000003979E9</v>
      </c>
      <c r="F500" s="2">
        <v>13049.0</v>
      </c>
      <c r="G500" s="2">
        <v>2.0</v>
      </c>
      <c r="H500" s="2">
        <v>0.0</v>
      </c>
      <c r="I500" s="2">
        <v>198000.0</v>
      </c>
      <c r="J500" s="2">
        <v>1.0</v>
      </c>
      <c r="K500" s="2">
        <v>7.0</v>
      </c>
      <c r="O500" s="2" t="s">
        <v>589</v>
      </c>
      <c r="P500" s="2" t="s">
        <v>166</v>
      </c>
      <c r="R500" s="2" t="s">
        <v>434</v>
      </c>
      <c r="S500" s="11">
        <v>42191.49901620371</v>
      </c>
    </row>
    <row r="501" ht="12.75" hidden="1" customHeight="1">
      <c r="A501" s="2" t="str">
        <f>IF(VLOOKUP(E501,Sheet4!$A$585:$B$786,2,0)=0,1, )</f>
        <v>1</v>
      </c>
      <c r="B501" s="2" t="str">
        <f t="shared" si="1"/>
        <v/>
      </c>
      <c r="C501" s="2" t="str">
        <f t="shared" si="2"/>
        <v>2000003979-13049</v>
      </c>
      <c r="D501" s="2">
        <v>3.20054315E8</v>
      </c>
      <c r="E501" s="2">
        <v>2.000003979E9</v>
      </c>
      <c r="F501" s="2">
        <v>13049.0</v>
      </c>
      <c r="G501" s="2">
        <v>2.0</v>
      </c>
      <c r="H501" s="2">
        <v>0.0</v>
      </c>
      <c r="I501" s="2">
        <v>198000.0</v>
      </c>
      <c r="J501" s="2">
        <v>1.0</v>
      </c>
      <c r="K501" s="2">
        <v>7.0</v>
      </c>
      <c r="O501" s="2" t="s">
        <v>589</v>
      </c>
      <c r="P501" s="2" t="s">
        <v>166</v>
      </c>
      <c r="R501" s="2" t="s">
        <v>434</v>
      </c>
      <c r="S501" s="11">
        <v>42191.49901620371</v>
      </c>
    </row>
    <row r="502" ht="12.75" hidden="1" customHeight="1">
      <c r="A502" s="2" t="str">
        <f>IF(VLOOKUP(E502,Sheet4!$A$585:$B$786,2,0)=0,1, )</f>
        <v>1</v>
      </c>
      <c r="B502" s="2" t="str">
        <f t="shared" si="1"/>
        <v>1</v>
      </c>
      <c r="C502" s="2" t="str">
        <f t="shared" si="2"/>
        <v>2000003980-991</v>
      </c>
      <c r="D502" s="2">
        <v>3.20054316E8</v>
      </c>
      <c r="E502" s="2">
        <v>2.00000398E9</v>
      </c>
      <c r="F502" s="2">
        <v>991.0</v>
      </c>
      <c r="G502" s="2">
        <v>1.0</v>
      </c>
      <c r="H502" s="2">
        <v>0.0</v>
      </c>
      <c r="I502" s="2">
        <v>590000.0</v>
      </c>
      <c r="J502" s="2">
        <v>1.0</v>
      </c>
      <c r="K502" s="2">
        <v>7.0</v>
      </c>
      <c r="O502" s="2" t="s">
        <v>591</v>
      </c>
      <c r="P502" s="2" t="s">
        <v>166</v>
      </c>
      <c r="R502" s="2" t="s">
        <v>434</v>
      </c>
      <c r="S502" s="11">
        <v>42191.499027777776</v>
      </c>
    </row>
    <row r="503" ht="12.75" hidden="1" customHeight="1">
      <c r="A503" s="2" t="str">
        <f>IF(VLOOKUP(E503,Sheet4!$A$585:$B$786,2,0)=0,1, )</f>
        <v>1</v>
      </c>
      <c r="B503" s="2" t="str">
        <f t="shared" si="1"/>
        <v/>
      </c>
      <c r="C503" s="2" t="str">
        <f t="shared" si="2"/>
        <v>2000003980-991</v>
      </c>
      <c r="D503" s="2">
        <v>3.20054317E8</v>
      </c>
      <c r="E503" s="2">
        <v>2.00000398E9</v>
      </c>
      <c r="F503" s="2">
        <v>991.0</v>
      </c>
      <c r="G503" s="2">
        <v>1.0</v>
      </c>
      <c r="H503" s="2">
        <v>0.0</v>
      </c>
      <c r="I503" s="2">
        <v>590000.0</v>
      </c>
      <c r="J503" s="2">
        <v>1.0</v>
      </c>
      <c r="K503" s="2">
        <v>7.0</v>
      </c>
      <c r="O503" s="2" t="s">
        <v>591</v>
      </c>
      <c r="P503" s="2" t="s">
        <v>166</v>
      </c>
      <c r="R503" s="2" t="s">
        <v>434</v>
      </c>
      <c r="S503" s="11">
        <v>42191.499027777776</v>
      </c>
    </row>
    <row r="504" ht="12.75" hidden="1" customHeight="1">
      <c r="A504" s="2" t="str">
        <f>IF(VLOOKUP(E504,Sheet4!$A$585:$B$786,2,0)=0,1, )</f>
        <v>1</v>
      </c>
      <c r="B504" s="2" t="str">
        <f t="shared" si="1"/>
        <v>1</v>
      </c>
      <c r="C504" s="2" t="str">
        <f t="shared" si="2"/>
        <v>2000003982-8509</v>
      </c>
      <c r="D504" s="2">
        <v>3.20054326E8</v>
      </c>
      <c r="E504" s="2">
        <v>2.000003982E9</v>
      </c>
      <c r="F504" s="2">
        <v>8509.0</v>
      </c>
      <c r="G504" s="2">
        <v>3.0</v>
      </c>
      <c r="H504" s="2">
        <v>247500.0</v>
      </c>
      <c r="I504" s="2">
        <v>1125000.0</v>
      </c>
      <c r="J504" s="2">
        <v>1.0</v>
      </c>
      <c r="K504" s="2">
        <v>7.0</v>
      </c>
      <c r="O504" s="2" t="s">
        <v>484</v>
      </c>
      <c r="P504" s="2" t="s">
        <v>166</v>
      </c>
      <c r="R504" s="2" t="s">
        <v>434</v>
      </c>
      <c r="S504" s="11">
        <v>42191.499085648145</v>
      </c>
    </row>
    <row r="505" ht="12.75" hidden="1" customHeight="1">
      <c r="A505" s="2" t="str">
        <f>IF(VLOOKUP(E505,Sheet4!$A$585:$B$786,2,0)=0,1, )</f>
        <v>1</v>
      </c>
      <c r="B505" s="2" t="str">
        <f t="shared" si="1"/>
        <v/>
      </c>
      <c r="C505" s="2" t="str">
        <f t="shared" si="2"/>
        <v>2000003982-8509</v>
      </c>
      <c r="D505" s="2">
        <v>3.20054327E8</v>
      </c>
      <c r="E505" s="2">
        <v>2.000003982E9</v>
      </c>
      <c r="F505" s="2">
        <v>8509.0</v>
      </c>
      <c r="G505" s="2">
        <v>3.0</v>
      </c>
      <c r="H505" s="2">
        <v>247500.0</v>
      </c>
      <c r="I505" s="2">
        <v>1125000.0</v>
      </c>
      <c r="J505" s="2">
        <v>1.0</v>
      </c>
      <c r="K505" s="2">
        <v>7.0</v>
      </c>
      <c r="O505" s="2" t="s">
        <v>484</v>
      </c>
      <c r="P505" s="2" t="s">
        <v>166</v>
      </c>
      <c r="R505" s="2" t="s">
        <v>434</v>
      </c>
      <c r="S505" s="11">
        <v>42191.499085648145</v>
      </c>
    </row>
    <row r="506" ht="12.75" hidden="1" customHeight="1">
      <c r="A506" s="2" t="str">
        <f>IF(VLOOKUP(E506,Sheet4!$A$585:$B$786,2,0)=0,1, )</f>
        <v>1</v>
      </c>
      <c r="B506" s="2" t="str">
        <f t="shared" si="1"/>
        <v>1</v>
      </c>
      <c r="C506" s="2" t="str">
        <f t="shared" si="2"/>
        <v>2000003982-8512</v>
      </c>
      <c r="D506" s="2">
        <v>3.20054324E8</v>
      </c>
      <c r="E506" s="2">
        <v>2.000003982E9</v>
      </c>
      <c r="F506" s="2">
        <v>8512.0</v>
      </c>
      <c r="G506" s="2">
        <v>5.0</v>
      </c>
      <c r="H506" s="2">
        <v>544500.0</v>
      </c>
      <c r="I506" s="2">
        <v>2475000.0</v>
      </c>
      <c r="J506" s="2">
        <v>1.0</v>
      </c>
      <c r="K506" s="2">
        <v>7.0</v>
      </c>
      <c r="O506" s="2" t="s">
        <v>594</v>
      </c>
      <c r="P506" s="2" t="s">
        <v>166</v>
      </c>
      <c r="R506" s="2" t="s">
        <v>434</v>
      </c>
      <c r="S506" s="11">
        <v>42191.499085648145</v>
      </c>
    </row>
    <row r="507" ht="12.75" hidden="1" customHeight="1">
      <c r="A507" s="2" t="str">
        <f>IF(VLOOKUP(E507,Sheet4!$A$585:$B$786,2,0)=0,1, )</f>
        <v>1</v>
      </c>
      <c r="B507" s="2" t="str">
        <f t="shared" si="1"/>
        <v/>
      </c>
      <c r="C507" s="2" t="str">
        <f t="shared" si="2"/>
        <v>2000003982-8512</v>
      </c>
      <c r="D507" s="2">
        <v>3.20054325E8</v>
      </c>
      <c r="E507" s="2">
        <v>2.000003982E9</v>
      </c>
      <c r="F507" s="2">
        <v>8512.0</v>
      </c>
      <c r="G507" s="2">
        <v>5.0</v>
      </c>
      <c r="H507" s="2">
        <v>544500.0</v>
      </c>
      <c r="I507" s="2">
        <v>2475000.0</v>
      </c>
      <c r="J507" s="2">
        <v>1.0</v>
      </c>
      <c r="K507" s="2">
        <v>7.0</v>
      </c>
      <c r="O507" s="2" t="s">
        <v>594</v>
      </c>
      <c r="P507" s="2" t="s">
        <v>166</v>
      </c>
      <c r="R507" s="2" t="s">
        <v>434</v>
      </c>
      <c r="S507" s="11">
        <v>42191.499085648145</v>
      </c>
    </row>
    <row r="508" ht="12.75" hidden="1" customHeight="1">
      <c r="A508" s="2" t="str">
        <f>IF(VLOOKUP(E508,Sheet4!$A$585:$B$786,2,0)=0,1, )</f>
        <v>1</v>
      </c>
      <c r="B508" s="2" t="str">
        <f t="shared" si="1"/>
        <v>1</v>
      </c>
      <c r="C508" s="2" t="str">
        <f t="shared" si="2"/>
        <v>2000003982-8513</v>
      </c>
      <c r="D508" s="2">
        <v>3.20054318E8</v>
      </c>
      <c r="E508" s="2">
        <v>2.000003982E9</v>
      </c>
      <c r="F508" s="2">
        <v>8513.0</v>
      </c>
      <c r="G508" s="2">
        <v>4.0</v>
      </c>
      <c r="H508" s="2">
        <v>470800.0</v>
      </c>
      <c r="I508" s="2">
        <v>2140000.0</v>
      </c>
      <c r="J508" s="2">
        <v>1.0</v>
      </c>
      <c r="K508" s="2">
        <v>7.0</v>
      </c>
      <c r="O508" s="2" t="s">
        <v>596</v>
      </c>
      <c r="P508" s="2" t="s">
        <v>166</v>
      </c>
      <c r="R508" s="2" t="s">
        <v>434</v>
      </c>
      <c r="S508" s="11">
        <v>42191.499074074076</v>
      </c>
    </row>
    <row r="509" ht="12.75" hidden="1" customHeight="1">
      <c r="A509" s="2" t="str">
        <f>IF(VLOOKUP(E509,Sheet4!$A$585:$B$786,2,0)=0,1, )</f>
        <v>1</v>
      </c>
      <c r="B509" s="2" t="str">
        <f t="shared" si="1"/>
        <v/>
      </c>
      <c r="C509" s="2" t="str">
        <f t="shared" si="2"/>
        <v>2000003982-8513</v>
      </c>
      <c r="D509" s="2">
        <v>3.20054319E8</v>
      </c>
      <c r="E509" s="2">
        <v>2.000003982E9</v>
      </c>
      <c r="F509" s="2">
        <v>8513.0</v>
      </c>
      <c r="G509" s="2">
        <v>4.0</v>
      </c>
      <c r="H509" s="2">
        <v>470800.0</v>
      </c>
      <c r="I509" s="2">
        <v>2140000.0</v>
      </c>
      <c r="J509" s="2">
        <v>1.0</v>
      </c>
      <c r="K509" s="2">
        <v>7.0</v>
      </c>
      <c r="O509" s="2" t="s">
        <v>596</v>
      </c>
      <c r="P509" s="2" t="s">
        <v>166</v>
      </c>
      <c r="R509" s="2" t="s">
        <v>434</v>
      </c>
      <c r="S509" s="11">
        <v>42191.499074074076</v>
      </c>
    </row>
    <row r="510" ht="12.75" hidden="1" customHeight="1">
      <c r="A510" s="2" t="str">
        <f>IF(VLOOKUP(E510,Sheet4!$A$585:$B$786,2,0)=0,1, )</f>
        <v>1</v>
      </c>
      <c r="B510" s="2" t="str">
        <f t="shared" si="1"/>
        <v>1</v>
      </c>
      <c r="C510" s="2" t="str">
        <f t="shared" si="2"/>
        <v>2000003982-8515</v>
      </c>
      <c r="D510" s="2">
        <v>3.20054321E8</v>
      </c>
      <c r="E510" s="2">
        <v>2.000003982E9</v>
      </c>
      <c r="F510" s="2">
        <v>8515.0</v>
      </c>
      <c r="G510" s="2">
        <v>10.0</v>
      </c>
      <c r="H510" s="2">
        <v>1397000.0</v>
      </c>
      <c r="I510" s="2">
        <v>6350000.0</v>
      </c>
      <c r="J510" s="2">
        <v>1.0</v>
      </c>
      <c r="K510" s="2">
        <v>7.0</v>
      </c>
      <c r="O510" s="2" t="s">
        <v>577</v>
      </c>
      <c r="P510" s="2" t="s">
        <v>166</v>
      </c>
      <c r="R510" s="2" t="s">
        <v>434</v>
      </c>
      <c r="S510" s="11">
        <v>42191.499085648145</v>
      </c>
    </row>
    <row r="511" ht="12.75" hidden="1" customHeight="1">
      <c r="A511" s="2" t="str">
        <f>IF(VLOOKUP(E511,Sheet4!$A$585:$B$786,2,0)=0,1, )</f>
        <v>1</v>
      </c>
      <c r="B511" s="2" t="str">
        <f t="shared" si="1"/>
        <v/>
      </c>
      <c r="C511" s="2" t="str">
        <f t="shared" si="2"/>
        <v>2000003982-8515</v>
      </c>
      <c r="D511" s="2">
        <v>3.2005432E8</v>
      </c>
      <c r="E511" s="2">
        <v>2.000003982E9</v>
      </c>
      <c r="F511" s="2">
        <v>8515.0</v>
      </c>
      <c r="G511" s="2">
        <v>10.0</v>
      </c>
      <c r="H511" s="2">
        <v>1397000.0</v>
      </c>
      <c r="I511" s="2">
        <v>6350000.0</v>
      </c>
      <c r="J511" s="2">
        <v>1.0</v>
      </c>
      <c r="K511" s="2">
        <v>7.0</v>
      </c>
      <c r="O511" s="2" t="s">
        <v>577</v>
      </c>
      <c r="P511" s="2" t="s">
        <v>166</v>
      </c>
      <c r="R511" s="2" t="s">
        <v>434</v>
      </c>
      <c r="S511" s="11">
        <v>42191.499074074076</v>
      </c>
    </row>
    <row r="512" ht="12.75" hidden="1" customHeight="1">
      <c r="A512" s="2" t="str">
        <f>IF(VLOOKUP(E512,Sheet4!$A$585:$B$786,2,0)=0,1, )</f>
        <v>1</v>
      </c>
      <c r="B512" s="2" t="str">
        <f t="shared" si="1"/>
        <v>1</v>
      </c>
      <c r="C512" s="2" t="str">
        <f t="shared" si="2"/>
        <v>2000003982-8516</v>
      </c>
      <c r="D512" s="2">
        <v>3.20054323E8</v>
      </c>
      <c r="E512" s="2">
        <v>2.000003982E9</v>
      </c>
      <c r="F512" s="2">
        <v>8516.0</v>
      </c>
      <c r="G512" s="2">
        <v>5.0</v>
      </c>
      <c r="H512" s="2">
        <v>742500.0</v>
      </c>
      <c r="I512" s="2">
        <v>3375000.0</v>
      </c>
      <c r="J512" s="2">
        <v>1.0</v>
      </c>
      <c r="K512" s="2">
        <v>7.0</v>
      </c>
      <c r="O512" s="2" t="s">
        <v>599</v>
      </c>
      <c r="P512" s="2" t="s">
        <v>166</v>
      </c>
      <c r="R512" s="2" t="s">
        <v>434</v>
      </c>
      <c r="S512" s="11">
        <v>42191.499085648145</v>
      </c>
    </row>
    <row r="513" ht="12.75" hidden="1" customHeight="1">
      <c r="A513" s="2" t="str">
        <f>IF(VLOOKUP(E513,Sheet4!$A$585:$B$786,2,0)=0,1, )</f>
        <v>1</v>
      </c>
      <c r="B513" s="2" t="str">
        <f t="shared" si="1"/>
        <v/>
      </c>
      <c r="C513" s="2" t="str">
        <f t="shared" si="2"/>
        <v>2000003982-8516</v>
      </c>
      <c r="D513" s="2">
        <v>3.20054322E8</v>
      </c>
      <c r="E513" s="2">
        <v>2.000003982E9</v>
      </c>
      <c r="F513" s="2">
        <v>8516.0</v>
      </c>
      <c r="G513" s="2">
        <v>5.0</v>
      </c>
      <c r="H513" s="2">
        <v>742500.0</v>
      </c>
      <c r="I513" s="2">
        <v>3375000.0</v>
      </c>
      <c r="J513" s="2">
        <v>1.0</v>
      </c>
      <c r="K513" s="2">
        <v>7.0</v>
      </c>
      <c r="O513" s="2" t="s">
        <v>599</v>
      </c>
      <c r="P513" s="2" t="s">
        <v>166</v>
      </c>
      <c r="R513" s="2" t="s">
        <v>434</v>
      </c>
      <c r="S513" s="11">
        <v>42191.499085648145</v>
      </c>
    </row>
    <row r="514" ht="12.75" hidden="1" customHeight="1">
      <c r="A514" s="2" t="str">
        <f>IF(VLOOKUP(E514,Sheet4!$A$585:$B$786,2,0)=0,1, )</f>
        <v>1</v>
      </c>
      <c r="B514" s="2" t="str">
        <f t="shared" si="1"/>
        <v>1</v>
      </c>
      <c r="C514" s="2" t="str">
        <f t="shared" si="2"/>
        <v>2000003982-8544</v>
      </c>
      <c r="D514" s="2">
        <v>3.2005433E8</v>
      </c>
      <c r="E514" s="2">
        <v>2.000003982E9</v>
      </c>
      <c r="F514" s="2">
        <v>8544.0</v>
      </c>
      <c r="G514" s="2">
        <v>4.0</v>
      </c>
      <c r="H514" s="2">
        <v>321200.0</v>
      </c>
      <c r="I514" s="2">
        <v>1460000.0</v>
      </c>
      <c r="J514" s="2">
        <v>1.0</v>
      </c>
      <c r="K514" s="2">
        <v>7.0</v>
      </c>
      <c r="O514" s="2" t="s">
        <v>512</v>
      </c>
      <c r="P514" s="2" t="s">
        <v>166</v>
      </c>
      <c r="R514" s="2" t="s">
        <v>434</v>
      </c>
      <c r="S514" s="11">
        <v>42191.499085648145</v>
      </c>
    </row>
    <row r="515" ht="12.75" hidden="1" customHeight="1">
      <c r="A515" s="2" t="str">
        <f>IF(VLOOKUP(E515,Sheet4!$A$585:$B$786,2,0)=0,1, )</f>
        <v>1</v>
      </c>
      <c r="B515" s="2" t="str">
        <f t="shared" si="1"/>
        <v/>
      </c>
      <c r="C515" s="2" t="str">
        <f t="shared" si="2"/>
        <v>2000003982-8544</v>
      </c>
      <c r="D515" s="2">
        <v>3.20054331E8</v>
      </c>
      <c r="E515" s="2">
        <v>2.000003982E9</v>
      </c>
      <c r="F515" s="2">
        <v>8544.0</v>
      </c>
      <c r="G515" s="2">
        <v>4.0</v>
      </c>
      <c r="H515" s="2">
        <v>321200.0</v>
      </c>
      <c r="I515" s="2">
        <v>1460000.0</v>
      </c>
      <c r="J515" s="2">
        <v>1.0</v>
      </c>
      <c r="K515" s="2">
        <v>7.0</v>
      </c>
      <c r="O515" s="2" t="s">
        <v>512</v>
      </c>
      <c r="P515" s="2" t="s">
        <v>166</v>
      </c>
      <c r="R515" s="2" t="s">
        <v>434</v>
      </c>
      <c r="S515" s="11">
        <v>42191.499085648145</v>
      </c>
    </row>
    <row r="516" ht="12.75" hidden="1" customHeight="1">
      <c r="A516" s="2" t="str">
        <f>IF(VLOOKUP(E516,Sheet4!$A$585:$B$786,2,0)=0,1, )</f>
        <v>1</v>
      </c>
      <c r="B516" s="2" t="str">
        <f t="shared" si="1"/>
        <v>1</v>
      </c>
      <c r="C516" s="2" t="str">
        <f t="shared" si="2"/>
        <v>2000003982-8603</v>
      </c>
      <c r="D516" s="2">
        <v>3.20054328E8</v>
      </c>
      <c r="E516" s="2">
        <v>2.000003982E9</v>
      </c>
      <c r="F516" s="2">
        <v>8603.0</v>
      </c>
      <c r="G516" s="2">
        <v>10.0</v>
      </c>
      <c r="H516" s="2">
        <v>1221000.0</v>
      </c>
      <c r="I516" s="2">
        <v>5550000.0</v>
      </c>
      <c r="J516" s="2">
        <v>1.0</v>
      </c>
      <c r="K516" s="2">
        <v>7.0</v>
      </c>
      <c r="O516" s="2" t="s">
        <v>602</v>
      </c>
      <c r="P516" s="2" t="s">
        <v>166</v>
      </c>
      <c r="R516" s="2" t="s">
        <v>434</v>
      </c>
      <c r="S516" s="11">
        <v>42191.499085648145</v>
      </c>
    </row>
    <row r="517" ht="12.75" hidden="1" customHeight="1">
      <c r="A517" s="2" t="str">
        <f>IF(VLOOKUP(E517,Sheet4!$A$585:$B$786,2,0)=0,1, )</f>
        <v>1</v>
      </c>
      <c r="B517" s="2" t="str">
        <f t="shared" si="1"/>
        <v/>
      </c>
      <c r="C517" s="2" t="str">
        <f t="shared" si="2"/>
        <v>2000003982-8603</v>
      </c>
      <c r="D517" s="2">
        <v>3.20054329E8</v>
      </c>
      <c r="E517" s="2">
        <v>2.000003982E9</v>
      </c>
      <c r="F517" s="2">
        <v>8603.0</v>
      </c>
      <c r="G517" s="2">
        <v>10.0</v>
      </c>
      <c r="H517" s="2">
        <v>1221000.0</v>
      </c>
      <c r="I517" s="2">
        <v>5550000.0</v>
      </c>
      <c r="J517" s="2">
        <v>1.0</v>
      </c>
      <c r="K517" s="2">
        <v>7.0</v>
      </c>
      <c r="O517" s="2" t="s">
        <v>602</v>
      </c>
      <c r="P517" s="2" t="s">
        <v>166</v>
      </c>
      <c r="R517" s="2" t="s">
        <v>434</v>
      </c>
      <c r="S517" s="11">
        <v>42191.499085648145</v>
      </c>
    </row>
    <row r="518" ht="12.75" hidden="1" customHeight="1">
      <c r="A518" s="2" t="str">
        <f>IF(VLOOKUP(E518,Sheet4!$A$585:$B$786,2,0)=0,1, )</f>
        <v>1</v>
      </c>
      <c r="B518" s="2" t="str">
        <f t="shared" si="1"/>
        <v>1</v>
      </c>
      <c r="C518" s="2" t="str">
        <f t="shared" si="2"/>
        <v>2000003987-997</v>
      </c>
      <c r="D518" s="2">
        <v>3.20054333E8</v>
      </c>
      <c r="E518" s="2">
        <v>2.000003987E9</v>
      </c>
      <c r="F518" s="2">
        <v>997.0</v>
      </c>
      <c r="G518" s="2">
        <v>1.0</v>
      </c>
      <c r="H518" s="2">
        <v>0.0</v>
      </c>
      <c r="I518" s="2">
        <v>595000.0</v>
      </c>
      <c r="J518" s="2">
        <v>1.0</v>
      </c>
      <c r="K518" s="2">
        <v>7.0</v>
      </c>
      <c r="O518" s="2" t="s">
        <v>165</v>
      </c>
      <c r="P518" s="2" t="s">
        <v>166</v>
      </c>
      <c r="R518" s="2" t="s">
        <v>434</v>
      </c>
      <c r="S518" s="11">
        <v>42191.49916666667</v>
      </c>
    </row>
    <row r="519" ht="12.75" hidden="1" customHeight="1">
      <c r="A519" s="2" t="str">
        <f>IF(VLOOKUP(E519,Sheet4!$A$585:$B$786,2,0)=0,1, )</f>
        <v>1</v>
      </c>
      <c r="B519" s="2" t="str">
        <f t="shared" si="1"/>
        <v/>
      </c>
      <c r="C519" s="2" t="str">
        <f t="shared" si="2"/>
        <v>2000003987-997</v>
      </c>
      <c r="D519" s="2">
        <v>3.20054332E8</v>
      </c>
      <c r="E519" s="2">
        <v>2.000003987E9</v>
      </c>
      <c r="F519" s="2">
        <v>997.0</v>
      </c>
      <c r="G519" s="2">
        <v>1.0</v>
      </c>
      <c r="H519" s="2">
        <v>0.0</v>
      </c>
      <c r="I519" s="2">
        <v>595000.0</v>
      </c>
      <c r="J519" s="2">
        <v>1.0</v>
      </c>
      <c r="K519" s="2">
        <v>7.0</v>
      </c>
      <c r="O519" s="2" t="s">
        <v>165</v>
      </c>
      <c r="P519" s="2" t="s">
        <v>166</v>
      </c>
      <c r="R519" s="2" t="s">
        <v>434</v>
      </c>
      <c r="S519" s="11">
        <v>42191.49916666667</v>
      </c>
    </row>
    <row r="520" ht="12.75" hidden="1" customHeight="1">
      <c r="A520" s="2" t="str">
        <f>IF(VLOOKUP(E520,Sheet4!$A$585:$B$786,2,0)=0,1, )</f>
        <v>1</v>
      </c>
      <c r="B520" s="2" t="str">
        <f t="shared" si="1"/>
        <v>1</v>
      </c>
      <c r="C520" s="2" t="str">
        <f t="shared" si="2"/>
        <v>2000003988-1013</v>
      </c>
      <c r="D520" s="2">
        <v>3.20054336E8</v>
      </c>
      <c r="E520" s="2">
        <v>2.000003988E9</v>
      </c>
      <c r="F520" s="2">
        <v>1013.0</v>
      </c>
      <c r="G520" s="2">
        <v>1.0</v>
      </c>
      <c r="H520" s="2">
        <v>0.0</v>
      </c>
      <c r="I520" s="2">
        <v>230000.0</v>
      </c>
      <c r="J520" s="2">
        <v>1.0</v>
      </c>
      <c r="K520" s="2">
        <v>7.0</v>
      </c>
      <c r="O520" s="2" t="s">
        <v>459</v>
      </c>
      <c r="P520" s="2" t="s">
        <v>166</v>
      </c>
      <c r="R520" s="2" t="s">
        <v>434</v>
      </c>
      <c r="S520" s="11">
        <v>42191.49917824074</v>
      </c>
    </row>
    <row r="521" ht="12.75" hidden="1" customHeight="1">
      <c r="A521" s="2" t="str">
        <f>IF(VLOOKUP(E521,Sheet4!$A$585:$B$786,2,0)=0,1, )</f>
        <v>1</v>
      </c>
      <c r="B521" s="2" t="str">
        <f t="shared" si="1"/>
        <v/>
      </c>
      <c r="C521" s="2" t="str">
        <f t="shared" si="2"/>
        <v>2000003988-1013</v>
      </c>
      <c r="D521" s="2">
        <v>3.20054337E8</v>
      </c>
      <c r="E521" s="2">
        <v>2.000003988E9</v>
      </c>
      <c r="F521" s="2">
        <v>1013.0</v>
      </c>
      <c r="G521" s="2">
        <v>1.0</v>
      </c>
      <c r="H521" s="2">
        <v>0.0</v>
      </c>
      <c r="I521" s="2">
        <v>230000.0</v>
      </c>
      <c r="J521" s="2">
        <v>1.0</v>
      </c>
      <c r="K521" s="2">
        <v>7.0</v>
      </c>
      <c r="O521" s="2" t="s">
        <v>459</v>
      </c>
      <c r="P521" s="2" t="s">
        <v>166</v>
      </c>
      <c r="R521" s="2" t="s">
        <v>434</v>
      </c>
      <c r="S521" s="11">
        <v>42191.49917824074</v>
      </c>
    </row>
    <row r="522" ht="12.75" hidden="1" customHeight="1">
      <c r="A522" s="2" t="str">
        <f>IF(VLOOKUP(E522,Sheet4!$A$585:$B$786,2,0)=0,1, )</f>
        <v>1</v>
      </c>
      <c r="B522" s="2" t="str">
        <f t="shared" si="1"/>
        <v>1</v>
      </c>
      <c r="C522" s="2" t="str">
        <f t="shared" si="2"/>
        <v>2000003988-8528</v>
      </c>
      <c r="D522" s="2">
        <v>3.20054334E8</v>
      </c>
      <c r="E522" s="2">
        <v>2.000003988E9</v>
      </c>
      <c r="F522" s="2">
        <v>8528.0</v>
      </c>
      <c r="G522" s="2">
        <v>3.0</v>
      </c>
      <c r="H522" s="2">
        <v>0.0</v>
      </c>
      <c r="I522" s="2">
        <v>165000.0</v>
      </c>
      <c r="J522" s="2">
        <v>1.0</v>
      </c>
      <c r="K522" s="2">
        <v>7.0</v>
      </c>
      <c r="O522" s="2" t="s">
        <v>531</v>
      </c>
      <c r="P522" s="2" t="s">
        <v>166</v>
      </c>
      <c r="R522" s="2" t="s">
        <v>434</v>
      </c>
      <c r="S522" s="11">
        <v>42191.49917824074</v>
      </c>
    </row>
    <row r="523" ht="12.75" hidden="1" customHeight="1">
      <c r="A523" s="2" t="str">
        <f>IF(VLOOKUP(E523,Sheet4!$A$585:$B$786,2,0)=0,1, )</f>
        <v>1</v>
      </c>
      <c r="B523" s="2" t="str">
        <f t="shared" si="1"/>
        <v/>
      </c>
      <c r="C523" s="2" t="str">
        <f t="shared" si="2"/>
        <v>2000003988-8528</v>
      </c>
      <c r="D523" s="2">
        <v>3.20054335E8</v>
      </c>
      <c r="E523" s="2">
        <v>2.000003988E9</v>
      </c>
      <c r="F523" s="2">
        <v>8528.0</v>
      </c>
      <c r="G523" s="2">
        <v>3.0</v>
      </c>
      <c r="H523" s="2">
        <v>0.0</v>
      </c>
      <c r="I523" s="2">
        <v>165000.0</v>
      </c>
      <c r="J523" s="2">
        <v>1.0</v>
      </c>
      <c r="K523" s="2">
        <v>7.0</v>
      </c>
      <c r="O523" s="2" t="s">
        <v>531</v>
      </c>
      <c r="P523" s="2" t="s">
        <v>166</v>
      </c>
      <c r="R523" s="2" t="s">
        <v>434</v>
      </c>
      <c r="S523" s="11">
        <v>42191.49917824074</v>
      </c>
    </row>
    <row r="524" ht="12.75" hidden="1" customHeight="1">
      <c r="A524" s="2" t="str">
        <f>IF(VLOOKUP(E524,Sheet4!$A$585:$B$786,2,0)=0,1, )</f>
        <v>1</v>
      </c>
      <c r="B524" s="2" t="str">
        <f t="shared" si="1"/>
        <v>1</v>
      </c>
      <c r="C524" s="2" t="str">
        <f t="shared" si="2"/>
        <v>2000003988-14813</v>
      </c>
      <c r="D524" s="2">
        <v>3.20054339E8</v>
      </c>
      <c r="E524" s="2">
        <v>2.000003988E9</v>
      </c>
      <c r="F524" s="2">
        <v>14813.0</v>
      </c>
      <c r="G524" s="2">
        <v>1.0</v>
      </c>
      <c r="H524" s="2">
        <v>0.0</v>
      </c>
      <c r="I524" s="2">
        <v>165000.0</v>
      </c>
      <c r="J524" s="2">
        <v>1.0</v>
      </c>
      <c r="K524" s="2">
        <v>7.0</v>
      </c>
      <c r="O524" s="2" t="s">
        <v>607</v>
      </c>
      <c r="P524" s="2" t="s">
        <v>166</v>
      </c>
      <c r="R524" s="2" t="s">
        <v>434</v>
      </c>
      <c r="S524" s="11">
        <v>42191.499189814815</v>
      </c>
    </row>
    <row r="525" ht="12.75" hidden="1" customHeight="1">
      <c r="A525" s="2" t="str">
        <f>IF(VLOOKUP(E525,Sheet4!$A$585:$B$786,2,0)=0,1, )</f>
        <v>1</v>
      </c>
      <c r="B525" s="2" t="str">
        <f t="shared" si="1"/>
        <v/>
      </c>
      <c r="C525" s="2" t="str">
        <f t="shared" si="2"/>
        <v>2000003988-14813</v>
      </c>
      <c r="D525" s="2">
        <v>3.20054338E8</v>
      </c>
      <c r="E525" s="2">
        <v>2.000003988E9</v>
      </c>
      <c r="F525" s="2">
        <v>14813.0</v>
      </c>
      <c r="G525" s="2">
        <v>1.0</v>
      </c>
      <c r="H525" s="2">
        <v>0.0</v>
      </c>
      <c r="I525" s="2">
        <v>165000.0</v>
      </c>
      <c r="J525" s="2">
        <v>1.0</v>
      </c>
      <c r="K525" s="2">
        <v>7.0</v>
      </c>
      <c r="O525" s="2" t="s">
        <v>607</v>
      </c>
      <c r="P525" s="2" t="s">
        <v>166</v>
      </c>
      <c r="R525" s="2" t="s">
        <v>434</v>
      </c>
      <c r="S525" s="11">
        <v>42191.499189814815</v>
      </c>
    </row>
    <row r="526" ht="12.75" hidden="1" customHeight="1">
      <c r="A526" s="2" t="str">
        <f>IF(VLOOKUP(E526,Sheet4!$A$585:$B$786,2,0)=0,1, )</f>
        <v>1</v>
      </c>
      <c r="B526" s="2" t="str">
        <f t="shared" si="1"/>
        <v>1</v>
      </c>
      <c r="C526" s="2" t="str">
        <f t="shared" si="2"/>
        <v>2000003989-8521</v>
      </c>
      <c r="D526" s="2">
        <v>3.2005434E8</v>
      </c>
      <c r="E526" s="2">
        <v>2.000003989E9</v>
      </c>
      <c r="F526" s="2">
        <v>8521.0</v>
      </c>
      <c r="G526" s="2">
        <v>1.0</v>
      </c>
      <c r="H526" s="2">
        <v>0.0</v>
      </c>
      <c r="I526" s="2">
        <v>475000.0</v>
      </c>
      <c r="J526" s="2">
        <v>1.0</v>
      </c>
      <c r="K526" s="2">
        <v>7.0</v>
      </c>
      <c r="O526" s="2" t="s">
        <v>554</v>
      </c>
      <c r="P526" s="2" t="s">
        <v>166</v>
      </c>
      <c r="R526" s="2" t="s">
        <v>434</v>
      </c>
      <c r="S526" s="11">
        <v>42191.49921296296</v>
      </c>
    </row>
    <row r="527" ht="12.75" hidden="1" customHeight="1">
      <c r="A527" s="2" t="str">
        <f>IF(VLOOKUP(E527,Sheet4!$A$585:$B$786,2,0)=0,1, )</f>
        <v>1</v>
      </c>
      <c r="B527" s="2" t="str">
        <f t="shared" si="1"/>
        <v/>
      </c>
      <c r="C527" s="2" t="str">
        <f t="shared" si="2"/>
        <v>2000003989-8521</v>
      </c>
      <c r="D527" s="2">
        <v>3.20054341E8</v>
      </c>
      <c r="E527" s="2">
        <v>2.000003989E9</v>
      </c>
      <c r="F527" s="2">
        <v>8521.0</v>
      </c>
      <c r="G527" s="2">
        <v>1.0</v>
      </c>
      <c r="H527" s="2">
        <v>0.0</v>
      </c>
      <c r="I527" s="2">
        <v>475000.0</v>
      </c>
      <c r="J527" s="2">
        <v>1.0</v>
      </c>
      <c r="K527" s="2">
        <v>7.0</v>
      </c>
      <c r="O527" s="2" t="s">
        <v>554</v>
      </c>
      <c r="P527" s="2" t="s">
        <v>166</v>
      </c>
      <c r="R527" s="2" t="s">
        <v>434</v>
      </c>
      <c r="S527" s="11">
        <v>42191.49921296296</v>
      </c>
    </row>
    <row r="528" ht="12.75" hidden="1" customHeight="1">
      <c r="A528" s="2" t="str">
        <f>IF(VLOOKUP(E528,Sheet4!$A$585:$B$786,2,0)=0,1, )</f>
        <v>1</v>
      </c>
      <c r="B528" s="2" t="str">
        <f t="shared" si="1"/>
        <v>1</v>
      </c>
      <c r="C528" s="2" t="str">
        <f t="shared" si="2"/>
        <v>2000003990-8508</v>
      </c>
      <c r="D528" s="2">
        <v>3.20054343E8</v>
      </c>
      <c r="E528" s="2">
        <v>2.00000399E9</v>
      </c>
      <c r="F528" s="2">
        <v>8508.0</v>
      </c>
      <c r="G528" s="2">
        <v>1.0</v>
      </c>
      <c r="H528" s="2">
        <v>0.0</v>
      </c>
      <c r="I528" s="2">
        <v>345000.0</v>
      </c>
      <c r="J528" s="2">
        <v>1.0</v>
      </c>
      <c r="K528" s="2">
        <v>7.0</v>
      </c>
      <c r="O528" s="2" t="s">
        <v>504</v>
      </c>
      <c r="P528" s="2" t="s">
        <v>166</v>
      </c>
      <c r="R528" s="2" t="s">
        <v>434</v>
      </c>
      <c r="S528" s="11">
        <v>42191.49921296296</v>
      </c>
    </row>
    <row r="529" ht="12.75" hidden="1" customHeight="1">
      <c r="A529" s="2" t="str">
        <f>IF(VLOOKUP(E529,Sheet4!$A$585:$B$786,2,0)=0,1, )</f>
        <v>1</v>
      </c>
      <c r="B529" s="2" t="str">
        <f t="shared" si="1"/>
        <v/>
      </c>
      <c r="C529" s="2" t="str">
        <f t="shared" si="2"/>
        <v>2000003990-8508</v>
      </c>
      <c r="D529" s="2">
        <v>3.20054342E8</v>
      </c>
      <c r="E529" s="2">
        <v>2.00000399E9</v>
      </c>
      <c r="F529" s="2">
        <v>8508.0</v>
      </c>
      <c r="G529" s="2">
        <v>1.0</v>
      </c>
      <c r="H529" s="2">
        <v>0.0</v>
      </c>
      <c r="I529" s="2">
        <v>345000.0</v>
      </c>
      <c r="J529" s="2">
        <v>1.0</v>
      </c>
      <c r="K529" s="2">
        <v>7.0</v>
      </c>
      <c r="O529" s="2" t="s">
        <v>504</v>
      </c>
      <c r="P529" s="2" t="s">
        <v>166</v>
      </c>
      <c r="R529" s="2" t="s">
        <v>434</v>
      </c>
      <c r="S529" s="11">
        <v>42191.49921296296</v>
      </c>
    </row>
    <row r="530" ht="12.75" hidden="1" customHeight="1">
      <c r="A530" s="2" t="str">
        <f>IF(VLOOKUP(E530,Sheet4!$A$585:$B$786,2,0)=0,1, )</f>
        <v>1</v>
      </c>
      <c r="B530" s="2" t="str">
        <f t="shared" si="1"/>
        <v>1</v>
      </c>
      <c r="C530" s="2" t="str">
        <f t="shared" si="2"/>
        <v>2000003990-8544</v>
      </c>
      <c r="D530" s="2">
        <v>3.20054344E8</v>
      </c>
      <c r="E530" s="2">
        <v>2.00000399E9</v>
      </c>
      <c r="F530" s="2">
        <v>8544.0</v>
      </c>
      <c r="G530" s="2">
        <v>2.0</v>
      </c>
      <c r="H530" s="2">
        <v>0.0</v>
      </c>
      <c r="I530" s="2">
        <v>730000.0</v>
      </c>
      <c r="J530" s="2">
        <v>1.0</v>
      </c>
      <c r="K530" s="2">
        <v>7.0</v>
      </c>
      <c r="O530" s="2" t="s">
        <v>512</v>
      </c>
      <c r="P530" s="2" t="s">
        <v>166</v>
      </c>
      <c r="R530" s="2" t="s">
        <v>434</v>
      </c>
      <c r="S530" s="11">
        <v>42191.49921296296</v>
      </c>
    </row>
    <row r="531" ht="12.75" hidden="1" customHeight="1">
      <c r="A531" s="2" t="str">
        <f>IF(VLOOKUP(E531,Sheet4!$A$585:$B$786,2,0)=0,1, )</f>
        <v>1</v>
      </c>
      <c r="B531" s="2" t="str">
        <f t="shared" si="1"/>
        <v/>
      </c>
      <c r="C531" s="2" t="str">
        <f t="shared" si="2"/>
        <v>2000003990-8544</v>
      </c>
      <c r="D531" s="2">
        <v>3.20054345E8</v>
      </c>
      <c r="E531" s="2">
        <v>2.00000399E9</v>
      </c>
      <c r="F531" s="2">
        <v>8544.0</v>
      </c>
      <c r="G531" s="2">
        <v>2.0</v>
      </c>
      <c r="H531" s="2">
        <v>0.0</v>
      </c>
      <c r="I531" s="2">
        <v>730000.0</v>
      </c>
      <c r="J531" s="2">
        <v>1.0</v>
      </c>
      <c r="K531" s="2">
        <v>7.0</v>
      </c>
      <c r="O531" s="2" t="s">
        <v>512</v>
      </c>
      <c r="P531" s="2" t="s">
        <v>166</v>
      </c>
      <c r="R531" s="2" t="s">
        <v>434</v>
      </c>
      <c r="S531" s="11">
        <v>42191.49921296296</v>
      </c>
    </row>
    <row r="532" ht="12.75" hidden="1" customHeight="1">
      <c r="A532" s="2" t="str">
        <f>IF(VLOOKUP(E532,Sheet4!$A$585:$B$786,2,0)=0,1, )</f>
        <v>1</v>
      </c>
      <c r="B532" s="2" t="str">
        <f t="shared" si="1"/>
        <v>1</v>
      </c>
      <c r="C532" s="2" t="str">
        <f t="shared" si="2"/>
        <v>2000003993-14434</v>
      </c>
      <c r="D532" s="2">
        <v>3.20054346E8</v>
      </c>
      <c r="E532" s="2">
        <v>2.000003993E9</v>
      </c>
      <c r="F532" s="2">
        <v>14434.0</v>
      </c>
      <c r="G532" s="2">
        <v>1.0</v>
      </c>
      <c r="H532" s="2">
        <v>0.0</v>
      </c>
      <c r="I532" s="2">
        <v>430000.0</v>
      </c>
      <c r="J532" s="2">
        <v>1.0</v>
      </c>
      <c r="K532" s="2">
        <v>7.0</v>
      </c>
      <c r="O532" s="2" t="s">
        <v>612</v>
      </c>
      <c r="P532" s="2" t="s">
        <v>166</v>
      </c>
      <c r="R532" s="2" t="s">
        <v>434</v>
      </c>
      <c r="S532" s="11">
        <v>42191.49922453704</v>
      </c>
    </row>
    <row r="533" ht="12.75" hidden="1" customHeight="1">
      <c r="A533" s="2" t="str">
        <f>IF(VLOOKUP(E533,Sheet4!$A$585:$B$786,2,0)=0,1, )</f>
        <v>1</v>
      </c>
      <c r="B533" s="2" t="str">
        <f t="shared" si="1"/>
        <v/>
      </c>
      <c r="C533" s="2" t="str">
        <f t="shared" si="2"/>
        <v>2000003993-14434</v>
      </c>
      <c r="D533" s="2">
        <v>3.20054347E8</v>
      </c>
      <c r="E533" s="2">
        <v>2.000003993E9</v>
      </c>
      <c r="F533" s="2">
        <v>14434.0</v>
      </c>
      <c r="G533" s="2">
        <v>1.0</v>
      </c>
      <c r="H533" s="2">
        <v>0.0</v>
      </c>
      <c r="I533" s="2">
        <v>430000.0</v>
      </c>
      <c r="J533" s="2">
        <v>1.0</v>
      </c>
      <c r="K533" s="2">
        <v>7.0</v>
      </c>
      <c r="O533" s="2" t="s">
        <v>612</v>
      </c>
      <c r="P533" s="2" t="s">
        <v>166</v>
      </c>
      <c r="R533" s="2" t="s">
        <v>434</v>
      </c>
      <c r="S533" s="11">
        <v>42191.49922453704</v>
      </c>
    </row>
    <row r="534" ht="12.75" hidden="1" customHeight="1">
      <c r="A534" s="2" t="str">
        <f>IF(VLOOKUP(E534,Sheet4!$A$585:$B$786,2,0)=0,1, )</f>
        <v>1</v>
      </c>
      <c r="B534" s="2" t="str">
        <f t="shared" si="1"/>
        <v>1</v>
      </c>
      <c r="C534" s="2" t="str">
        <f t="shared" si="2"/>
        <v>2000003995-6402</v>
      </c>
      <c r="D534" s="2">
        <v>3.20054349E8</v>
      </c>
      <c r="E534" s="2">
        <v>2.000003995E9</v>
      </c>
      <c r="F534" s="2">
        <v>6402.0</v>
      </c>
      <c r="G534" s="2">
        <v>2.0</v>
      </c>
      <c r="H534" s="2">
        <v>0.0</v>
      </c>
      <c r="I534" s="2">
        <v>158000.0</v>
      </c>
      <c r="J534" s="2">
        <v>1.0</v>
      </c>
      <c r="K534" s="2">
        <v>7.0</v>
      </c>
      <c r="O534" s="2" t="s">
        <v>453</v>
      </c>
      <c r="P534" s="2" t="s">
        <v>166</v>
      </c>
      <c r="R534" s="2" t="s">
        <v>434</v>
      </c>
      <c r="S534" s="11">
        <v>42191.499236111114</v>
      </c>
    </row>
    <row r="535" ht="12.75" hidden="1" customHeight="1">
      <c r="A535" s="2" t="str">
        <f>IF(VLOOKUP(E535,Sheet4!$A$585:$B$786,2,0)=0,1, )</f>
        <v>1</v>
      </c>
      <c r="B535" s="2" t="str">
        <f t="shared" si="1"/>
        <v/>
      </c>
      <c r="C535" s="2" t="str">
        <f t="shared" si="2"/>
        <v>2000003995-6402</v>
      </c>
      <c r="D535" s="2">
        <v>3.20054348E8</v>
      </c>
      <c r="E535" s="2">
        <v>2.000003995E9</v>
      </c>
      <c r="F535" s="2">
        <v>6402.0</v>
      </c>
      <c r="G535" s="2">
        <v>2.0</v>
      </c>
      <c r="H535" s="2">
        <v>0.0</v>
      </c>
      <c r="I535" s="2">
        <v>158000.0</v>
      </c>
      <c r="J535" s="2">
        <v>1.0</v>
      </c>
      <c r="K535" s="2">
        <v>7.0</v>
      </c>
      <c r="O535" s="2" t="s">
        <v>453</v>
      </c>
      <c r="P535" s="2" t="s">
        <v>166</v>
      </c>
      <c r="R535" s="2" t="s">
        <v>434</v>
      </c>
      <c r="S535" s="11">
        <v>42191.499236111114</v>
      </c>
    </row>
    <row r="536" ht="12.75" hidden="1" customHeight="1">
      <c r="A536" s="2" t="str">
        <f>IF(VLOOKUP(E536,Sheet4!$A$585:$B$786,2,0)=0,1, )</f>
        <v>1</v>
      </c>
      <c r="B536" s="2" t="str">
        <f t="shared" si="1"/>
        <v>1</v>
      </c>
      <c r="C536" s="2" t="str">
        <f t="shared" si="2"/>
        <v>2000003995-12524</v>
      </c>
      <c r="D536" s="2">
        <v>3.2005435E8</v>
      </c>
      <c r="E536" s="2">
        <v>2.000003995E9</v>
      </c>
      <c r="F536" s="2">
        <v>12524.0</v>
      </c>
      <c r="G536" s="2">
        <v>-2.0</v>
      </c>
      <c r="H536" s="2">
        <v>0.0</v>
      </c>
      <c r="I536" s="2">
        <v>-182000.0</v>
      </c>
      <c r="J536" s="2">
        <v>1.0</v>
      </c>
      <c r="K536" s="2">
        <v>7.0</v>
      </c>
      <c r="O536" s="2" t="s">
        <v>345</v>
      </c>
      <c r="P536" s="2" t="s">
        <v>166</v>
      </c>
      <c r="R536" s="2" t="s">
        <v>434</v>
      </c>
      <c r="S536" s="11">
        <v>42191.499236111114</v>
      </c>
    </row>
    <row r="537" ht="12.75" hidden="1" customHeight="1">
      <c r="A537" s="2" t="str">
        <f>IF(VLOOKUP(E537,Sheet4!$A$585:$B$786,2,0)=0,1, )</f>
        <v>1</v>
      </c>
      <c r="B537" s="2" t="str">
        <f t="shared" si="1"/>
        <v/>
      </c>
      <c r="C537" s="2" t="str">
        <f t="shared" si="2"/>
        <v>2000003995-12524</v>
      </c>
      <c r="D537" s="2">
        <v>3.20054351E8</v>
      </c>
      <c r="E537" s="2">
        <v>2.000003995E9</v>
      </c>
      <c r="F537" s="2">
        <v>12524.0</v>
      </c>
      <c r="G537" s="2">
        <v>-2.0</v>
      </c>
      <c r="H537" s="2">
        <v>0.0</v>
      </c>
      <c r="I537" s="2">
        <v>-182000.0</v>
      </c>
      <c r="J537" s="2">
        <v>1.0</v>
      </c>
      <c r="K537" s="2">
        <v>7.0</v>
      </c>
      <c r="O537" s="2" t="s">
        <v>345</v>
      </c>
      <c r="P537" s="2" t="s">
        <v>166</v>
      </c>
      <c r="R537" s="2" t="s">
        <v>434</v>
      </c>
      <c r="S537" s="11">
        <v>42191.499236111114</v>
      </c>
    </row>
    <row r="538" ht="12.75" hidden="1" customHeight="1">
      <c r="A538" s="2" t="str">
        <f>IF(VLOOKUP(E538,Sheet4!$A$585:$B$786,2,0)=0,1, )</f>
        <v>1</v>
      </c>
      <c r="B538" s="2" t="str">
        <f t="shared" si="1"/>
        <v>1</v>
      </c>
      <c r="C538" s="2" t="str">
        <f t="shared" si="2"/>
        <v>2000003997-5319</v>
      </c>
      <c r="D538" s="2">
        <v>3.20054353E8</v>
      </c>
      <c r="E538" s="2">
        <v>2.000003997E9</v>
      </c>
      <c r="F538" s="2">
        <v>5319.0</v>
      </c>
      <c r="G538" s="2">
        <v>1.0</v>
      </c>
      <c r="H538" s="2">
        <v>0.0</v>
      </c>
      <c r="I538" s="2">
        <v>335000.0</v>
      </c>
      <c r="J538" s="2">
        <v>1.0</v>
      </c>
      <c r="K538" s="2">
        <v>7.0</v>
      </c>
      <c r="O538" s="2" t="s">
        <v>616</v>
      </c>
      <c r="P538" s="2" t="s">
        <v>166</v>
      </c>
      <c r="R538" s="2" t="s">
        <v>434</v>
      </c>
      <c r="S538" s="11">
        <v>42191.499247685184</v>
      </c>
    </row>
    <row r="539" ht="12.75" hidden="1" customHeight="1">
      <c r="A539" s="2" t="str">
        <f>IF(VLOOKUP(E539,Sheet4!$A$585:$B$786,2,0)=0,1, )</f>
        <v>1</v>
      </c>
      <c r="B539" s="2" t="str">
        <f t="shared" si="1"/>
        <v/>
      </c>
      <c r="C539" s="2" t="str">
        <f t="shared" si="2"/>
        <v>2000003997-5319</v>
      </c>
      <c r="D539" s="2">
        <v>3.20054352E8</v>
      </c>
      <c r="E539" s="2">
        <v>2.000003997E9</v>
      </c>
      <c r="F539" s="2">
        <v>5319.0</v>
      </c>
      <c r="G539" s="2">
        <v>1.0</v>
      </c>
      <c r="H539" s="2">
        <v>0.0</v>
      </c>
      <c r="I539" s="2">
        <v>335000.0</v>
      </c>
      <c r="J539" s="2">
        <v>1.0</v>
      </c>
      <c r="K539" s="2">
        <v>7.0</v>
      </c>
      <c r="O539" s="2" t="s">
        <v>616</v>
      </c>
      <c r="P539" s="2" t="s">
        <v>166</v>
      </c>
      <c r="R539" s="2" t="s">
        <v>434</v>
      </c>
      <c r="S539" s="11">
        <v>42191.499247685184</v>
      </c>
    </row>
    <row r="540" ht="12.75" hidden="1" customHeight="1">
      <c r="A540" s="2" t="str">
        <f>IF(VLOOKUP(E540,Sheet4!$A$585:$B$786,2,0)=0,1, )</f>
        <v>1</v>
      </c>
      <c r="B540" s="2" t="str">
        <f t="shared" si="1"/>
        <v>1</v>
      </c>
      <c r="C540" s="2" t="str">
        <f t="shared" si="2"/>
        <v>2000003998-13232</v>
      </c>
      <c r="D540" s="2">
        <v>3.20054354E8</v>
      </c>
      <c r="E540" s="2">
        <v>2.000003998E9</v>
      </c>
      <c r="F540" s="2">
        <v>13232.0</v>
      </c>
      <c r="G540" s="2">
        <v>1.0</v>
      </c>
      <c r="H540" s="2">
        <v>0.0</v>
      </c>
      <c r="I540" s="2">
        <v>390000.0</v>
      </c>
      <c r="J540" s="2">
        <v>1.0</v>
      </c>
      <c r="K540" s="2">
        <v>7.0</v>
      </c>
      <c r="O540" s="2" t="s">
        <v>618</v>
      </c>
      <c r="P540" s="2" t="s">
        <v>166</v>
      </c>
      <c r="R540" s="2" t="s">
        <v>434</v>
      </c>
      <c r="S540" s="11">
        <v>42191.499247685184</v>
      </c>
    </row>
    <row r="541" ht="12.75" hidden="1" customHeight="1">
      <c r="A541" s="2" t="str">
        <f>IF(VLOOKUP(E541,Sheet4!$A$585:$B$786,2,0)=0,1, )</f>
        <v>1</v>
      </c>
      <c r="B541" s="2" t="str">
        <f t="shared" si="1"/>
        <v/>
      </c>
      <c r="C541" s="2" t="str">
        <f t="shared" si="2"/>
        <v>2000003998-13232</v>
      </c>
      <c r="D541" s="2">
        <v>3.20054355E8</v>
      </c>
      <c r="E541" s="2">
        <v>2.000003998E9</v>
      </c>
      <c r="F541" s="2">
        <v>13232.0</v>
      </c>
      <c r="G541" s="2">
        <v>1.0</v>
      </c>
      <c r="H541" s="2">
        <v>0.0</v>
      </c>
      <c r="I541" s="2">
        <v>390000.0</v>
      </c>
      <c r="J541" s="2">
        <v>1.0</v>
      </c>
      <c r="K541" s="2">
        <v>7.0</v>
      </c>
      <c r="O541" s="2" t="s">
        <v>618</v>
      </c>
      <c r="P541" s="2" t="s">
        <v>166</v>
      </c>
      <c r="R541" s="2" t="s">
        <v>434</v>
      </c>
      <c r="S541" s="11">
        <v>42191.499247685184</v>
      </c>
    </row>
    <row r="542" ht="12.75" hidden="1" customHeight="1">
      <c r="A542" s="2" t="str">
        <f>IF(VLOOKUP(E542,Sheet4!$A$585:$B$786,2,0)=0,1, )</f>
        <v>1</v>
      </c>
      <c r="B542" s="2" t="str">
        <f t="shared" si="1"/>
        <v>1</v>
      </c>
      <c r="C542" s="2" t="str">
        <f t="shared" si="2"/>
        <v>2000003999-6583</v>
      </c>
      <c r="D542" s="2">
        <v>3.20054356E8</v>
      </c>
      <c r="E542" s="2">
        <v>2.000003999E9</v>
      </c>
      <c r="F542" s="2">
        <v>6583.0</v>
      </c>
      <c r="G542" s="2">
        <v>1.0</v>
      </c>
      <c r="H542" s="2">
        <v>0.0</v>
      </c>
      <c r="I542" s="2">
        <v>250000.0</v>
      </c>
      <c r="J542" s="2">
        <v>1.0</v>
      </c>
      <c r="K542" s="2">
        <v>7.0</v>
      </c>
      <c r="O542" s="2" t="s">
        <v>620</v>
      </c>
      <c r="P542" s="2" t="s">
        <v>166</v>
      </c>
      <c r="R542" s="2" t="s">
        <v>434</v>
      </c>
      <c r="S542" s="11">
        <v>42191.49925925926</v>
      </c>
    </row>
    <row r="543" ht="12.75" hidden="1" customHeight="1">
      <c r="A543" s="2" t="str">
        <f>IF(VLOOKUP(E543,Sheet4!$A$585:$B$786,2,0)=0,1, )</f>
        <v>1</v>
      </c>
      <c r="B543" s="2" t="str">
        <f t="shared" si="1"/>
        <v/>
      </c>
      <c r="C543" s="2" t="str">
        <f t="shared" si="2"/>
        <v>2000003999-6583</v>
      </c>
      <c r="D543" s="2">
        <v>3.20054357E8</v>
      </c>
      <c r="E543" s="2">
        <v>2.000003999E9</v>
      </c>
      <c r="F543" s="2">
        <v>6583.0</v>
      </c>
      <c r="G543" s="2">
        <v>1.0</v>
      </c>
      <c r="H543" s="2">
        <v>0.0</v>
      </c>
      <c r="I543" s="2">
        <v>250000.0</v>
      </c>
      <c r="J543" s="2">
        <v>1.0</v>
      </c>
      <c r="K543" s="2">
        <v>7.0</v>
      </c>
      <c r="O543" s="2" t="s">
        <v>620</v>
      </c>
      <c r="P543" s="2" t="s">
        <v>166</v>
      </c>
      <c r="R543" s="2" t="s">
        <v>434</v>
      </c>
      <c r="S543" s="11">
        <v>42191.49925925926</v>
      </c>
    </row>
    <row r="544" ht="12.75" hidden="1" customHeight="1">
      <c r="A544" s="2" t="str">
        <f>IF(VLOOKUP(E544,Sheet4!$A$585:$B$786,2,0)=0,1, )</f>
        <v>1</v>
      </c>
      <c r="B544" s="2" t="str">
        <f t="shared" si="1"/>
        <v>1</v>
      </c>
      <c r="C544" s="2" t="str">
        <f t="shared" si="2"/>
        <v>2000004000-5327</v>
      </c>
      <c r="D544" s="2">
        <v>3.20054358E8</v>
      </c>
      <c r="E544" s="2">
        <v>2.000004E9</v>
      </c>
      <c r="F544" s="2">
        <v>5327.0</v>
      </c>
      <c r="G544" s="2">
        <v>1.0</v>
      </c>
      <c r="H544" s="2">
        <v>0.0</v>
      </c>
      <c r="I544" s="2">
        <v>395000.0</v>
      </c>
      <c r="J544" s="2">
        <v>1.0</v>
      </c>
      <c r="K544" s="2">
        <v>7.0</v>
      </c>
      <c r="O544" s="2" t="s">
        <v>622</v>
      </c>
      <c r="P544" s="2" t="s">
        <v>166</v>
      </c>
      <c r="R544" s="2" t="s">
        <v>434</v>
      </c>
      <c r="S544" s="11">
        <v>42191.49927083333</v>
      </c>
    </row>
    <row r="545" ht="12.75" hidden="1" customHeight="1">
      <c r="A545" s="2" t="str">
        <f>IF(VLOOKUP(E545,Sheet4!$A$585:$B$786,2,0)=0,1, )</f>
        <v>1</v>
      </c>
      <c r="B545" s="2" t="str">
        <f t="shared" si="1"/>
        <v/>
      </c>
      <c r="C545" s="2" t="str">
        <f t="shared" si="2"/>
        <v>2000004000-5327</v>
      </c>
      <c r="D545" s="2">
        <v>3.20054359E8</v>
      </c>
      <c r="E545" s="2">
        <v>2.000004E9</v>
      </c>
      <c r="F545" s="2">
        <v>5327.0</v>
      </c>
      <c r="G545" s="2">
        <v>1.0</v>
      </c>
      <c r="H545" s="2">
        <v>0.0</v>
      </c>
      <c r="I545" s="2">
        <v>395000.0</v>
      </c>
      <c r="J545" s="2">
        <v>1.0</v>
      </c>
      <c r="K545" s="2">
        <v>7.0</v>
      </c>
      <c r="O545" s="2" t="s">
        <v>622</v>
      </c>
      <c r="P545" s="2" t="s">
        <v>166</v>
      </c>
      <c r="R545" s="2" t="s">
        <v>434</v>
      </c>
      <c r="S545" s="11">
        <v>42191.49927083333</v>
      </c>
    </row>
    <row r="546" ht="12.75" hidden="1" customHeight="1">
      <c r="A546" s="2" t="str">
        <f>IF(VLOOKUP(E546,Sheet4!$A$585:$B$786,2,0)=0,1, )</f>
        <v>1</v>
      </c>
      <c r="B546" s="2" t="str">
        <f t="shared" si="1"/>
        <v>1</v>
      </c>
      <c r="C546" s="2" t="str">
        <f t="shared" si="2"/>
        <v>2000004001-936</v>
      </c>
      <c r="D546" s="2">
        <v>3.20054361E8</v>
      </c>
      <c r="E546" s="2">
        <v>2.000004001E9</v>
      </c>
      <c r="F546" s="2">
        <v>936.0</v>
      </c>
      <c r="G546" s="2">
        <v>1.0</v>
      </c>
      <c r="H546" s="2">
        <v>0.0</v>
      </c>
      <c r="I546" s="2">
        <v>535000.0</v>
      </c>
      <c r="J546" s="2">
        <v>1.0</v>
      </c>
      <c r="K546" s="2">
        <v>7.0</v>
      </c>
      <c r="O546" s="2" t="s">
        <v>624</v>
      </c>
      <c r="P546" s="2" t="s">
        <v>166</v>
      </c>
      <c r="R546" s="2" t="s">
        <v>434</v>
      </c>
      <c r="S546" s="11">
        <v>42191.49928240741</v>
      </c>
    </row>
    <row r="547" ht="12.75" hidden="1" customHeight="1">
      <c r="A547" s="2" t="str">
        <f>IF(VLOOKUP(E547,Sheet4!$A$585:$B$786,2,0)=0,1, )</f>
        <v>1</v>
      </c>
      <c r="B547" s="2" t="str">
        <f t="shared" si="1"/>
        <v/>
      </c>
      <c r="C547" s="2" t="str">
        <f t="shared" si="2"/>
        <v>2000004001-936</v>
      </c>
      <c r="D547" s="2">
        <v>3.2005436E8</v>
      </c>
      <c r="E547" s="2">
        <v>2.000004001E9</v>
      </c>
      <c r="F547" s="2">
        <v>936.0</v>
      </c>
      <c r="G547" s="2">
        <v>1.0</v>
      </c>
      <c r="H547" s="2">
        <v>0.0</v>
      </c>
      <c r="I547" s="2">
        <v>535000.0</v>
      </c>
      <c r="J547" s="2">
        <v>1.0</v>
      </c>
      <c r="K547" s="2">
        <v>7.0</v>
      </c>
      <c r="O547" s="2" t="s">
        <v>624</v>
      </c>
      <c r="P547" s="2" t="s">
        <v>166</v>
      </c>
      <c r="R547" s="2" t="s">
        <v>434</v>
      </c>
      <c r="S547" s="11">
        <v>42191.49928240741</v>
      </c>
    </row>
    <row r="548" ht="12.75" hidden="1" customHeight="1">
      <c r="A548" s="2" t="str">
        <f>IF(VLOOKUP(E548,Sheet4!$A$585:$B$786,2,0)=0,1, )</f>
        <v>1</v>
      </c>
      <c r="B548" s="2" t="str">
        <f t="shared" si="1"/>
        <v>1</v>
      </c>
      <c r="C548" s="2" t="str">
        <f t="shared" si="2"/>
        <v>2000004001-14645</v>
      </c>
      <c r="D548" s="2">
        <v>3.20054362E8</v>
      </c>
      <c r="E548" s="2">
        <v>2.000004001E9</v>
      </c>
      <c r="F548" s="2">
        <v>14645.0</v>
      </c>
      <c r="G548" s="2">
        <v>1.0</v>
      </c>
      <c r="H548" s="2">
        <v>0.0</v>
      </c>
      <c r="I548" s="2">
        <v>275000.0</v>
      </c>
      <c r="J548" s="2">
        <v>1.0</v>
      </c>
      <c r="K548" s="2">
        <v>7.0</v>
      </c>
      <c r="O548" s="2" t="s">
        <v>626</v>
      </c>
      <c r="P548" s="2" t="s">
        <v>166</v>
      </c>
      <c r="R548" s="2" t="s">
        <v>434</v>
      </c>
      <c r="S548" s="11">
        <v>42191.49928240741</v>
      </c>
    </row>
    <row r="549" ht="12.75" hidden="1" customHeight="1">
      <c r="A549" s="2" t="str">
        <f>IF(VLOOKUP(E549,Sheet4!$A$585:$B$786,2,0)=0,1, )</f>
        <v>1</v>
      </c>
      <c r="B549" s="2" t="str">
        <f t="shared" si="1"/>
        <v/>
      </c>
      <c r="C549" s="2" t="str">
        <f t="shared" si="2"/>
        <v>2000004001-14645</v>
      </c>
      <c r="D549" s="2">
        <v>3.20054363E8</v>
      </c>
      <c r="E549" s="2">
        <v>2.000004001E9</v>
      </c>
      <c r="F549" s="2">
        <v>14645.0</v>
      </c>
      <c r="G549" s="2">
        <v>1.0</v>
      </c>
      <c r="H549" s="2">
        <v>0.0</v>
      </c>
      <c r="I549" s="2">
        <v>275000.0</v>
      </c>
      <c r="J549" s="2">
        <v>1.0</v>
      </c>
      <c r="K549" s="2">
        <v>7.0</v>
      </c>
      <c r="O549" s="2" t="s">
        <v>626</v>
      </c>
      <c r="P549" s="2" t="s">
        <v>166</v>
      </c>
      <c r="R549" s="2" t="s">
        <v>434</v>
      </c>
      <c r="S549" s="11">
        <v>42191.49928240741</v>
      </c>
    </row>
    <row r="550" ht="12.75" hidden="1" customHeight="1">
      <c r="A550" s="2" t="str">
        <f>IF(VLOOKUP(E550,Sheet4!$A$585:$B$786,2,0)=0,1, )</f>
        <v>1</v>
      </c>
      <c r="B550" s="2" t="str">
        <f t="shared" si="1"/>
        <v>1</v>
      </c>
      <c r="C550" s="2" t="str">
        <f t="shared" si="2"/>
        <v>2000004002-5286</v>
      </c>
      <c r="D550" s="2">
        <v>3.20054364E8</v>
      </c>
      <c r="E550" s="2">
        <v>2.000004002E9</v>
      </c>
      <c r="F550" s="2">
        <v>5286.0</v>
      </c>
      <c r="G550" s="2">
        <v>1.0</v>
      </c>
      <c r="H550" s="2">
        <v>0.0</v>
      </c>
      <c r="I550" s="2">
        <v>365000.0</v>
      </c>
      <c r="J550" s="2">
        <v>1.0</v>
      </c>
      <c r="K550" s="2">
        <v>7.0</v>
      </c>
      <c r="O550" s="2" t="s">
        <v>628</v>
      </c>
      <c r="P550" s="2" t="s">
        <v>166</v>
      </c>
      <c r="R550" s="2" t="s">
        <v>434</v>
      </c>
      <c r="S550" s="11">
        <v>42191.499293981484</v>
      </c>
    </row>
    <row r="551" ht="12.75" hidden="1" customHeight="1">
      <c r="A551" s="2" t="str">
        <f>IF(VLOOKUP(E551,Sheet4!$A$585:$B$786,2,0)=0,1, )</f>
        <v>1</v>
      </c>
      <c r="B551" s="2" t="str">
        <f t="shared" si="1"/>
        <v/>
      </c>
      <c r="C551" s="2" t="str">
        <f t="shared" si="2"/>
        <v>2000004002-5286</v>
      </c>
      <c r="D551" s="2">
        <v>3.20054365E8</v>
      </c>
      <c r="E551" s="2">
        <v>2.000004002E9</v>
      </c>
      <c r="F551" s="2">
        <v>5286.0</v>
      </c>
      <c r="G551" s="2">
        <v>1.0</v>
      </c>
      <c r="H551" s="2">
        <v>0.0</v>
      </c>
      <c r="I551" s="2">
        <v>365000.0</v>
      </c>
      <c r="J551" s="2">
        <v>1.0</v>
      </c>
      <c r="K551" s="2">
        <v>7.0</v>
      </c>
      <c r="O551" s="2" t="s">
        <v>628</v>
      </c>
      <c r="P551" s="2" t="s">
        <v>166</v>
      </c>
      <c r="R551" s="2" t="s">
        <v>434</v>
      </c>
      <c r="S551" s="11">
        <v>42191.499293981484</v>
      </c>
    </row>
    <row r="552" ht="12.75" hidden="1" customHeight="1">
      <c r="A552" s="2" t="str">
        <f>IF(VLOOKUP(E552,Sheet4!$A$585:$B$786,2,0)=0,1, )</f>
        <v>1</v>
      </c>
      <c r="B552" s="2" t="str">
        <f t="shared" si="1"/>
        <v>1</v>
      </c>
      <c r="C552" s="2" t="str">
        <f t="shared" si="2"/>
        <v>2000004002-14060</v>
      </c>
      <c r="D552" s="2">
        <v>3.20054366E8</v>
      </c>
      <c r="E552" s="2">
        <v>2.000004002E9</v>
      </c>
      <c r="F552" s="2">
        <v>14060.0</v>
      </c>
      <c r="G552" s="2">
        <v>1.0</v>
      </c>
      <c r="H552" s="2">
        <v>0.0</v>
      </c>
      <c r="I552" s="2">
        <v>445000.0</v>
      </c>
      <c r="J552" s="2">
        <v>1.0</v>
      </c>
      <c r="K552" s="2">
        <v>7.0</v>
      </c>
      <c r="O552" s="2" t="s">
        <v>424</v>
      </c>
      <c r="P552" s="2" t="s">
        <v>166</v>
      </c>
      <c r="R552" s="2" t="s">
        <v>434</v>
      </c>
      <c r="S552" s="11">
        <v>42191.499293981484</v>
      </c>
    </row>
    <row r="553" ht="12.75" hidden="1" customHeight="1">
      <c r="A553" s="2" t="str">
        <f>IF(VLOOKUP(E553,Sheet4!$A$585:$B$786,2,0)=0,1, )</f>
        <v>1</v>
      </c>
      <c r="B553" s="2" t="str">
        <f t="shared" si="1"/>
        <v/>
      </c>
      <c r="C553" s="2" t="str">
        <f t="shared" si="2"/>
        <v>2000004002-14060</v>
      </c>
      <c r="D553" s="2">
        <v>3.20054367E8</v>
      </c>
      <c r="E553" s="2">
        <v>2.000004002E9</v>
      </c>
      <c r="F553" s="2">
        <v>14060.0</v>
      </c>
      <c r="G553" s="2">
        <v>1.0</v>
      </c>
      <c r="H553" s="2">
        <v>0.0</v>
      </c>
      <c r="I553" s="2">
        <v>445000.0</v>
      </c>
      <c r="J553" s="2">
        <v>1.0</v>
      </c>
      <c r="K553" s="2">
        <v>7.0</v>
      </c>
      <c r="O553" s="2" t="s">
        <v>424</v>
      </c>
      <c r="P553" s="2" t="s">
        <v>166</v>
      </c>
      <c r="R553" s="2" t="s">
        <v>434</v>
      </c>
      <c r="S553" s="11">
        <v>42191.499293981484</v>
      </c>
    </row>
    <row r="554" ht="12.75" hidden="1" customHeight="1">
      <c r="A554" s="2" t="str">
        <f>IF(VLOOKUP(E554,Sheet4!$A$585:$B$786,2,0)=0,1, )</f>
        <v>1</v>
      </c>
      <c r="B554" s="2" t="str">
        <f t="shared" si="1"/>
        <v>1</v>
      </c>
      <c r="C554" s="2" t="str">
        <f t="shared" si="2"/>
        <v>2000004003-8629</v>
      </c>
      <c r="D554" s="2">
        <v>3.20054373E8</v>
      </c>
      <c r="E554" s="2">
        <v>2.000004003E9</v>
      </c>
      <c r="F554" s="2">
        <v>8629.0</v>
      </c>
      <c r="G554" s="2">
        <v>1.0</v>
      </c>
      <c r="H554" s="2">
        <v>0.0</v>
      </c>
      <c r="I554" s="2">
        <v>655000.0</v>
      </c>
      <c r="J554" s="2">
        <v>1.0</v>
      </c>
      <c r="K554" s="2">
        <v>7.0</v>
      </c>
      <c r="O554" s="2" t="s">
        <v>631</v>
      </c>
      <c r="P554" s="2" t="s">
        <v>166</v>
      </c>
      <c r="R554" s="2" t="s">
        <v>434</v>
      </c>
      <c r="S554" s="11">
        <v>42191.49931712963</v>
      </c>
    </row>
    <row r="555" ht="12.75" hidden="1" customHeight="1">
      <c r="A555" s="2" t="str">
        <f>IF(VLOOKUP(E555,Sheet4!$A$585:$B$786,2,0)=0,1, )</f>
        <v>1</v>
      </c>
      <c r="B555" s="2" t="str">
        <f t="shared" si="1"/>
        <v/>
      </c>
      <c r="C555" s="2" t="str">
        <f t="shared" si="2"/>
        <v>2000004003-8629</v>
      </c>
      <c r="D555" s="2">
        <v>3.20054372E8</v>
      </c>
      <c r="E555" s="2">
        <v>2.000004003E9</v>
      </c>
      <c r="F555" s="2">
        <v>8629.0</v>
      </c>
      <c r="G555" s="2">
        <v>1.0</v>
      </c>
      <c r="H555" s="2">
        <v>0.0</v>
      </c>
      <c r="I555" s="2">
        <v>655000.0</v>
      </c>
      <c r="J555" s="2">
        <v>1.0</v>
      </c>
      <c r="K555" s="2">
        <v>7.0</v>
      </c>
      <c r="O555" s="2" t="s">
        <v>631</v>
      </c>
      <c r="P555" s="2" t="s">
        <v>166</v>
      </c>
      <c r="R555" s="2" t="s">
        <v>434</v>
      </c>
      <c r="S555" s="11">
        <v>42191.49931712963</v>
      </c>
    </row>
    <row r="556" ht="12.75" hidden="1" customHeight="1">
      <c r="A556" s="2" t="str">
        <f>IF(VLOOKUP(E556,Sheet4!$A$585:$B$786,2,0)=0,1, )</f>
        <v>1</v>
      </c>
      <c r="B556" s="2" t="str">
        <f t="shared" si="1"/>
        <v>1</v>
      </c>
      <c r="C556" s="2" t="str">
        <f t="shared" si="2"/>
        <v>2000004003-14047</v>
      </c>
      <c r="D556" s="2">
        <v>3.20054369E8</v>
      </c>
      <c r="E556" s="2">
        <v>2.000004003E9</v>
      </c>
      <c r="F556" s="2">
        <v>14047.0</v>
      </c>
      <c r="G556" s="2">
        <v>1.0</v>
      </c>
      <c r="H556" s="2">
        <v>0.0</v>
      </c>
      <c r="I556" s="2">
        <v>470000.0</v>
      </c>
      <c r="J556" s="2">
        <v>1.0</v>
      </c>
      <c r="K556" s="2">
        <v>7.0</v>
      </c>
      <c r="O556" s="2" t="s">
        <v>438</v>
      </c>
      <c r="P556" s="2" t="s">
        <v>166</v>
      </c>
      <c r="R556" s="2" t="s">
        <v>434</v>
      </c>
      <c r="S556" s="11">
        <v>42191.49931712963</v>
      </c>
    </row>
    <row r="557" ht="12.75" hidden="1" customHeight="1">
      <c r="A557" s="2" t="str">
        <f>IF(VLOOKUP(E557,Sheet4!$A$585:$B$786,2,0)=0,1, )</f>
        <v>1</v>
      </c>
      <c r="B557" s="2" t="str">
        <f t="shared" si="1"/>
        <v/>
      </c>
      <c r="C557" s="2" t="str">
        <f t="shared" si="2"/>
        <v>2000004003-14047</v>
      </c>
      <c r="D557" s="2">
        <v>3.20054368E8</v>
      </c>
      <c r="E557" s="2">
        <v>2.000004003E9</v>
      </c>
      <c r="F557" s="2">
        <v>14047.0</v>
      </c>
      <c r="G557" s="2">
        <v>1.0</v>
      </c>
      <c r="H557" s="2">
        <v>0.0</v>
      </c>
      <c r="I557" s="2">
        <v>470000.0</v>
      </c>
      <c r="J557" s="2">
        <v>1.0</v>
      </c>
      <c r="K557" s="2">
        <v>7.0</v>
      </c>
      <c r="O557" s="2" t="s">
        <v>438</v>
      </c>
      <c r="P557" s="2" t="s">
        <v>166</v>
      </c>
      <c r="R557" s="2" t="s">
        <v>434</v>
      </c>
      <c r="S557" s="11">
        <v>42191.49930555555</v>
      </c>
    </row>
    <row r="558" ht="12.75" hidden="1" customHeight="1">
      <c r="A558" s="2" t="str">
        <f>IF(VLOOKUP(E558,Sheet4!$A$585:$B$786,2,0)=0,1, )</f>
        <v>1</v>
      </c>
      <c r="B558" s="2" t="str">
        <f t="shared" si="1"/>
        <v>1</v>
      </c>
      <c r="C558" s="2" t="str">
        <f t="shared" si="2"/>
        <v>2000004003-14000035</v>
      </c>
      <c r="D558" s="2">
        <v>3.2005437E8</v>
      </c>
      <c r="E558" s="2">
        <v>2.000004003E9</v>
      </c>
      <c r="F558" s="2">
        <v>1.4000035E7</v>
      </c>
      <c r="G558" s="2">
        <v>1.0</v>
      </c>
      <c r="H558" s="2">
        <v>0.0</v>
      </c>
      <c r="I558" s="2">
        <v>538000.0</v>
      </c>
      <c r="J558" s="2">
        <v>1.0</v>
      </c>
      <c r="K558" s="2">
        <v>7.0</v>
      </c>
      <c r="O558" s="2" t="s">
        <v>634</v>
      </c>
      <c r="P558" s="2" t="s">
        <v>166</v>
      </c>
      <c r="R558" s="2" t="s">
        <v>434</v>
      </c>
      <c r="S558" s="11">
        <v>42191.49931712963</v>
      </c>
    </row>
    <row r="559" ht="12.75" hidden="1" customHeight="1">
      <c r="A559" s="2" t="str">
        <f>IF(VLOOKUP(E559,Sheet4!$A$585:$B$786,2,0)=0,1, )</f>
        <v>1</v>
      </c>
      <c r="B559" s="2" t="str">
        <f t="shared" si="1"/>
        <v/>
      </c>
      <c r="C559" s="2" t="str">
        <f t="shared" si="2"/>
        <v>2000004003-14000035</v>
      </c>
      <c r="D559" s="2">
        <v>3.20054371E8</v>
      </c>
      <c r="E559" s="2">
        <v>2.000004003E9</v>
      </c>
      <c r="F559" s="2">
        <v>1.4000035E7</v>
      </c>
      <c r="G559" s="2">
        <v>1.0</v>
      </c>
      <c r="H559" s="2">
        <v>0.0</v>
      </c>
      <c r="I559" s="2">
        <v>538000.0</v>
      </c>
      <c r="J559" s="2">
        <v>1.0</v>
      </c>
      <c r="K559" s="2">
        <v>7.0</v>
      </c>
      <c r="O559" s="2" t="s">
        <v>634</v>
      </c>
      <c r="P559" s="2" t="s">
        <v>166</v>
      </c>
      <c r="R559" s="2" t="s">
        <v>434</v>
      </c>
      <c r="S559" s="11">
        <v>42191.49931712963</v>
      </c>
    </row>
    <row r="560" ht="12.75" hidden="1" customHeight="1">
      <c r="A560" s="2" t="str">
        <f>IF(VLOOKUP(E560,Sheet4!$A$585:$B$786,2,0)=0,1, )</f>
        <v>1</v>
      </c>
      <c r="B560" s="2" t="str">
        <f t="shared" si="1"/>
        <v>1</v>
      </c>
      <c r="C560" s="2" t="str">
        <f t="shared" si="2"/>
        <v>2000004004-8544</v>
      </c>
      <c r="D560" s="2">
        <v>3.20054375E8</v>
      </c>
      <c r="E560" s="2">
        <v>2.000004004E9</v>
      </c>
      <c r="F560" s="2">
        <v>8544.0</v>
      </c>
      <c r="G560" s="2">
        <v>1.0</v>
      </c>
      <c r="H560" s="2">
        <v>0.0</v>
      </c>
      <c r="I560" s="2">
        <v>365000.0</v>
      </c>
      <c r="J560" s="2">
        <v>1.0</v>
      </c>
      <c r="K560" s="2">
        <v>7.0</v>
      </c>
      <c r="O560" s="2" t="s">
        <v>512</v>
      </c>
      <c r="P560" s="2" t="s">
        <v>166</v>
      </c>
      <c r="R560" s="2" t="s">
        <v>434</v>
      </c>
      <c r="S560" s="11">
        <v>42191.499340277776</v>
      </c>
    </row>
    <row r="561" ht="12.75" hidden="1" customHeight="1">
      <c r="A561" s="2" t="str">
        <f>IF(VLOOKUP(E561,Sheet4!$A$585:$B$786,2,0)=0,1, )</f>
        <v>1</v>
      </c>
      <c r="B561" s="2" t="str">
        <f t="shared" si="1"/>
        <v/>
      </c>
      <c r="C561" s="2" t="str">
        <f t="shared" si="2"/>
        <v>2000004004-8544</v>
      </c>
      <c r="D561" s="2">
        <v>3.20054374E8</v>
      </c>
      <c r="E561" s="2">
        <v>2.000004004E9</v>
      </c>
      <c r="F561" s="2">
        <v>8544.0</v>
      </c>
      <c r="G561" s="2">
        <v>1.0</v>
      </c>
      <c r="H561" s="2">
        <v>0.0</v>
      </c>
      <c r="I561" s="2">
        <v>365000.0</v>
      </c>
      <c r="J561" s="2">
        <v>1.0</v>
      </c>
      <c r="K561" s="2">
        <v>7.0</v>
      </c>
      <c r="O561" s="2" t="s">
        <v>512</v>
      </c>
      <c r="P561" s="2" t="s">
        <v>166</v>
      </c>
      <c r="R561" s="2" t="s">
        <v>434</v>
      </c>
      <c r="S561" s="11">
        <v>42191.499340277776</v>
      </c>
    </row>
    <row r="562" ht="12.75" hidden="1" customHeight="1">
      <c r="A562" s="2" t="str">
        <f>IF(VLOOKUP(E562,Sheet4!$A$585:$B$786,2,0)=0,1, )</f>
        <v>1</v>
      </c>
      <c r="B562" s="2" t="str">
        <f t="shared" si="1"/>
        <v>1</v>
      </c>
      <c r="C562" s="2" t="str">
        <f t="shared" si="2"/>
        <v>2000004005-5310</v>
      </c>
      <c r="D562" s="2">
        <v>3.20054376E8</v>
      </c>
      <c r="E562" s="2">
        <v>2.000004005E9</v>
      </c>
      <c r="F562" s="2">
        <v>5310.0</v>
      </c>
      <c r="G562" s="2">
        <v>1.0</v>
      </c>
      <c r="H562" s="2">
        <v>0.0</v>
      </c>
      <c r="I562" s="2">
        <v>355000.0</v>
      </c>
      <c r="J562" s="2">
        <v>1.0</v>
      </c>
      <c r="K562" s="2">
        <v>7.0</v>
      </c>
      <c r="O562" s="2" t="s">
        <v>533</v>
      </c>
      <c r="P562" s="2" t="s">
        <v>166</v>
      </c>
      <c r="R562" s="2" t="s">
        <v>434</v>
      </c>
      <c r="S562" s="11">
        <v>42191.49936342592</v>
      </c>
    </row>
    <row r="563" ht="12.75" hidden="1" customHeight="1">
      <c r="A563" s="2" t="str">
        <f>IF(VLOOKUP(E563,Sheet4!$A$585:$B$786,2,0)=0,1, )</f>
        <v>1</v>
      </c>
      <c r="B563" s="2" t="str">
        <f t="shared" si="1"/>
        <v/>
      </c>
      <c r="C563" s="2" t="str">
        <f t="shared" si="2"/>
        <v>2000004005-5310</v>
      </c>
      <c r="D563" s="2">
        <v>3.20054377E8</v>
      </c>
      <c r="E563" s="2">
        <v>2.000004005E9</v>
      </c>
      <c r="F563" s="2">
        <v>5310.0</v>
      </c>
      <c r="G563" s="2">
        <v>1.0</v>
      </c>
      <c r="H563" s="2">
        <v>0.0</v>
      </c>
      <c r="I563" s="2">
        <v>355000.0</v>
      </c>
      <c r="J563" s="2">
        <v>1.0</v>
      </c>
      <c r="K563" s="2">
        <v>7.0</v>
      </c>
      <c r="O563" s="2" t="s">
        <v>533</v>
      </c>
      <c r="P563" s="2" t="s">
        <v>166</v>
      </c>
      <c r="R563" s="2" t="s">
        <v>434</v>
      </c>
      <c r="S563" s="11">
        <v>42191.49936342592</v>
      </c>
    </row>
    <row r="564" ht="12.75" hidden="1" customHeight="1">
      <c r="A564" s="2" t="str">
        <f>IF(VLOOKUP(E564,Sheet4!$A$585:$B$786,2,0)=0,1, )</f>
        <v>1</v>
      </c>
      <c r="B564" s="2" t="str">
        <f t="shared" si="1"/>
        <v>1</v>
      </c>
      <c r="C564" s="2" t="str">
        <f t="shared" si="2"/>
        <v>2000004006-936</v>
      </c>
      <c r="D564" s="2">
        <v>3.20054378E8</v>
      </c>
      <c r="E564" s="2">
        <v>2.000004006E9</v>
      </c>
      <c r="F564" s="2">
        <v>936.0</v>
      </c>
      <c r="G564" s="2">
        <v>1.0</v>
      </c>
      <c r="H564" s="2">
        <v>0.0</v>
      </c>
      <c r="I564" s="2">
        <v>535000.0</v>
      </c>
      <c r="J564" s="2">
        <v>1.0</v>
      </c>
      <c r="K564" s="2">
        <v>7.0</v>
      </c>
      <c r="O564" s="2" t="s">
        <v>624</v>
      </c>
      <c r="P564" s="2" t="s">
        <v>166</v>
      </c>
      <c r="R564" s="2" t="s">
        <v>434</v>
      </c>
      <c r="S564" s="11">
        <v>42191.499375</v>
      </c>
    </row>
    <row r="565" ht="12.75" hidden="1" customHeight="1">
      <c r="A565" s="2" t="str">
        <f>IF(VLOOKUP(E565,Sheet4!$A$585:$B$786,2,0)=0,1, )</f>
        <v>1</v>
      </c>
      <c r="B565" s="2" t="str">
        <f t="shared" si="1"/>
        <v/>
      </c>
      <c r="C565" s="2" t="str">
        <f t="shared" si="2"/>
        <v>2000004006-936</v>
      </c>
      <c r="D565" s="2">
        <v>3.20054379E8</v>
      </c>
      <c r="E565" s="2">
        <v>2.000004006E9</v>
      </c>
      <c r="F565" s="2">
        <v>936.0</v>
      </c>
      <c r="G565" s="2">
        <v>1.0</v>
      </c>
      <c r="H565" s="2">
        <v>0.0</v>
      </c>
      <c r="I565" s="2">
        <v>535000.0</v>
      </c>
      <c r="J565" s="2">
        <v>1.0</v>
      </c>
      <c r="K565" s="2">
        <v>7.0</v>
      </c>
      <c r="O565" s="2" t="s">
        <v>624</v>
      </c>
      <c r="P565" s="2" t="s">
        <v>166</v>
      </c>
      <c r="R565" s="2" t="s">
        <v>434</v>
      </c>
      <c r="S565" s="11">
        <v>42191.499375</v>
      </c>
    </row>
    <row r="566" ht="12.75" hidden="1" customHeight="1">
      <c r="A566" s="2" t="str">
        <f>IF(VLOOKUP(E566,Sheet4!$A$585:$B$786,2,0)=0,1, )</f>
        <v>1</v>
      </c>
      <c r="B566" s="2" t="str">
        <f t="shared" si="1"/>
        <v>1</v>
      </c>
      <c r="C566" s="2" t="str">
        <f t="shared" si="2"/>
        <v>2000004006-8526</v>
      </c>
      <c r="D566" s="2">
        <v>3.20054381E8</v>
      </c>
      <c r="E566" s="2">
        <v>2.000004006E9</v>
      </c>
      <c r="F566" s="2">
        <v>8526.0</v>
      </c>
      <c r="G566" s="2">
        <v>1.0</v>
      </c>
      <c r="H566" s="2">
        <v>0.0</v>
      </c>
      <c r="I566" s="2">
        <v>545000.0</v>
      </c>
      <c r="J566" s="2">
        <v>1.0</v>
      </c>
      <c r="K566" s="2">
        <v>7.0</v>
      </c>
      <c r="O566" s="2" t="s">
        <v>639</v>
      </c>
      <c r="P566" s="2" t="s">
        <v>166</v>
      </c>
      <c r="R566" s="2" t="s">
        <v>434</v>
      </c>
      <c r="S566" s="11">
        <v>42191.499386574076</v>
      </c>
    </row>
    <row r="567" ht="12.75" hidden="1" customHeight="1">
      <c r="A567" s="2" t="str">
        <f>IF(VLOOKUP(E567,Sheet4!$A$585:$B$786,2,0)=0,1, )</f>
        <v>1</v>
      </c>
      <c r="B567" s="2" t="str">
        <f t="shared" si="1"/>
        <v/>
      </c>
      <c r="C567" s="2" t="str">
        <f t="shared" si="2"/>
        <v>2000004006-8526</v>
      </c>
      <c r="D567" s="2">
        <v>3.2005438E8</v>
      </c>
      <c r="E567" s="2">
        <v>2.000004006E9</v>
      </c>
      <c r="F567" s="2">
        <v>8526.0</v>
      </c>
      <c r="G567" s="2">
        <v>1.0</v>
      </c>
      <c r="H567" s="2">
        <v>0.0</v>
      </c>
      <c r="I567" s="2">
        <v>545000.0</v>
      </c>
      <c r="J567" s="2">
        <v>1.0</v>
      </c>
      <c r="K567" s="2">
        <v>7.0</v>
      </c>
      <c r="O567" s="2" t="s">
        <v>639</v>
      </c>
      <c r="P567" s="2" t="s">
        <v>166</v>
      </c>
      <c r="R567" s="2" t="s">
        <v>434</v>
      </c>
      <c r="S567" s="11">
        <v>42191.499375</v>
      </c>
    </row>
    <row r="568" ht="12.75" hidden="1" customHeight="1">
      <c r="A568" s="2" t="str">
        <f>IF(VLOOKUP(E568,Sheet4!$A$585:$B$786,2,0)=0,1, )</f>
        <v>1</v>
      </c>
      <c r="B568" s="2" t="str">
        <f t="shared" si="1"/>
        <v>1</v>
      </c>
      <c r="C568" s="2" t="str">
        <f t="shared" si="2"/>
        <v>2000004007-5456</v>
      </c>
      <c r="D568" s="2">
        <v>3.20054382E8</v>
      </c>
      <c r="E568" s="2">
        <v>2.000004007E9</v>
      </c>
      <c r="F568" s="2">
        <v>5456.0</v>
      </c>
      <c r="G568" s="2">
        <v>1.0</v>
      </c>
      <c r="H568" s="2">
        <v>0.0</v>
      </c>
      <c r="I568" s="2">
        <v>550000.0</v>
      </c>
      <c r="J568" s="2">
        <v>1.0</v>
      </c>
      <c r="K568" s="2">
        <v>7.0</v>
      </c>
      <c r="O568" s="2" t="s">
        <v>641</v>
      </c>
      <c r="P568" s="2" t="s">
        <v>166</v>
      </c>
      <c r="R568" s="2" t="s">
        <v>434</v>
      </c>
      <c r="S568" s="11">
        <v>42191.499398148146</v>
      </c>
    </row>
    <row r="569" ht="12.75" hidden="1" customHeight="1">
      <c r="A569" s="2" t="str">
        <f>IF(VLOOKUP(E569,Sheet4!$A$585:$B$786,2,0)=0,1, )</f>
        <v>1</v>
      </c>
      <c r="B569" s="2" t="str">
        <f t="shared" si="1"/>
        <v/>
      </c>
      <c r="C569" s="2" t="str">
        <f t="shared" si="2"/>
        <v>2000004007-5456</v>
      </c>
      <c r="D569" s="2">
        <v>3.20054383E8</v>
      </c>
      <c r="E569" s="2">
        <v>2.000004007E9</v>
      </c>
      <c r="F569" s="2">
        <v>5456.0</v>
      </c>
      <c r="G569" s="2">
        <v>1.0</v>
      </c>
      <c r="H569" s="2">
        <v>0.0</v>
      </c>
      <c r="I569" s="2">
        <v>550000.0</v>
      </c>
      <c r="J569" s="2">
        <v>1.0</v>
      </c>
      <c r="K569" s="2">
        <v>7.0</v>
      </c>
      <c r="O569" s="2" t="s">
        <v>641</v>
      </c>
      <c r="P569" s="2" t="s">
        <v>166</v>
      </c>
      <c r="R569" s="2" t="s">
        <v>434</v>
      </c>
      <c r="S569" s="11">
        <v>42191.499398148146</v>
      </c>
    </row>
    <row r="570" ht="12.75" hidden="1" customHeight="1">
      <c r="A570" s="2" t="str">
        <f>IF(VLOOKUP(E570,Sheet4!$A$585:$B$786,2,0)=0,1, )</f>
        <v>1</v>
      </c>
      <c r="B570" s="2" t="str">
        <f t="shared" si="1"/>
        <v>1</v>
      </c>
      <c r="C570" s="2" t="str">
        <f t="shared" si="2"/>
        <v>2000004007-14000038</v>
      </c>
      <c r="D570" s="2">
        <v>3.20054384E8</v>
      </c>
      <c r="E570" s="2">
        <v>2.000004007E9</v>
      </c>
      <c r="F570" s="2">
        <v>1.4000038E7</v>
      </c>
      <c r="G570" s="2">
        <v>1.0</v>
      </c>
      <c r="H570" s="2">
        <v>0.0</v>
      </c>
      <c r="I570" s="2">
        <v>355000.0</v>
      </c>
      <c r="J570" s="2">
        <v>1.0</v>
      </c>
      <c r="K570" s="2">
        <v>7.0</v>
      </c>
      <c r="O570" s="2" t="s">
        <v>219</v>
      </c>
      <c r="P570" s="2" t="s">
        <v>166</v>
      </c>
      <c r="R570" s="2" t="s">
        <v>434</v>
      </c>
      <c r="S570" s="11">
        <v>42191.499398148146</v>
      </c>
    </row>
    <row r="571" ht="12.75" hidden="1" customHeight="1">
      <c r="A571" s="2" t="str">
        <f>IF(VLOOKUP(E571,Sheet4!$A$585:$B$786,2,0)=0,1, )</f>
        <v>1</v>
      </c>
      <c r="B571" s="2" t="str">
        <f t="shared" si="1"/>
        <v/>
      </c>
      <c r="C571" s="2" t="str">
        <f t="shared" si="2"/>
        <v>2000004007-14000038</v>
      </c>
      <c r="D571" s="2">
        <v>3.20054385E8</v>
      </c>
      <c r="E571" s="2">
        <v>2.000004007E9</v>
      </c>
      <c r="F571" s="2">
        <v>1.4000038E7</v>
      </c>
      <c r="G571" s="2">
        <v>1.0</v>
      </c>
      <c r="H571" s="2">
        <v>0.0</v>
      </c>
      <c r="I571" s="2">
        <v>355000.0</v>
      </c>
      <c r="J571" s="2">
        <v>1.0</v>
      </c>
      <c r="K571" s="2">
        <v>7.0</v>
      </c>
      <c r="O571" s="2" t="s">
        <v>219</v>
      </c>
      <c r="P571" s="2" t="s">
        <v>166</v>
      </c>
      <c r="R571" s="2" t="s">
        <v>434</v>
      </c>
      <c r="S571" s="11">
        <v>42191.499398148146</v>
      </c>
    </row>
    <row r="572" ht="12.75" hidden="1" customHeight="1">
      <c r="A572" s="2" t="str">
        <f>IF(VLOOKUP(E572,Sheet4!$A$585:$B$786,2,0)=0,1, )</f>
        <v>1</v>
      </c>
      <c r="B572" s="2" t="str">
        <f t="shared" si="1"/>
        <v>1</v>
      </c>
      <c r="C572" s="2" t="str">
        <f t="shared" si="2"/>
        <v>2000004008-1013</v>
      </c>
      <c r="D572" s="2">
        <v>3.20054387E8</v>
      </c>
      <c r="E572" s="2">
        <v>2.000004008E9</v>
      </c>
      <c r="F572" s="2">
        <v>1013.0</v>
      </c>
      <c r="G572" s="2">
        <v>2.0</v>
      </c>
      <c r="H572" s="2">
        <v>0.0</v>
      </c>
      <c r="I572" s="2">
        <v>460000.0</v>
      </c>
      <c r="J572" s="2">
        <v>1.0</v>
      </c>
      <c r="K572" s="2">
        <v>7.0</v>
      </c>
      <c r="O572" s="2" t="s">
        <v>459</v>
      </c>
      <c r="P572" s="2" t="s">
        <v>166</v>
      </c>
      <c r="R572" s="2" t="s">
        <v>434</v>
      </c>
      <c r="S572" s="11">
        <v>42191.49951388889</v>
      </c>
    </row>
    <row r="573" ht="12.75" hidden="1" customHeight="1">
      <c r="A573" s="2" t="str">
        <f>IF(VLOOKUP(E573,Sheet4!$A$585:$B$786,2,0)=0,1, )</f>
        <v>1</v>
      </c>
      <c r="B573" s="2" t="str">
        <f t="shared" si="1"/>
        <v/>
      </c>
      <c r="C573" s="2" t="str">
        <f t="shared" si="2"/>
        <v>2000004008-1013</v>
      </c>
      <c r="D573" s="2">
        <v>3.20054386E8</v>
      </c>
      <c r="E573" s="2">
        <v>2.000004008E9</v>
      </c>
      <c r="F573" s="2">
        <v>1013.0</v>
      </c>
      <c r="G573" s="2">
        <v>2.0</v>
      </c>
      <c r="H573" s="2">
        <v>0.0</v>
      </c>
      <c r="I573" s="2">
        <v>460000.0</v>
      </c>
      <c r="J573" s="2">
        <v>1.0</v>
      </c>
      <c r="K573" s="2">
        <v>7.0</v>
      </c>
      <c r="O573" s="2" t="s">
        <v>459</v>
      </c>
      <c r="P573" s="2" t="s">
        <v>166</v>
      </c>
      <c r="R573" s="2" t="s">
        <v>434</v>
      </c>
      <c r="S573" s="11">
        <v>42191.499502314815</v>
      </c>
    </row>
    <row r="574" ht="12.75" hidden="1" customHeight="1">
      <c r="A574" s="2" t="str">
        <f>IF(VLOOKUP(E574,Sheet4!$A$585:$B$786,2,0)=0,1, )</f>
        <v>1</v>
      </c>
      <c r="B574" s="2" t="str">
        <f t="shared" si="1"/>
        <v>1</v>
      </c>
      <c r="C574" s="2" t="str">
        <f t="shared" si="2"/>
        <v>2000004009-5310</v>
      </c>
      <c r="D574" s="2">
        <v>3.20054395E8</v>
      </c>
      <c r="E574" s="2">
        <v>2.000004009E9</v>
      </c>
      <c r="F574" s="2">
        <v>5310.0</v>
      </c>
      <c r="G574" s="2">
        <v>1.0</v>
      </c>
      <c r="H574" s="2">
        <v>0.0</v>
      </c>
      <c r="I574" s="2">
        <v>355000.0</v>
      </c>
      <c r="J574" s="2">
        <v>1.0</v>
      </c>
      <c r="K574" s="2">
        <v>7.0</v>
      </c>
      <c r="O574" s="2" t="s">
        <v>533</v>
      </c>
      <c r="P574" s="2" t="s">
        <v>166</v>
      </c>
      <c r="R574" s="2" t="s">
        <v>434</v>
      </c>
      <c r="S574" s="11">
        <v>42191.499560185184</v>
      </c>
    </row>
    <row r="575" ht="12.75" hidden="1" customHeight="1">
      <c r="A575" s="2" t="str">
        <f>IF(VLOOKUP(E575,Sheet4!$A$585:$B$786,2,0)=0,1, )</f>
        <v>1</v>
      </c>
      <c r="B575" s="2" t="str">
        <f t="shared" si="1"/>
        <v/>
      </c>
      <c r="C575" s="2" t="str">
        <f t="shared" si="2"/>
        <v>2000004009-5310</v>
      </c>
      <c r="D575" s="2">
        <v>3.20054394E8</v>
      </c>
      <c r="E575" s="2">
        <v>2.000004009E9</v>
      </c>
      <c r="F575" s="2">
        <v>5310.0</v>
      </c>
      <c r="G575" s="2">
        <v>1.0</v>
      </c>
      <c r="H575" s="2">
        <v>0.0</v>
      </c>
      <c r="I575" s="2">
        <v>355000.0</v>
      </c>
      <c r="J575" s="2">
        <v>1.0</v>
      </c>
      <c r="K575" s="2">
        <v>7.0</v>
      </c>
      <c r="O575" s="2" t="s">
        <v>533</v>
      </c>
      <c r="P575" s="2" t="s">
        <v>166</v>
      </c>
      <c r="R575" s="2" t="s">
        <v>434</v>
      </c>
      <c r="S575" s="11">
        <v>42191.499560185184</v>
      </c>
    </row>
    <row r="576" ht="12.75" hidden="1" customHeight="1">
      <c r="A576" s="2" t="str">
        <f>IF(VLOOKUP(E576,Sheet4!$A$585:$B$786,2,0)=0,1, )</f>
        <v>1</v>
      </c>
      <c r="B576" s="2" t="str">
        <f t="shared" si="1"/>
        <v>1</v>
      </c>
      <c r="C576" s="2" t="str">
        <f t="shared" si="2"/>
        <v>2000004009-8514</v>
      </c>
      <c r="D576" s="2">
        <v>3.20054388E8</v>
      </c>
      <c r="E576" s="2">
        <v>2.000004009E9</v>
      </c>
      <c r="F576" s="2">
        <v>8514.0</v>
      </c>
      <c r="G576" s="2">
        <v>1.0</v>
      </c>
      <c r="H576" s="2">
        <v>0.0</v>
      </c>
      <c r="I576" s="2">
        <v>575000.0</v>
      </c>
      <c r="J576" s="2">
        <v>1.0</v>
      </c>
      <c r="K576" s="2">
        <v>7.0</v>
      </c>
      <c r="O576" s="2" t="s">
        <v>646</v>
      </c>
      <c r="P576" s="2" t="s">
        <v>166</v>
      </c>
      <c r="R576" s="2" t="s">
        <v>434</v>
      </c>
      <c r="S576" s="11">
        <v>42191.49952546296</v>
      </c>
    </row>
    <row r="577" ht="12.75" hidden="1" customHeight="1">
      <c r="A577" s="2" t="str">
        <f>IF(VLOOKUP(E577,Sheet4!$A$585:$B$786,2,0)=0,1, )</f>
        <v>1</v>
      </c>
      <c r="B577" s="2" t="str">
        <f t="shared" si="1"/>
        <v/>
      </c>
      <c r="C577" s="2" t="str">
        <f t="shared" si="2"/>
        <v>2000004009-8514</v>
      </c>
      <c r="D577" s="2">
        <v>3.20054389E8</v>
      </c>
      <c r="E577" s="2">
        <v>2.000004009E9</v>
      </c>
      <c r="F577" s="2">
        <v>8514.0</v>
      </c>
      <c r="G577" s="2">
        <v>1.0</v>
      </c>
      <c r="H577" s="2">
        <v>0.0</v>
      </c>
      <c r="I577" s="2">
        <v>575000.0</v>
      </c>
      <c r="J577" s="2">
        <v>1.0</v>
      </c>
      <c r="K577" s="2">
        <v>7.0</v>
      </c>
      <c r="O577" s="2" t="s">
        <v>646</v>
      </c>
      <c r="P577" s="2" t="s">
        <v>166</v>
      </c>
      <c r="R577" s="2" t="s">
        <v>434</v>
      </c>
      <c r="S577" s="11">
        <v>42191.49953703704</v>
      </c>
    </row>
    <row r="578" ht="12.75" hidden="1" customHeight="1">
      <c r="A578" s="2" t="str">
        <f>IF(VLOOKUP(E578,Sheet4!$A$585:$B$786,2,0)=0,1, )</f>
        <v>1</v>
      </c>
      <c r="B578" s="2" t="str">
        <f t="shared" si="1"/>
        <v>1</v>
      </c>
      <c r="C578" s="2" t="str">
        <f t="shared" si="2"/>
        <v>2000004009-8515</v>
      </c>
      <c r="D578" s="2">
        <v>3.20054391E8</v>
      </c>
      <c r="E578" s="2">
        <v>2.000004009E9</v>
      </c>
      <c r="F578" s="2">
        <v>8515.0</v>
      </c>
      <c r="G578" s="2">
        <v>1.0</v>
      </c>
      <c r="H578" s="2">
        <v>0.0</v>
      </c>
      <c r="I578" s="2">
        <v>635000.0</v>
      </c>
      <c r="J578" s="2">
        <v>1.0</v>
      </c>
      <c r="K578" s="2">
        <v>7.0</v>
      </c>
      <c r="O578" s="2" t="s">
        <v>577</v>
      </c>
      <c r="P578" s="2" t="s">
        <v>166</v>
      </c>
      <c r="R578" s="2" t="s">
        <v>434</v>
      </c>
      <c r="S578" s="11">
        <v>42191.49953703704</v>
      </c>
    </row>
    <row r="579" ht="12.75" hidden="1" customHeight="1">
      <c r="A579" s="2" t="str">
        <f>IF(VLOOKUP(E579,Sheet4!$A$585:$B$786,2,0)=0,1, )</f>
        <v>1</v>
      </c>
      <c r="B579" s="2" t="str">
        <f t="shared" si="1"/>
        <v/>
      </c>
      <c r="C579" s="2" t="str">
        <f t="shared" si="2"/>
        <v>2000004009-8515</v>
      </c>
      <c r="D579" s="2">
        <v>3.2005439E8</v>
      </c>
      <c r="E579" s="2">
        <v>2.000004009E9</v>
      </c>
      <c r="F579" s="2">
        <v>8515.0</v>
      </c>
      <c r="G579" s="2">
        <v>1.0</v>
      </c>
      <c r="H579" s="2">
        <v>0.0</v>
      </c>
      <c r="I579" s="2">
        <v>635000.0</v>
      </c>
      <c r="J579" s="2">
        <v>1.0</v>
      </c>
      <c r="K579" s="2">
        <v>7.0</v>
      </c>
      <c r="O579" s="2" t="s">
        <v>577</v>
      </c>
      <c r="P579" s="2" t="s">
        <v>166</v>
      </c>
      <c r="R579" s="2" t="s">
        <v>434</v>
      </c>
      <c r="S579" s="11">
        <v>42191.49953703704</v>
      </c>
    </row>
    <row r="580" ht="12.75" hidden="1" customHeight="1">
      <c r="A580" s="2" t="str">
        <f>IF(VLOOKUP(E580,Sheet4!$A$585:$B$786,2,0)=0,1, )</f>
        <v>1</v>
      </c>
      <c r="B580" s="2" t="str">
        <f t="shared" si="1"/>
        <v>1</v>
      </c>
      <c r="C580" s="2" t="str">
        <f t="shared" si="2"/>
        <v>2000004009-16049</v>
      </c>
      <c r="D580" s="2">
        <v>3.20054392E8</v>
      </c>
      <c r="E580" s="2">
        <v>2.000004009E9</v>
      </c>
      <c r="F580" s="2">
        <v>16049.0</v>
      </c>
      <c r="G580" s="2">
        <v>1.0</v>
      </c>
      <c r="H580" s="2">
        <v>0.0</v>
      </c>
      <c r="I580" s="2">
        <v>470000.0</v>
      </c>
      <c r="J580" s="2">
        <v>1.0</v>
      </c>
      <c r="K580" s="2">
        <v>7.0</v>
      </c>
      <c r="O580" s="2" t="s">
        <v>649</v>
      </c>
      <c r="P580" s="2" t="s">
        <v>166</v>
      </c>
      <c r="R580" s="2" t="s">
        <v>434</v>
      </c>
      <c r="S580" s="11">
        <v>42191.49953703704</v>
      </c>
    </row>
    <row r="581" ht="12.75" hidden="1" customHeight="1">
      <c r="A581" s="2" t="str">
        <f>IF(VLOOKUP(E581,Sheet4!$A$585:$B$786,2,0)=0,1, )</f>
        <v>1</v>
      </c>
      <c r="B581" s="2" t="str">
        <f t="shared" si="1"/>
        <v/>
      </c>
      <c r="C581" s="2" t="str">
        <f t="shared" si="2"/>
        <v>2000004009-16049</v>
      </c>
      <c r="D581" s="2">
        <v>3.20054393E8</v>
      </c>
      <c r="E581" s="2">
        <v>2.000004009E9</v>
      </c>
      <c r="F581" s="2">
        <v>16049.0</v>
      </c>
      <c r="G581" s="2">
        <v>1.0</v>
      </c>
      <c r="H581" s="2">
        <v>0.0</v>
      </c>
      <c r="I581" s="2">
        <v>470000.0</v>
      </c>
      <c r="J581" s="2">
        <v>1.0</v>
      </c>
      <c r="K581" s="2">
        <v>7.0</v>
      </c>
      <c r="O581" s="2" t="s">
        <v>649</v>
      </c>
      <c r="P581" s="2" t="s">
        <v>166</v>
      </c>
      <c r="R581" s="2" t="s">
        <v>434</v>
      </c>
      <c r="S581" s="11">
        <v>42191.49953703704</v>
      </c>
    </row>
    <row r="582" ht="12.75" hidden="1" customHeight="1">
      <c r="A582" s="2" t="str">
        <f>IF(VLOOKUP(E582,Sheet4!$A$585:$B$786,2,0)=0,1, )</f>
        <v>1</v>
      </c>
      <c r="B582" s="2" t="str">
        <f t="shared" si="1"/>
        <v>1</v>
      </c>
      <c r="C582" s="2" t="str">
        <f t="shared" si="2"/>
        <v>2000004010-1013</v>
      </c>
      <c r="D582" s="2">
        <v>3.20054396E8</v>
      </c>
      <c r="E582" s="2">
        <v>2.00000401E9</v>
      </c>
      <c r="F582" s="2">
        <v>1013.0</v>
      </c>
      <c r="G582" s="2">
        <v>2.0</v>
      </c>
      <c r="H582" s="2">
        <v>0.0</v>
      </c>
      <c r="I582" s="2">
        <v>460000.0</v>
      </c>
      <c r="J582" s="2">
        <v>1.0</v>
      </c>
      <c r="K582" s="2">
        <v>7.0</v>
      </c>
      <c r="O582" s="2" t="s">
        <v>459</v>
      </c>
      <c r="P582" s="2" t="s">
        <v>166</v>
      </c>
      <c r="R582" s="2" t="s">
        <v>434</v>
      </c>
      <c r="S582" s="11">
        <v>42191.49957175926</v>
      </c>
    </row>
    <row r="583" ht="12.75" hidden="1" customHeight="1">
      <c r="A583" s="2" t="str">
        <f>IF(VLOOKUP(E583,Sheet4!$A$585:$B$786,2,0)=0,1, )</f>
        <v>1</v>
      </c>
      <c r="B583" s="2" t="str">
        <f t="shared" si="1"/>
        <v/>
      </c>
      <c r="C583" s="2" t="str">
        <f t="shared" si="2"/>
        <v>2000004010-1013</v>
      </c>
      <c r="D583" s="2">
        <v>3.20054397E8</v>
      </c>
      <c r="E583" s="2">
        <v>2.00000401E9</v>
      </c>
      <c r="F583" s="2">
        <v>1013.0</v>
      </c>
      <c r="G583" s="2">
        <v>2.0</v>
      </c>
      <c r="H583" s="2">
        <v>0.0</v>
      </c>
      <c r="I583" s="2">
        <v>460000.0</v>
      </c>
      <c r="J583" s="2">
        <v>1.0</v>
      </c>
      <c r="K583" s="2">
        <v>7.0</v>
      </c>
      <c r="O583" s="2" t="s">
        <v>459</v>
      </c>
      <c r="P583" s="2" t="s">
        <v>166</v>
      </c>
      <c r="R583" s="2" t="s">
        <v>434</v>
      </c>
      <c r="S583" s="11">
        <v>42191.49957175926</v>
      </c>
    </row>
    <row r="584" ht="12.75" hidden="1" customHeight="1">
      <c r="A584" s="2" t="str">
        <f>IF(VLOOKUP(E584,Sheet4!$A$585:$B$786,2,0)=0,1, )</f>
        <v>1</v>
      </c>
      <c r="B584" s="2" t="str">
        <f t="shared" si="1"/>
        <v>1</v>
      </c>
      <c r="C584" s="2" t="str">
        <f t="shared" si="2"/>
        <v>2000004012-1008</v>
      </c>
      <c r="D584" s="2">
        <v>3.20054401E8</v>
      </c>
      <c r="E584" s="2">
        <v>2.000004012E9</v>
      </c>
      <c r="F584" s="2">
        <v>1008.0</v>
      </c>
      <c r="G584" s="2">
        <v>1.0</v>
      </c>
      <c r="H584" s="2">
        <v>0.0</v>
      </c>
      <c r="I584" s="2">
        <v>215000.0</v>
      </c>
      <c r="J584" s="2">
        <v>1.0</v>
      </c>
      <c r="K584" s="2">
        <v>7.0</v>
      </c>
      <c r="O584" s="2" t="s">
        <v>490</v>
      </c>
      <c r="P584" s="2" t="s">
        <v>166</v>
      </c>
      <c r="R584" s="2" t="s">
        <v>434</v>
      </c>
      <c r="S584" s="11">
        <v>42191.49958333333</v>
      </c>
    </row>
    <row r="585" ht="12.75" hidden="1" customHeight="1">
      <c r="A585" s="2" t="str">
        <f>IF(VLOOKUP(E585,Sheet4!$A$585:$B$786,2,0)=0,1, )</f>
        <v>1</v>
      </c>
      <c r="B585" s="2" t="str">
        <f t="shared" si="1"/>
        <v/>
      </c>
      <c r="C585" s="2" t="str">
        <f t="shared" si="2"/>
        <v>2000004012-1008</v>
      </c>
      <c r="D585" s="2">
        <v>3.200544E8</v>
      </c>
      <c r="E585" s="2">
        <v>2.000004012E9</v>
      </c>
      <c r="F585" s="2">
        <v>1008.0</v>
      </c>
      <c r="G585" s="2">
        <v>1.0</v>
      </c>
      <c r="H585" s="2">
        <v>0.0</v>
      </c>
      <c r="I585" s="2">
        <v>215000.0</v>
      </c>
      <c r="J585" s="2">
        <v>1.0</v>
      </c>
      <c r="K585" s="2">
        <v>7.0</v>
      </c>
      <c r="O585" s="2" t="s">
        <v>490</v>
      </c>
      <c r="P585" s="2" t="s">
        <v>166</v>
      </c>
      <c r="R585" s="2" t="s">
        <v>434</v>
      </c>
      <c r="S585" s="11">
        <v>42191.49958333333</v>
      </c>
    </row>
    <row r="586" ht="12.75" hidden="1" customHeight="1">
      <c r="A586" s="2" t="str">
        <f>IF(VLOOKUP(E586,Sheet4!$A$585:$B$786,2,0)=0,1, )</f>
        <v>1</v>
      </c>
      <c r="B586" s="2" t="str">
        <f t="shared" si="1"/>
        <v>1</v>
      </c>
      <c r="C586" s="2" t="str">
        <f t="shared" si="2"/>
        <v>2000004012-1013</v>
      </c>
      <c r="D586" s="2">
        <v>3.20054402E8</v>
      </c>
      <c r="E586" s="2">
        <v>2.000004012E9</v>
      </c>
      <c r="F586" s="2">
        <v>1013.0</v>
      </c>
      <c r="G586" s="2">
        <v>1.0</v>
      </c>
      <c r="H586" s="2">
        <v>0.0</v>
      </c>
      <c r="I586" s="2">
        <v>230000.0</v>
      </c>
      <c r="J586" s="2">
        <v>1.0</v>
      </c>
      <c r="K586" s="2">
        <v>7.0</v>
      </c>
      <c r="O586" s="2" t="s">
        <v>459</v>
      </c>
      <c r="P586" s="2" t="s">
        <v>166</v>
      </c>
      <c r="R586" s="2" t="s">
        <v>434</v>
      </c>
      <c r="S586" s="11">
        <v>42191.49959490741</v>
      </c>
    </row>
    <row r="587" ht="12.75" hidden="1" customHeight="1">
      <c r="A587" s="2" t="str">
        <f>IF(VLOOKUP(E587,Sheet4!$A$585:$B$786,2,0)=0,1, )</f>
        <v>1</v>
      </c>
      <c r="B587" s="2" t="str">
        <f t="shared" si="1"/>
        <v/>
      </c>
      <c r="C587" s="2" t="str">
        <f t="shared" si="2"/>
        <v>2000004012-1013</v>
      </c>
      <c r="D587" s="2">
        <v>3.20054403E8</v>
      </c>
      <c r="E587" s="2">
        <v>2.000004012E9</v>
      </c>
      <c r="F587" s="2">
        <v>1013.0</v>
      </c>
      <c r="G587" s="2">
        <v>1.0</v>
      </c>
      <c r="H587" s="2">
        <v>0.0</v>
      </c>
      <c r="I587" s="2">
        <v>230000.0</v>
      </c>
      <c r="J587" s="2">
        <v>1.0</v>
      </c>
      <c r="K587" s="2">
        <v>7.0</v>
      </c>
      <c r="O587" s="2" t="s">
        <v>459</v>
      </c>
      <c r="P587" s="2" t="s">
        <v>166</v>
      </c>
      <c r="R587" s="2" t="s">
        <v>434</v>
      </c>
      <c r="S587" s="11">
        <v>42191.49959490741</v>
      </c>
    </row>
    <row r="588" ht="12.75" hidden="1" customHeight="1">
      <c r="A588" s="2" t="str">
        <f>IF(VLOOKUP(E588,Sheet4!$A$585:$B$786,2,0)=0,1, )</f>
        <v>1</v>
      </c>
      <c r="B588" s="2" t="str">
        <f t="shared" si="1"/>
        <v>1</v>
      </c>
      <c r="C588" s="2" t="str">
        <f t="shared" si="2"/>
        <v>2000004012-15982</v>
      </c>
      <c r="D588" s="2">
        <v>3.20054399E8</v>
      </c>
      <c r="E588" s="2">
        <v>2.000004012E9</v>
      </c>
      <c r="F588" s="2">
        <v>15982.0</v>
      </c>
      <c r="G588" s="2">
        <v>2.0</v>
      </c>
      <c r="H588" s="2">
        <v>0.0</v>
      </c>
      <c r="I588" s="2">
        <v>1120000.0</v>
      </c>
      <c r="J588" s="2">
        <v>1.0</v>
      </c>
      <c r="K588" s="2">
        <v>7.0</v>
      </c>
      <c r="O588" s="2" t="s">
        <v>654</v>
      </c>
      <c r="P588" s="2" t="s">
        <v>166</v>
      </c>
      <c r="R588" s="2" t="s">
        <v>434</v>
      </c>
      <c r="S588" s="11">
        <v>42191.49958333333</v>
      </c>
    </row>
    <row r="589" ht="12.75" hidden="1" customHeight="1">
      <c r="A589" s="2" t="str">
        <f>IF(VLOOKUP(E589,Sheet4!$A$585:$B$786,2,0)=0,1, )</f>
        <v>1</v>
      </c>
      <c r="B589" s="2" t="str">
        <f t="shared" si="1"/>
        <v/>
      </c>
      <c r="C589" s="2" t="str">
        <f t="shared" si="2"/>
        <v>2000004012-15982</v>
      </c>
      <c r="D589" s="2">
        <v>3.20054398E8</v>
      </c>
      <c r="E589" s="2">
        <v>2.000004012E9</v>
      </c>
      <c r="F589" s="2">
        <v>15982.0</v>
      </c>
      <c r="G589" s="2">
        <v>2.0</v>
      </c>
      <c r="H589" s="2">
        <v>0.0</v>
      </c>
      <c r="I589" s="2">
        <v>1120000.0</v>
      </c>
      <c r="J589" s="2">
        <v>1.0</v>
      </c>
      <c r="K589" s="2">
        <v>7.0</v>
      </c>
      <c r="O589" s="2" t="s">
        <v>654</v>
      </c>
      <c r="P589" s="2" t="s">
        <v>166</v>
      </c>
      <c r="R589" s="2" t="s">
        <v>434</v>
      </c>
      <c r="S589" s="11">
        <v>42191.49958333333</v>
      </c>
    </row>
    <row r="590" ht="12.75" hidden="1" customHeight="1">
      <c r="A590" s="2" t="str">
        <f>IF(VLOOKUP(E590,Sheet4!$A$585:$B$786,2,0)=0,1, )</f>
        <v>1</v>
      </c>
      <c r="B590" s="2" t="str">
        <f t="shared" si="1"/>
        <v>1</v>
      </c>
      <c r="C590" s="2" t="str">
        <f t="shared" si="2"/>
        <v>2000004013-15175</v>
      </c>
      <c r="D590" s="2">
        <v>3.20054404E8</v>
      </c>
      <c r="E590" s="2">
        <v>2.000004013E9</v>
      </c>
      <c r="F590" s="2">
        <v>15175.0</v>
      </c>
      <c r="G590" s="2">
        <v>1.0</v>
      </c>
      <c r="H590" s="2">
        <v>0.0</v>
      </c>
      <c r="I590" s="2">
        <v>618000.0</v>
      </c>
      <c r="J590" s="2">
        <v>1.0</v>
      </c>
      <c r="K590" s="2">
        <v>7.0</v>
      </c>
      <c r="O590" s="2" t="s">
        <v>656</v>
      </c>
      <c r="P590" s="2" t="s">
        <v>166</v>
      </c>
      <c r="R590" s="2" t="s">
        <v>434</v>
      </c>
      <c r="S590" s="11">
        <v>42191.499606481484</v>
      </c>
    </row>
    <row r="591" ht="12.75" hidden="1" customHeight="1">
      <c r="A591" s="2" t="str">
        <f>IF(VLOOKUP(E591,Sheet4!$A$585:$B$786,2,0)=0,1, )</f>
        <v>1</v>
      </c>
      <c r="B591" s="2" t="str">
        <f t="shared" si="1"/>
        <v/>
      </c>
      <c r="C591" s="2" t="str">
        <f t="shared" si="2"/>
        <v>2000004013-15175</v>
      </c>
      <c r="D591" s="2">
        <v>3.20054405E8</v>
      </c>
      <c r="E591" s="2">
        <v>2.000004013E9</v>
      </c>
      <c r="F591" s="2">
        <v>15175.0</v>
      </c>
      <c r="G591" s="2">
        <v>1.0</v>
      </c>
      <c r="H591" s="2">
        <v>0.0</v>
      </c>
      <c r="I591" s="2">
        <v>618000.0</v>
      </c>
      <c r="J591" s="2">
        <v>1.0</v>
      </c>
      <c r="K591" s="2">
        <v>7.0</v>
      </c>
      <c r="O591" s="2" t="s">
        <v>656</v>
      </c>
      <c r="P591" s="2" t="s">
        <v>166</v>
      </c>
      <c r="R591" s="2" t="s">
        <v>434</v>
      </c>
      <c r="S591" s="11">
        <v>42191.499606481484</v>
      </c>
    </row>
    <row r="592" ht="12.75" hidden="1" customHeight="1">
      <c r="A592" s="2" t="str">
        <f>IF(VLOOKUP(E592,Sheet4!$A$585:$B$786,2,0)=0,1, )</f>
        <v>1</v>
      </c>
      <c r="B592" s="2" t="str">
        <f t="shared" si="1"/>
        <v>1</v>
      </c>
      <c r="C592" s="2" t="str">
        <f t="shared" si="2"/>
        <v>2000004014-8544</v>
      </c>
      <c r="D592" s="2">
        <v>3.20054406E8</v>
      </c>
      <c r="E592" s="2">
        <v>2.000004014E9</v>
      </c>
      <c r="F592" s="2">
        <v>8544.0</v>
      </c>
      <c r="G592" s="2">
        <v>1.0</v>
      </c>
      <c r="H592" s="2">
        <v>0.0</v>
      </c>
      <c r="I592" s="2">
        <v>365000.0</v>
      </c>
      <c r="J592" s="2">
        <v>1.0</v>
      </c>
      <c r="K592" s="2">
        <v>7.0</v>
      </c>
      <c r="O592" s="2" t="s">
        <v>512</v>
      </c>
      <c r="P592" s="2" t="s">
        <v>166</v>
      </c>
      <c r="R592" s="2" t="s">
        <v>434</v>
      </c>
      <c r="S592" s="11">
        <v>42191.49961805555</v>
      </c>
    </row>
    <row r="593" ht="12.75" hidden="1" customHeight="1">
      <c r="A593" s="2" t="str">
        <f>IF(VLOOKUP(E593,Sheet4!$A$585:$B$786,2,0)=0,1, )</f>
        <v>1</v>
      </c>
      <c r="B593" s="2" t="str">
        <f t="shared" si="1"/>
        <v/>
      </c>
      <c r="C593" s="2" t="str">
        <f t="shared" si="2"/>
        <v>2000004014-8544</v>
      </c>
      <c r="D593" s="2">
        <v>3.20054407E8</v>
      </c>
      <c r="E593" s="2">
        <v>2.000004014E9</v>
      </c>
      <c r="F593" s="2">
        <v>8544.0</v>
      </c>
      <c r="G593" s="2">
        <v>1.0</v>
      </c>
      <c r="H593" s="2">
        <v>0.0</v>
      </c>
      <c r="I593" s="2">
        <v>365000.0</v>
      </c>
      <c r="J593" s="2">
        <v>1.0</v>
      </c>
      <c r="K593" s="2">
        <v>7.0</v>
      </c>
      <c r="O593" s="2" t="s">
        <v>512</v>
      </c>
      <c r="P593" s="2" t="s">
        <v>166</v>
      </c>
      <c r="R593" s="2" t="s">
        <v>434</v>
      </c>
      <c r="S593" s="11">
        <v>42191.49961805555</v>
      </c>
    </row>
    <row r="594" ht="12.75" hidden="1" customHeight="1">
      <c r="A594" s="2" t="str">
        <f>IF(VLOOKUP(E594,Sheet4!$A$585:$B$786,2,0)=0,1, )</f>
        <v>1</v>
      </c>
      <c r="B594" s="2" t="str">
        <f t="shared" si="1"/>
        <v>1</v>
      </c>
      <c r="C594" s="2" t="str">
        <f t="shared" si="2"/>
        <v>2000004015-8528</v>
      </c>
      <c r="D594" s="2">
        <v>3.20054409E8</v>
      </c>
      <c r="E594" s="2">
        <v>2.000004015E9</v>
      </c>
      <c r="F594" s="2">
        <v>8528.0</v>
      </c>
      <c r="G594" s="2">
        <v>2.0</v>
      </c>
      <c r="H594" s="2">
        <v>0.0</v>
      </c>
      <c r="I594" s="2">
        <v>110000.0</v>
      </c>
      <c r="J594" s="2">
        <v>1.0</v>
      </c>
      <c r="K594" s="2">
        <v>7.0</v>
      </c>
      <c r="O594" s="2" t="s">
        <v>531</v>
      </c>
      <c r="P594" s="2" t="s">
        <v>166</v>
      </c>
      <c r="R594" s="2" t="s">
        <v>434</v>
      </c>
      <c r="S594" s="11">
        <v>42191.49962962963</v>
      </c>
    </row>
    <row r="595" ht="12.75" hidden="1" customHeight="1">
      <c r="A595" s="2" t="str">
        <f>IF(VLOOKUP(E595,Sheet4!$A$585:$B$786,2,0)=0,1, )</f>
        <v>1</v>
      </c>
      <c r="B595" s="2" t="str">
        <f t="shared" si="1"/>
        <v/>
      </c>
      <c r="C595" s="2" t="str">
        <f t="shared" si="2"/>
        <v>2000004015-8528</v>
      </c>
      <c r="D595" s="2">
        <v>3.20054408E8</v>
      </c>
      <c r="E595" s="2">
        <v>2.000004015E9</v>
      </c>
      <c r="F595" s="2">
        <v>8528.0</v>
      </c>
      <c r="G595" s="2">
        <v>2.0</v>
      </c>
      <c r="H595" s="2">
        <v>0.0</v>
      </c>
      <c r="I595" s="2">
        <v>110000.0</v>
      </c>
      <c r="J595" s="2">
        <v>1.0</v>
      </c>
      <c r="K595" s="2">
        <v>7.0</v>
      </c>
      <c r="O595" s="2" t="s">
        <v>531</v>
      </c>
      <c r="P595" s="2" t="s">
        <v>166</v>
      </c>
      <c r="R595" s="2" t="s">
        <v>434</v>
      </c>
      <c r="S595" s="11">
        <v>42191.49962962963</v>
      </c>
    </row>
    <row r="596" ht="12.75" hidden="1" customHeight="1">
      <c r="A596" s="2" t="str">
        <f>IF(VLOOKUP(E596,Sheet4!$A$585:$B$786,2,0)=0,1, )</f>
        <v>1</v>
      </c>
      <c r="B596" s="2" t="str">
        <f t="shared" si="1"/>
        <v>1</v>
      </c>
      <c r="C596" s="2" t="str">
        <f t="shared" si="2"/>
        <v>2000004015-13814</v>
      </c>
      <c r="D596" s="2">
        <v>3.2005441E8</v>
      </c>
      <c r="E596" s="2">
        <v>2.000004015E9</v>
      </c>
      <c r="F596" s="2">
        <v>13814.0</v>
      </c>
      <c r="G596" s="2">
        <v>1.0</v>
      </c>
      <c r="H596" s="2">
        <v>0.0</v>
      </c>
      <c r="I596" s="2">
        <v>195000.0</v>
      </c>
      <c r="J596" s="2">
        <v>1.0</v>
      </c>
      <c r="K596" s="2">
        <v>7.0</v>
      </c>
      <c r="O596" s="2" t="s">
        <v>486</v>
      </c>
      <c r="P596" s="2" t="s">
        <v>166</v>
      </c>
      <c r="R596" s="2" t="s">
        <v>434</v>
      </c>
      <c r="S596" s="11">
        <v>42191.49962962963</v>
      </c>
    </row>
    <row r="597" ht="12.75" hidden="1" customHeight="1">
      <c r="A597" s="2" t="str">
        <f>IF(VLOOKUP(E597,Sheet4!$A$585:$B$786,2,0)=0,1, )</f>
        <v>1</v>
      </c>
      <c r="B597" s="2" t="str">
        <f t="shared" si="1"/>
        <v/>
      </c>
      <c r="C597" s="2" t="str">
        <f t="shared" si="2"/>
        <v>2000004015-13814</v>
      </c>
      <c r="D597" s="2">
        <v>3.20054411E8</v>
      </c>
      <c r="E597" s="2">
        <v>2.000004015E9</v>
      </c>
      <c r="F597" s="2">
        <v>13814.0</v>
      </c>
      <c r="G597" s="2">
        <v>1.0</v>
      </c>
      <c r="H597" s="2">
        <v>0.0</v>
      </c>
      <c r="I597" s="2">
        <v>195000.0</v>
      </c>
      <c r="J597" s="2">
        <v>1.0</v>
      </c>
      <c r="K597" s="2">
        <v>7.0</v>
      </c>
      <c r="O597" s="2" t="s">
        <v>486</v>
      </c>
      <c r="P597" s="2" t="s">
        <v>166</v>
      </c>
      <c r="R597" s="2" t="s">
        <v>434</v>
      </c>
      <c r="S597" s="11">
        <v>42191.49962962963</v>
      </c>
    </row>
    <row r="598" ht="12.75" hidden="1" customHeight="1">
      <c r="A598" s="2" t="str">
        <f>IF(VLOOKUP(E598,Sheet4!$A$585:$B$786,2,0)=0,1, )</f>
        <v>1</v>
      </c>
      <c r="B598" s="2" t="str">
        <f t="shared" si="1"/>
        <v>1</v>
      </c>
      <c r="C598" s="2" t="str">
        <f t="shared" si="2"/>
        <v>2000004016-8520</v>
      </c>
      <c r="D598" s="2">
        <v>3.20054412E8</v>
      </c>
      <c r="E598" s="2">
        <v>2.000004016E9</v>
      </c>
      <c r="F598" s="2">
        <v>8520.0</v>
      </c>
      <c r="G598" s="2">
        <v>1.0</v>
      </c>
      <c r="H598" s="2">
        <v>0.0</v>
      </c>
      <c r="I598" s="2">
        <v>435000.0</v>
      </c>
      <c r="J598" s="2">
        <v>1.0</v>
      </c>
      <c r="K598" s="2">
        <v>7.0</v>
      </c>
      <c r="O598" s="2" t="s">
        <v>552</v>
      </c>
      <c r="P598" s="2" t="s">
        <v>166</v>
      </c>
      <c r="R598" s="2" t="s">
        <v>434</v>
      </c>
      <c r="S598" s="11">
        <v>42191.49964120371</v>
      </c>
    </row>
    <row r="599" ht="12.75" hidden="1" customHeight="1">
      <c r="A599" s="2" t="str">
        <f>IF(VLOOKUP(E599,Sheet4!$A$585:$B$786,2,0)=0,1, )</f>
        <v>1</v>
      </c>
      <c r="B599" s="2" t="str">
        <f t="shared" si="1"/>
        <v/>
      </c>
      <c r="C599" s="2" t="str">
        <f t="shared" si="2"/>
        <v>2000004016-8520</v>
      </c>
      <c r="D599" s="2">
        <v>3.20054413E8</v>
      </c>
      <c r="E599" s="2">
        <v>2.000004016E9</v>
      </c>
      <c r="F599" s="2">
        <v>8520.0</v>
      </c>
      <c r="G599" s="2">
        <v>1.0</v>
      </c>
      <c r="H599" s="2">
        <v>0.0</v>
      </c>
      <c r="I599" s="2">
        <v>435000.0</v>
      </c>
      <c r="J599" s="2">
        <v>1.0</v>
      </c>
      <c r="K599" s="2">
        <v>7.0</v>
      </c>
      <c r="O599" s="2" t="s">
        <v>552</v>
      </c>
      <c r="P599" s="2" t="s">
        <v>166</v>
      </c>
      <c r="R599" s="2" t="s">
        <v>434</v>
      </c>
      <c r="S599" s="11">
        <v>42191.49964120371</v>
      </c>
    </row>
    <row r="600" ht="12.75" hidden="1" customHeight="1">
      <c r="A600" s="2" t="str">
        <f>IF(VLOOKUP(E600,Sheet4!$A$585:$B$786,2,0)=0,1, )</f>
        <v>1</v>
      </c>
      <c r="B600" s="2" t="str">
        <f t="shared" si="1"/>
        <v>1</v>
      </c>
      <c r="C600" s="2" t="str">
        <f t="shared" si="2"/>
        <v>2000004017-3148</v>
      </c>
      <c r="D600" s="2">
        <v>3.20054419E8</v>
      </c>
      <c r="E600" s="2">
        <v>2.000004017E9</v>
      </c>
      <c r="F600" s="2">
        <v>3148.0</v>
      </c>
      <c r="G600" s="2">
        <v>2.0</v>
      </c>
      <c r="H600" s="2">
        <v>0.0</v>
      </c>
      <c r="I600" s="2">
        <v>80000.0</v>
      </c>
      <c r="J600" s="2">
        <v>1.0</v>
      </c>
      <c r="K600" s="2">
        <v>7.0</v>
      </c>
      <c r="O600" s="2" t="s">
        <v>560</v>
      </c>
      <c r="P600" s="2" t="s">
        <v>166</v>
      </c>
      <c r="R600" s="2" t="s">
        <v>434</v>
      </c>
      <c r="S600" s="11">
        <v>42191.4996875</v>
      </c>
    </row>
    <row r="601" ht="12.75" hidden="1" customHeight="1">
      <c r="A601" s="2" t="str">
        <f>IF(VLOOKUP(E601,Sheet4!$A$585:$B$786,2,0)=0,1, )</f>
        <v>1</v>
      </c>
      <c r="B601" s="2" t="str">
        <f t="shared" si="1"/>
        <v/>
      </c>
      <c r="C601" s="2" t="str">
        <f t="shared" si="2"/>
        <v>2000004017-3148</v>
      </c>
      <c r="D601" s="2">
        <v>3.20054418E8</v>
      </c>
      <c r="E601" s="2">
        <v>2.000004017E9</v>
      </c>
      <c r="F601" s="2">
        <v>3148.0</v>
      </c>
      <c r="G601" s="2">
        <v>2.0</v>
      </c>
      <c r="H601" s="2">
        <v>0.0</v>
      </c>
      <c r="I601" s="2">
        <v>80000.0</v>
      </c>
      <c r="J601" s="2">
        <v>1.0</v>
      </c>
      <c r="K601" s="2">
        <v>7.0</v>
      </c>
      <c r="O601" s="2" t="s">
        <v>560</v>
      </c>
      <c r="P601" s="2" t="s">
        <v>166</v>
      </c>
      <c r="R601" s="2" t="s">
        <v>434</v>
      </c>
      <c r="S601" s="11">
        <v>42191.4996875</v>
      </c>
    </row>
    <row r="602" ht="12.75" hidden="1" customHeight="1">
      <c r="A602" s="2" t="str">
        <f>IF(VLOOKUP(E602,Sheet4!$A$585:$B$786,2,0)=0,1, )</f>
        <v>1</v>
      </c>
      <c r="B602" s="2" t="str">
        <f t="shared" si="1"/>
        <v>1</v>
      </c>
      <c r="C602" s="2" t="str">
        <f t="shared" si="2"/>
        <v>2000004017-14114</v>
      </c>
      <c r="D602" s="2">
        <v>3.20054414E8</v>
      </c>
      <c r="E602" s="2">
        <v>2.000004017E9</v>
      </c>
      <c r="F602" s="2">
        <v>14114.0</v>
      </c>
      <c r="G602" s="2">
        <v>1.0</v>
      </c>
      <c r="H602" s="2">
        <v>0.0</v>
      </c>
      <c r="I602" s="2">
        <v>255000.0</v>
      </c>
      <c r="J602" s="2">
        <v>1.0</v>
      </c>
      <c r="K602" s="2">
        <v>7.0</v>
      </c>
      <c r="O602" s="2" t="s">
        <v>663</v>
      </c>
      <c r="P602" s="2" t="s">
        <v>166</v>
      </c>
      <c r="R602" s="2" t="s">
        <v>434</v>
      </c>
      <c r="S602" s="11">
        <v>42191.49967592592</v>
      </c>
    </row>
    <row r="603" ht="12.75" hidden="1" customHeight="1">
      <c r="A603" s="2" t="str">
        <f>IF(VLOOKUP(E603,Sheet4!$A$585:$B$786,2,0)=0,1, )</f>
        <v>1</v>
      </c>
      <c r="B603" s="2" t="str">
        <f t="shared" si="1"/>
        <v/>
      </c>
      <c r="C603" s="2" t="str">
        <f t="shared" si="2"/>
        <v>2000004017-14114</v>
      </c>
      <c r="D603" s="2">
        <v>3.20054415E8</v>
      </c>
      <c r="E603" s="2">
        <v>2.000004017E9</v>
      </c>
      <c r="F603" s="2">
        <v>14114.0</v>
      </c>
      <c r="G603" s="2">
        <v>1.0</v>
      </c>
      <c r="H603" s="2">
        <v>0.0</v>
      </c>
      <c r="I603" s="2">
        <v>255000.0</v>
      </c>
      <c r="J603" s="2">
        <v>1.0</v>
      </c>
      <c r="K603" s="2">
        <v>7.0</v>
      </c>
      <c r="O603" s="2" t="s">
        <v>663</v>
      </c>
      <c r="P603" s="2" t="s">
        <v>166</v>
      </c>
      <c r="R603" s="2" t="s">
        <v>434</v>
      </c>
      <c r="S603" s="11">
        <v>42191.4996875</v>
      </c>
    </row>
    <row r="604" ht="12.75" hidden="1" customHeight="1">
      <c r="A604" s="2" t="str">
        <f>IF(VLOOKUP(E604,Sheet4!$A$585:$B$786,2,0)=0,1, )</f>
        <v>1</v>
      </c>
      <c r="B604" s="2" t="str">
        <f t="shared" si="1"/>
        <v>1</v>
      </c>
      <c r="C604" s="2" t="str">
        <f t="shared" si="2"/>
        <v>2000004017-14645</v>
      </c>
      <c r="D604" s="2">
        <v>3.20054417E8</v>
      </c>
      <c r="E604" s="2">
        <v>2.000004017E9</v>
      </c>
      <c r="F604" s="2">
        <v>14645.0</v>
      </c>
      <c r="G604" s="2">
        <v>1.0</v>
      </c>
      <c r="H604" s="2">
        <v>0.0</v>
      </c>
      <c r="I604" s="2">
        <v>275000.0</v>
      </c>
      <c r="J604" s="2">
        <v>1.0</v>
      </c>
      <c r="K604" s="2">
        <v>7.0</v>
      </c>
      <c r="O604" s="2" t="s">
        <v>626</v>
      </c>
      <c r="P604" s="2" t="s">
        <v>166</v>
      </c>
      <c r="R604" s="2" t="s">
        <v>434</v>
      </c>
      <c r="S604" s="11">
        <v>42191.4996875</v>
      </c>
    </row>
    <row r="605" ht="12.75" hidden="1" customHeight="1">
      <c r="A605" s="2" t="str">
        <f>IF(VLOOKUP(E605,Sheet4!$A$585:$B$786,2,0)=0,1, )</f>
        <v>1</v>
      </c>
      <c r="B605" s="2" t="str">
        <f t="shared" si="1"/>
        <v/>
      </c>
      <c r="C605" s="2" t="str">
        <f t="shared" si="2"/>
        <v>2000004017-14645</v>
      </c>
      <c r="D605" s="2">
        <v>3.20054416E8</v>
      </c>
      <c r="E605" s="2">
        <v>2.000004017E9</v>
      </c>
      <c r="F605" s="2">
        <v>14645.0</v>
      </c>
      <c r="G605" s="2">
        <v>1.0</v>
      </c>
      <c r="H605" s="2">
        <v>0.0</v>
      </c>
      <c r="I605" s="2">
        <v>275000.0</v>
      </c>
      <c r="J605" s="2">
        <v>1.0</v>
      </c>
      <c r="K605" s="2">
        <v>7.0</v>
      </c>
      <c r="O605" s="2" t="s">
        <v>626</v>
      </c>
      <c r="P605" s="2" t="s">
        <v>166</v>
      </c>
      <c r="R605" s="2" t="s">
        <v>434</v>
      </c>
      <c r="S605" s="11">
        <v>42191.4996875</v>
      </c>
    </row>
    <row r="606" ht="12.75" hidden="1" customHeight="1">
      <c r="A606" s="2" t="str">
        <f>IF(VLOOKUP(E606,Sheet4!$A$585:$B$786,2,0)=0,1, )</f>
        <v>1</v>
      </c>
      <c r="B606" s="2" t="str">
        <f t="shared" si="1"/>
        <v>1</v>
      </c>
      <c r="C606" s="2" t="str">
        <f t="shared" si="2"/>
        <v>2000004018-14813</v>
      </c>
      <c r="D606" s="2">
        <v>3.2005442E8</v>
      </c>
      <c r="E606" s="2">
        <v>2.000004018E9</v>
      </c>
      <c r="F606" s="2">
        <v>14813.0</v>
      </c>
      <c r="G606" s="2">
        <v>1.0</v>
      </c>
      <c r="H606" s="2">
        <v>0.0</v>
      </c>
      <c r="I606" s="2">
        <v>165000.0</v>
      </c>
      <c r="J606" s="2">
        <v>1.0</v>
      </c>
      <c r="K606" s="2">
        <v>7.0</v>
      </c>
      <c r="O606" s="2" t="s">
        <v>607</v>
      </c>
      <c r="P606" s="2" t="s">
        <v>166</v>
      </c>
      <c r="R606" s="2" t="s">
        <v>434</v>
      </c>
      <c r="S606" s="11">
        <v>42191.49969907408</v>
      </c>
    </row>
    <row r="607" ht="12.75" hidden="1" customHeight="1">
      <c r="A607" s="2" t="str">
        <f>IF(VLOOKUP(E607,Sheet4!$A$585:$B$786,2,0)=0,1, )</f>
        <v>1</v>
      </c>
      <c r="B607" s="2" t="str">
        <f t="shared" si="1"/>
        <v/>
      </c>
      <c r="C607" s="2" t="str">
        <f t="shared" si="2"/>
        <v>2000004018-14813</v>
      </c>
      <c r="D607" s="2">
        <v>3.20054421E8</v>
      </c>
      <c r="E607" s="2">
        <v>2.000004018E9</v>
      </c>
      <c r="F607" s="2">
        <v>14813.0</v>
      </c>
      <c r="G607" s="2">
        <v>1.0</v>
      </c>
      <c r="H607" s="2">
        <v>0.0</v>
      </c>
      <c r="I607" s="2">
        <v>165000.0</v>
      </c>
      <c r="J607" s="2">
        <v>1.0</v>
      </c>
      <c r="K607" s="2">
        <v>7.0</v>
      </c>
      <c r="O607" s="2" t="s">
        <v>607</v>
      </c>
      <c r="P607" s="2" t="s">
        <v>166</v>
      </c>
      <c r="R607" s="2" t="s">
        <v>434</v>
      </c>
      <c r="S607" s="11">
        <v>42191.49969907408</v>
      </c>
    </row>
    <row r="608" ht="12.75" hidden="1" customHeight="1">
      <c r="A608" s="2" t="str">
        <f>IF(VLOOKUP(E608,Sheet4!$A$585:$B$786,2,0)=0,1, )</f>
        <v>1</v>
      </c>
      <c r="B608" s="2" t="str">
        <f t="shared" si="1"/>
        <v>1</v>
      </c>
      <c r="C608" s="2" t="str">
        <f t="shared" si="2"/>
        <v>2000004019-1007</v>
      </c>
      <c r="D608" s="2">
        <v>3.20054431E8</v>
      </c>
      <c r="E608" s="2">
        <v>2.000004019E9</v>
      </c>
      <c r="F608" s="2">
        <v>1007.0</v>
      </c>
      <c r="G608" s="2">
        <v>1.0</v>
      </c>
      <c r="H608" s="2">
        <v>0.0</v>
      </c>
      <c r="I608" s="2">
        <v>245000.0</v>
      </c>
      <c r="J608" s="2">
        <v>1.0</v>
      </c>
      <c r="K608" s="2">
        <v>7.0</v>
      </c>
      <c r="O608" s="2" t="s">
        <v>667</v>
      </c>
      <c r="P608" s="2" t="s">
        <v>166</v>
      </c>
      <c r="R608" s="2" t="s">
        <v>434</v>
      </c>
      <c r="S608" s="11">
        <v>42191.49974537037</v>
      </c>
    </row>
    <row r="609" ht="12.75" hidden="1" customHeight="1">
      <c r="A609" s="2" t="str">
        <f>IF(VLOOKUP(E609,Sheet4!$A$585:$B$786,2,0)=0,1, )</f>
        <v>1</v>
      </c>
      <c r="B609" s="2" t="str">
        <f t="shared" si="1"/>
        <v/>
      </c>
      <c r="C609" s="2" t="str">
        <f t="shared" si="2"/>
        <v>2000004019-1007</v>
      </c>
      <c r="D609" s="2">
        <v>3.2005443E8</v>
      </c>
      <c r="E609" s="2">
        <v>2.000004019E9</v>
      </c>
      <c r="F609" s="2">
        <v>1007.0</v>
      </c>
      <c r="G609" s="2">
        <v>1.0</v>
      </c>
      <c r="H609" s="2">
        <v>0.0</v>
      </c>
      <c r="I609" s="2">
        <v>245000.0</v>
      </c>
      <c r="J609" s="2">
        <v>1.0</v>
      </c>
      <c r="K609" s="2">
        <v>7.0</v>
      </c>
      <c r="O609" s="2" t="s">
        <v>667</v>
      </c>
      <c r="P609" s="2" t="s">
        <v>166</v>
      </c>
      <c r="R609" s="2" t="s">
        <v>434</v>
      </c>
      <c r="S609" s="11">
        <v>42191.49974537037</v>
      </c>
    </row>
    <row r="610" ht="12.75" hidden="1" customHeight="1">
      <c r="A610" s="2" t="str">
        <f>IF(VLOOKUP(E610,Sheet4!$A$585:$B$786,2,0)=0,1, )</f>
        <v>1</v>
      </c>
      <c r="B610" s="2" t="str">
        <f t="shared" si="1"/>
        <v>1</v>
      </c>
      <c r="C610" s="2" t="str">
        <f t="shared" si="2"/>
        <v>2000004020-5327</v>
      </c>
      <c r="D610" s="2">
        <v>3.20054422E8</v>
      </c>
      <c r="E610" s="2">
        <v>2.00000402E9</v>
      </c>
      <c r="F610" s="2">
        <v>5327.0</v>
      </c>
      <c r="G610" s="2">
        <v>1.0</v>
      </c>
      <c r="H610" s="2">
        <v>0.0</v>
      </c>
      <c r="I610" s="2">
        <v>395000.0</v>
      </c>
      <c r="J610" s="2">
        <v>1.0</v>
      </c>
      <c r="K610" s="2">
        <v>7.0</v>
      </c>
      <c r="O610" s="2" t="s">
        <v>622</v>
      </c>
      <c r="P610" s="2" t="s">
        <v>166</v>
      </c>
      <c r="R610" s="2" t="s">
        <v>434</v>
      </c>
      <c r="S610" s="11">
        <v>42191.49972222222</v>
      </c>
    </row>
    <row r="611" ht="12.75" hidden="1" customHeight="1">
      <c r="A611" s="2" t="str">
        <f>IF(VLOOKUP(E611,Sheet4!$A$585:$B$786,2,0)=0,1, )</f>
        <v>1</v>
      </c>
      <c r="B611" s="2" t="str">
        <f t="shared" si="1"/>
        <v/>
      </c>
      <c r="C611" s="2" t="str">
        <f t="shared" si="2"/>
        <v>2000004020-5327</v>
      </c>
      <c r="D611" s="2">
        <v>3.20054423E8</v>
      </c>
      <c r="E611" s="2">
        <v>2.00000402E9</v>
      </c>
      <c r="F611" s="2">
        <v>5327.0</v>
      </c>
      <c r="G611" s="2">
        <v>1.0</v>
      </c>
      <c r="H611" s="2">
        <v>0.0</v>
      </c>
      <c r="I611" s="2">
        <v>395000.0</v>
      </c>
      <c r="J611" s="2">
        <v>1.0</v>
      </c>
      <c r="K611" s="2">
        <v>7.0</v>
      </c>
      <c r="O611" s="2" t="s">
        <v>622</v>
      </c>
      <c r="P611" s="2" t="s">
        <v>166</v>
      </c>
      <c r="R611" s="2" t="s">
        <v>434</v>
      </c>
      <c r="S611" s="11">
        <v>42191.49972222222</v>
      </c>
    </row>
    <row r="612" ht="12.75" hidden="1" customHeight="1">
      <c r="A612" s="2" t="str">
        <f>IF(VLOOKUP(E612,Sheet4!$A$585:$B$786,2,0)=0,1, )</f>
        <v>1</v>
      </c>
      <c r="B612" s="2" t="str">
        <f t="shared" si="1"/>
        <v>1</v>
      </c>
      <c r="C612" s="2" t="str">
        <f t="shared" si="2"/>
        <v>2000004020-14000038</v>
      </c>
      <c r="D612" s="2">
        <v>3.20054424E8</v>
      </c>
      <c r="E612" s="2">
        <v>2.00000402E9</v>
      </c>
      <c r="F612" s="2">
        <v>1.4000038E7</v>
      </c>
      <c r="G612" s="2">
        <v>1.0</v>
      </c>
      <c r="H612" s="2">
        <v>0.0</v>
      </c>
      <c r="I612" s="2">
        <v>355000.0</v>
      </c>
      <c r="J612" s="2">
        <v>1.0</v>
      </c>
      <c r="K612" s="2">
        <v>7.0</v>
      </c>
      <c r="O612" s="2" t="s">
        <v>219</v>
      </c>
      <c r="P612" s="2" t="s">
        <v>166</v>
      </c>
      <c r="R612" s="2" t="s">
        <v>434</v>
      </c>
      <c r="S612" s="11">
        <v>42191.49972222222</v>
      </c>
    </row>
    <row r="613" ht="12.75" hidden="1" customHeight="1">
      <c r="A613" s="2" t="str">
        <f>IF(VLOOKUP(E613,Sheet4!$A$585:$B$786,2,0)=0,1, )</f>
        <v>1</v>
      </c>
      <c r="B613" s="2" t="str">
        <f t="shared" si="1"/>
        <v/>
      </c>
      <c r="C613" s="2" t="str">
        <f t="shared" si="2"/>
        <v>2000004020-14000038</v>
      </c>
      <c r="D613" s="2">
        <v>3.20054425E8</v>
      </c>
      <c r="E613" s="2">
        <v>2.00000402E9</v>
      </c>
      <c r="F613" s="2">
        <v>1.4000038E7</v>
      </c>
      <c r="G613" s="2">
        <v>1.0</v>
      </c>
      <c r="H613" s="2">
        <v>0.0</v>
      </c>
      <c r="I613" s="2">
        <v>355000.0</v>
      </c>
      <c r="J613" s="2">
        <v>1.0</v>
      </c>
      <c r="K613" s="2">
        <v>7.0</v>
      </c>
      <c r="O613" s="2" t="s">
        <v>219</v>
      </c>
      <c r="P613" s="2" t="s">
        <v>166</v>
      </c>
      <c r="R613" s="2" t="s">
        <v>434</v>
      </c>
      <c r="S613" s="11">
        <v>42191.49972222222</v>
      </c>
    </row>
    <row r="614" ht="12.75" hidden="1" customHeight="1">
      <c r="A614" s="2" t="str">
        <f>IF(VLOOKUP(E614,Sheet4!$A$585:$B$786,2,0)=0,1, )</f>
        <v>1</v>
      </c>
      <c r="B614" s="2" t="str">
        <f t="shared" si="1"/>
        <v>1</v>
      </c>
      <c r="C614" s="2" t="str">
        <f t="shared" si="2"/>
        <v>2000004021-8544</v>
      </c>
      <c r="D614" s="2">
        <v>3.20054426E8</v>
      </c>
      <c r="E614" s="2">
        <v>2.000004021E9</v>
      </c>
      <c r="F614" s="2">
        <v>8544.0</v>
      </c>
      <c r="G614" s="2">
        <v>1.0</v>
      </c>
      <c r="H614" s="2">
        <v>0.0</v>
      </c>
      <c r="I614" s="2">
        <v>365000.0</v>
      </c>
      <c r="J614" s="2">
        <v>1.0</v>
      </c>
      <c r="K614" s="2">
        <v>7.0</v>
      </c>
      <c r="O614" s="2" t="s">
        <v>512</v>
      </c>
      <c r="P614" s="2" t="s">
        <v>166</v>
      </c>
      <c r="R614" s="2" t="s">
        <v>434</v>
      </c>
      <c r="S614" s="11">
        <v>42191.4997337963</v>
      </c>
    </row>
    <row r="615" ht="12.75" hidden="1" customHeight="1">
      <c r="A615" s="2" t="str">
        <f>IF(VLOOKUP(E615,Sheet4!$A$585:$B$786,2,0)=0,1, )</f>
        <v>1</v>
      </c>
      <c r="B615" s="2" t="str">
        <f t="shared" si="1"/>
        <v/>
      </c>
      <c r="C615" s="2" t="str">
        <f t="shared" si="2"/>
        <v>2000004021-8544</v>
      </c>
      <c r="D615" s="2">
        <v>3.20054427E8</v>
      </c>
      <c r="E615" s="2">
        <v>2.000004021E9</v>
      </c>
      <c r="F615" s="2">
        <v>8544.0</v>
      </c>
      <c r="G615" s="2">
        <v>1.0</v>
      </c>
      <c r="H615" s="2">
        <v>0.0</v>
      </c>
      <c r="I615" s="2">
        <v>365000.0</v>
      </c>
      <c r="J615" s="2">
        <v>1.0</v>
      </c>
      <c r="K615" s="2">
        <v>7.0</v>
      </c>
      <c r="O615" s="2" t="s">
        <v>512</v>
      </c>
      <c r="P615" s="2" t="s">
        <v>166</v>
      </c>
      <c r="R615" s="2" t="s">
        <v>434</v>
      </c>
      <c r="S615" s="11">
        <v>42191.4997337963</v>
      </c>
    </row>
    <row r="616" ht="12.75" hidden="1" customHeight="1">
      <c r="A616" s="2" t="str">
        <f>IF(VLOOKUP(E616,Sheet4!$A$585:$B$786,2,0)=0,1, )</f>
        <v>1</v>
      </c>
      <c r="B616" s="2" t="str">
        <f t="shared" si="1"/>
        <v>1</v>
      </c>
      <c r="C616" s="2" t="str">
        <f t="shared" si="2"/>
        <v>2000004022-991</v>
      </c>
      <c r="D616" s="2">
        <v>3.20054429E8</v>
      </c>
      <c r="E616" s="2">
        <v>2.000004022E9</v>
      </c>
      <c r="F616" s="2">
        <v>991.0</v>
      </c>
      <c r="G616" s="2">
        <v>1.0</v>
      </c>
      <c r="H616" s="2">
        <v>0.0</v>
      </c>
      <c r="I616" s="2">
        <v>590000.0</v>
      </c>
      <c r="J616" s="2">
        <v>1.0</v>
      </c>
      <c r="K616" s="2">
        <v>7.0</v>
      </c>
      <c r="O616" s="2" t="s">
        <v>591</v>
      </c>
      <c r="P616" s="2" t="s">
        <v>166</v>
      </c>
      <c r="R616" s="2" t="s">
        <v>434</v>
      </c>
      <c r="S616" s="11">
        <v>42191.4997337963</v>
      </c>
    </row>
    <row r="617" ht="12.75" hidden="1" customHeight="1">
      <c r="A617" s="2" t="str">
        <f>IF(VLOOKUP(E617,Sheet4!$A$585:$B$786,2,0)=0,1, )</f>
        <v>1</v>
      </c>
      <c r="B617" s="2" t="str">
        <f t="shared" si="1"/>
        <v/>
      </c>
      <c r="C617" s="2" t="str">
        <f t="shared" si="2"/>
        <v>2000004022-991</v>
      </c>
      <c r="D617" s="2">
        <v>3.20054428E8</v>
      </c>
      <c r="E617" s="2">
        <v>2.000004022E9</v>
      </c>
      <c r="F617" s="2">
        <v>991.0</v>
      </c>
      <c r="G617" s="2">
        <v>1.0</v>
      </c>
      <c r="H617" s="2">
        <v>0.0</v>
      </c>
      <c r="I617" s="2">
        <v>590000.0</v>
      </c>
      <c r="J617" s="2">
        <v>1.0</v>
      </c>
      <c r="K617" s="2">
        <v>7.0</v>
      </c>
      <c r="O617" s="2" t="s">
        <v>591</v>
      </c>
      <c r="P617" s="2" t="s">
        <v>166</v>
      </c>
      <c r="R617" s="2" t="s">
        <v>434</v>
      </c>
      <c r="S617" s="11">
        <v>42191.4997337963</v>
      </c>
    </row>
    <row r="618" ht="12.75" hidden="1" customHeight="1">
      <c r="A618" s="2" t="str">
        <f>IF(VLOOKUP(E618,Sheet4!$A$585:$B$786,2,0)=0,1, )</f>
        <v>1</v>
      </c>
      <c r="B618" s="2" t="str">
        <f t="shared" si="1"/>
        <v>1</v>
      </c>
      <c r="C618" s="2" t="str">
        <f t="shared" si="2"/>
        <v>2000004023-15714</v>
      </c>
      <c r="D618" s="2">
        <v>3.20054432E8</v>
      </c>
      <c r="E618" s="2">
        <v>2.000004023E9</v>
      </c>
      <c r="F618" s="2">
        <v>15714.0</v>
      </c>
      <c r="G618" s="2">
        <v>1.0</v>
      </c>
      <c r="H618" s="2">
        <v>0.0</v>
      </c>
      <c r="I618" s="2">
        <v>385000.0</v>
      </c>
      <c r="J618" s="2">
        <v>1.0</v>
      </c>
      <c r="K618" s="2">
        <v>7.0</v>
      </c>
      <c r="O618" s="2" t="s">
        <v>673</v>
      </c>
      <c r="P618" s="2" t="s">
        <v>166</v>
      </c>
      <c r="R618" s="2" t="s">
        <v>434</v>
      </c>
      <c r="S618" s="11">
        <v>42191.499756944446</v>
      </c>
    </row>
    <row r="619" ht="12.75" hidden="1" customHeight="1">
      <c r="A619" s="2" t="str">
        <f>IF(VLOOKUP(E619,Sheet4!$A$585:$B$786,2,0)=0,1, )</f>
        <v>1</v>
      </c>
      <c r="B619" s="2" t="str">
        <f t="shared" si="1"/>
        <v/>
      </c>
      <c r="C619" s="2" t="str">
        <f t="shared" si="2"/>
        <v>2000004023-15714</v>
      </c>
      <c r="D619" s="2">
        <v>3.20054433E8</v>
      </c>
      <c r="E619" s="2">
        <v>2.000004023E9</v>
      </c>
      <c r="F619" s="2">
        <v>15714.0</v>
      </c>
      <c r="G619" s="2">
        <v>1.0</v>
      </c>
      <c r="H619" s="2">
        <v>0.0</v>
      </c>
      <c r="I619" s="2">
        <v>385000.0</v>
      </c>
      <c r="J619" s="2">
        <v>1.0</v>
      </c>
      <c r="K619" s="2">
        <v>7.0</v>
      </c>
      <c r="O619" s="2" t="s">
        <v>673</v>
      </c>
      <c r="P619" s="2" t="s">
        <v>166</v>
      </c>
      <c r="R619" s="2" t="s">
        <v>434</v>
      </c>
      <c r="S619" s="11">
        <v>42191.499756944446</v>
      </c>
    </row>
    <row r="620" ht="12.75" hidden="1" customHeight="1">
      <c r="A620" s="2" t="str">
        <f>IF(VLOOKUP(E620,Sheet4!$A$585:$B$786,2,0)=0,1, )</f>
        <v>1</v>
      </c>
      <c r="B620" s="2" t="str">
        <f t="shared" si="1"/>
        <v>1</v>
      </c>
      <c r="C620" s="2" t="str">
        <f t="shared" si="2"/>
        <v>2000004024-975</v>
      </c>
      <c r="D620" s="2">
        <v>3.20054435E8</v>
      </c>
      <c r="E620" s="2">
        <v>2.000004024E9</v>
      </c>
      <c r="F620" s="2">
        <v>975.0</v>
      </c>
      <c r="G620" s="2">
        <v>1.0</v>
      </c>
      <c r="H620" s="2">
        <v>0.0</v>
      </c>
      <c r="I620" s="2">
        <v>495000.0</v>
      </c>
      <c r="J620" s="2">
        <v>1.0</v>
      </c>
      <c r="K620" s="2">
        <v>7.0</v>
      </c>
      <c r="O620" s="2" t="s">
        <v>488</v>
      </c>
      <c r="P620" s="2" t="s">
        <v>166</v>
      </c>
      <c r="R620" s="2" t="s">
        <v>434</v>
      </c>
      <c r="S620" s="11">
        <v>42191.499756944446</v>
      </c>
    </row>
    <row r="621" ht="12.75" hidden="1" customHeight="1">
      <c r="A621" s="2" t="str">
        <f>IF(VLOOKUP(E621,Sheet4!$A$585:$B$786,2,0)=0,1, )</f>
        <v>1</v>
      </c>
      <c r="B621" s="2" t="str">
        <f t="shared" si="1"/>
        <v/>
      </c>
      <c r="C621" s="2" t="str">
        <f t="shared" si="2"/>
        <v>2000004024-975</v>
      </c>
      <c r="D621" s="2">
        <v>3.20054434E8</v>
      </c>
      <c r="E621" s="2">
        <v>2.000004024E9</v>
      </c>
      <c r="F621" s="2">
        <v>975.0</v>
      </c>
      <c r="G621" s="2">
        <v>1.0</v>
      </c>
      <c r="H621" s="2">
        <v>0.0</v>
      </c>
      <c r="I621" s="2">
        <v>495000.0</v>
      </c>
      <c r="J621" s="2">
        <v>1.0</v>
      </c>
      <c r="K621" s="2">
        <v>7.0</v>
      </c>
      <c r="O621" s="2" t="s">
        <v>488</v>
      </c>
      <c r="P621" s="2" t="s">
        <v>166</v>
      </c>
      <c r="R621" s="2" t="s">
        <v>434</v>
      </c>
      <c r="S621" s="11">
        <v>42191.499756944446</v>
      </c>
    </row>
    <row r="622" ht="12.75" hidden="1" customHeight="1">
      <c r="A622" s="2" t="str">
        <f>IF(VLOOKUP(E622,Sheet4!$A$585:$B$786,2,0)=0,1, )</f>
        <v>1</v>
      </c>
      <c r="B622" s="2" t="str">
        <f t="shared" si="1"/>
        <v>1</v>
      </c>
      <c r="C622" s="2" t="str">
        <f t="shared" si="2"/>
        <v>2000004024-991</v>
      </c>
      <c r="D622" s="2">
        <v>3.20054436E8</v>
      </c>
      <c r="E622" s="2">
        <v>2.000004024E9</v>
      </c>
      <c r="F622" s="2">
        <v>991.0</v>
      </c>
      <c r="G622" s="2">
        <v>-1.0</v>
      </c>
      <c r="H622" s="2">
        <v>0.0</v>
      </c>
      <c r="I622" s="2">
        <v>-590000.0</v>
      </c>
      <c r="J622" s="2">
        <v>1.0</v>
      </c>
      <c r="K622" s="2">
        <v>7.0</v>
      </c>
      <c r="O622" s="2" t="s">
        <v>591</v>
      </c>
      <c r="P622" s="2" t="s">
        <v>166</v>
      </c>
      <c r="R622" s="2" t="s">
        <v>434</v>
      </c>
      <c r="S622" s="11">
        <v>42191.499768518515</v>
      </c>
    </row>
    <row r="623" ht="12.75" hidden="1" customHeight="1">
      <c r="A623" s="2" t="str">
        <f>IF(VLOOKUP(E623,Sheet4!$A$585:$B$786,2,0)=0,1, )</f>
        <v>1</v>
      </c>
      <c r="B623" s="2" t="str">
        <f t="shared" si="1"/>
        <v/>
      </c>
      <c r="C623" s="2" t="str">
        <f t="shared" si="2"/>
        <v>2000004024-991</v>
      </c>
      <c r="D623" s="2">
        <v>3.20054437E8</v>
      </c>
      <c r="E623" s="2">
        <v>2.000004024E9</v>
      </c>
      <c r="F623" s="2">
        <v>991.0</v>
      </c>
      <c r="G623" s="2">
        <v>-1.0</v>
      </c>
      <c r="H623" s="2">
        <v>0.0</v>
      </c>
      <c r="I623" s="2">
        <v>-590000.0</v>
      </c>
      <c r="J623" s="2">
        <v>1.0</v>
      </c>
      <c r="K623" s="2">
        <v>7.0</v>
      </c>
      <c r="O623" s="2" t="s">
        <v>591</v>
      </c>
      <c r="P623" s="2" t="s">
        <v>166</v>
      </c>
      <c r="R623" s="2" t="s">
        <v>434</v>
      </c>
      <c r="S623" s="11">
        <v>42191.499768518515</v>
      </c>
    </row>
    <row r="624" ht="12.75" hidden="1" customHeight="1">
      <c r="A624" s="2" t="str">
        <f>IF(VLOOKUP(E624,Sheet4!$A$585:$B$786,2,0)=0,1, )</f>
        <v>1</v>
      </c>
      <c r="B624" s="2" t="str">
        <f t="shared" si="1"/>
        <v>1</v>
      </c>
      <c r="C624" s="2" t="str">
        <f t="shared" si="2"/>
        <v>2000004025-3148</v>
      </c>
      <c r="D624" s="2">
        <v>3.20054441E8</v>
      </c>
      <c r="E624" s="2">
        <v>2.000004025E9</v>
      </c>
      <c r="F624" s="2">
        <v>3148.0</v>
      </c>
      <c r="G624" s="2">
        <v>1.0</v>
      </c>
      <c r="H624" s="2">
        <v>0.0</v>
      </c>
      <c r="I624" s="2">
        <v>40000.0</v>
      </c>
      <c r="J624" s="2">
        <v>1.0</v>
      </c>
      <c r="K624" s="2">
        <v>7.0</v>
      </c>
      <c r="O624" s="2" t="s">
        <v>560</v>
      </c>
      <c r="P624" s="2" t="s">
        <v>166</v>
      </c>
      <c r="R624" s="2" t="s">
        <v>434</v>
      </c>
      <c r="S624" s="11">
        <v>42191.499768518515</v>
      </c>
    </row>
    <row r="625" ht="12.75" hidden="1" customHeight="1">
      <c r="A625" s="2" t="str">
        <f>IF(VLOOKUP(E625,Sheet4!$A$585:$B$786,2,0)=0,1, )</f>
        <v>1</v>
      </c>
      <c r="B625" s="2" t="str">
        <f t="shared" si="1"/>
        <v/>
      </c>
      <c r="C625" s="2" t="str">
        <f t="shared" si="2"/>
        <v>2000004025-3148</v>
      </c>
      <c r="D625" s="2">
        <v>3.2005444E8</v>
      </c>
      <c r="E625" s="2">
        <v>2.000004025E9</v>
      </c>
      <c r="F625" s="2">
        <v>3148.0</v>
      </c>
      <c r="G625" s="2">
        <v>1.0</v>
      </c>
      <c r="H625" s="2">
        <v>0.0</v>
      </c>
      <c r="I625" s="2">
        <v>40000.0</v>
      </c>
      <c r="J625" s="2">
        <v>1.0</v>
      </c>
      <c r="K625" s="2">
        <v>7.0</v>
      </c>
      <c r="O625" s="2" t="s">
        <v>560</v>
      </c>
      <c r="P625" s="2" t="s">
        <v>166</v>
      </c>
      <c r="R625" s="2" t="s">
        <v>434</v>
      </c>
      <c r="S625" s="11">
        <v>42191.499768518515</v>
      </c>
    </row>
    <row r="626" ht="12.75" hidden="1" customHeight="1">
      <c r="A626" s="2" t="str">
        <f>IF(VLOOKUP(E626,Sheet4!$A$585:$B$786,2,0)=0,1, )</f>
        <v>1</v>
      </c>
      <c r="B626" s="2" t="str">
        <f t="shared" si="1"/>
        <v>1</v>
      </c>
      <c r="C626" s="2" t="str">
        <f t="shared" si="2"/>
        <v>2000004025-9736</v>
      </c>
      <c r="D626" s="2">
        <v>3.20054439E8</v>
      </c>
      <c r="E626" s="2">
        <v>2.000004025E9</v>
      </c>
      <c r="F626" s="2">
        <v>9736.0</v>
      </c>
      <c r="G626" s="2">
        <v>1.0</v>
      </c>
      <c r="H626" s="2">
        <v>0.0</v>
      </c>
      <c r="I626" s="2">
        <v>371000.0</v>
      </c>
      <c r="J626" s="2">
        <v>1.0</v>
      </c>
      <c r="K626" s="2">
        <v>7.0</v>
      </c>
      <c r="O626" s="2" t="s">
        <v>516</v>
      </c>
      <c r="P626" s="2" t="s">
        <v>166</v>
      </c>
      <c r="R626" s="2" t="s">
        <v>434</v>
      </c>
      <c r="S626" s="11">
        <v>42191.499768518515</v>
      </c>
    </row>
    <row r="627" ht="12.75" hidden="1" customHeight="1">
      <c r="A627" s="2" t="str">
        <f>IF(VLOOKUP(E627,Sheet4!$A$585:$B$786,2,0)=0,1, )</f>
        <v>1</v>
      </c>
      <c r="B627" s="2" t="str">
        <f t="shared" si="1"/>
        <v/>
      </c>
      <c r="C627" s="2" t="str">
        <f t="shared" si="2"/>
        <v>2000004025-9736</v>
      </c>
      <c r="D627" s="2">
        <v>3.20054438E8</v>
      </c>
      <c r="E627" s="2">
        <v>2.000004025E9</v>
      </c>
      <c r="F627" s="2">
        <v>9736.0</v>
      </c>
      <c r="G627" s="2">
        <v>1.0</v>
      </c>
      <c r="H627" s="2">
        <v>0.0</v>
      </c>
      <c r="I627" s="2">
        <v>371000.0</v>
      </c>
      <c r="J627" s="2">
        <v>1.0</v>
      </c>
      <c r="K627" s="2">
        <v>7.0</v>
      </c>
      <c r="O627" s="2" t="s">
        <v>516</v>
      </c>
      <c r="P627" s="2" t="s">
        <v>166</v>
      </c>
      <c r="R627" s="2" t="s">
        <v>434</v>
      </c>
      <c r="S627" s="11">
        <v>42191.499768518515</v>
      </c>
    </row>
    <row r="628" ht="12.75" hidden="1" customHeight="1">
      <c r="A628" s="2" t="str">
        <f>IF(VLOOKUP(E628,Sheet4!$A$585:$B$786,2,0)=0,1, )</f>
        <v>1</v>
      </c>
      <c r="B628" s="2" t="str">
        <f t="shared" si="1"/>
        <v>1</v>
      </c>
      <c r="C628" s="2" t="str">
        <f t="shared" si="2"/>
        <v>2000004026-996</v>
      </c>
      <c r="D628" s="2">
        <v>3.20054444E8</v>
      </c>
      <c r="E628" s="2">
        <v>2.000004026E9</v>
      </c>
      <c r="F628" s="2">
        <v>996.0</v>
      </c>
      <c r="G628" s="2">
        <v>1.0</v>
      </c>
      <c r="H628" s="2">
        <v>0.0</v>
      </c>
      <c r="I628" s="2">
        <v>535000.0</v>
      </c>
      <c r="J628" s="2">
        <v>1.0</v>
      </c>
      <c r="K628" s="2">
        <v>7.0</v>
      </c>
      <c r="O628" s="2" t="s">
        <v>679</v>
      </c>
      <c r="P628" s="2" t="s">
        <v>166</v>
      </c>
      <c r="R628" s="2" t="s">
        <v>434</v>
      </c>
      <c r="S628" s="11">
        <v>42191.49978009259</v>
      </c>
    </row>
    <row r="629" ht="12.75" hidden="1" customHeight="1">
      <c r="A629" s="2" t="str">
        <f>IF(VLOOKUP(E629,Sheet4!$A$585:$B$786,2,0)=0,1, )</f>
        <v>1</v>
      </c>
      <c r="B629" s="2" t="str">
        <f t="shared" si="1"/>
        <v/>
      </c>
      <c r="C629" s="2" t="str">
        <f t="shared" si="2"/>
        <v>2000004026-996</v>
      </c>
      <c r="D629" s="2">
        <v>3.20054445E8</v>
      </c>
      <c r="E629" s="2">
        <v>2.000004026E9</v>
      </c>
      <c r="F629" s="2">
        <v>996.0</v>
      </c>
      <c r="G629" s="2">
        <v>1.0</v>
      </c>
      <c r="H629" s="2">
        <v>0.0</v>
      </c>
      <c r="I629" s="2">
        <v>535000.0</v>
      </c>
      <c r="J629" s="2">
        <v>1.0</v>
      </c>
      <c r="K629" s="2">
        <v>7.0</v>
      </c>
      <c r="O629" s="2" t="s">
        <v>679</v>
      </c>
      <c r="P629" s="2" t="s">
        <v>166</v>
      </c>
      <c r="R629" s="2" t="s">
        <v>434</v>
      </c>
      <c r="S629" s="11">
        <v>42191.49978009259</v>
      </c>
    </row>
    <row r="630" ht="12.75" hidden="1" customHeight="1">
      <c r="A630" s="2" t="str">
        <f>IF(VLOOKUP(E630,Sheet4!$A$585:$B$786,2,0)=0,1, )</f>
        <v>1</v>
      </c>
      <c r="B630" s="2" t="str">
        <f t="shared" si="1"/>
        <v>1</v>
      </c>
      <c r="C630" s="2" t="str">
        <f t="shared" si="2"/>
        <v>2000004026-6600</v>
      </c>
      <c r="D630" s="2">
        <v>3.20054442E8</v>
      </c>
      <c r="E630" s="2">
        <v>2.000004026E9</v>
      </c>
      <c r="F630" s="2">
        <v>6600.0</v>
      </c>
      <c r="G630" s="2">
        <v>1.0</v>
      </c>
      <c r="H630" s="2">
        <v>0.0</v>
      </c>
      <c r="I630" s="2">
        <v>150000.0</v>
      </c>
      <c r="J630" s="2">
        <v>1.0</v>
      </c>
      <c r="K630" s="2">
        <v>7.0</v>
      </c>
      <c r="O630" s="2" t="s">
        <v>681</v>
      </c>
      <c r="P630" s="2" t="s">
        <v>166</v>
      </c>
      <c r="R630" s="2" t="s">
        <v>434</v>
      </c>
      <c r="S630" s="11">
        <v>42191.49978009259</v>
      </c>
    </row>
    <row r="631" ht="12.75" hidden="1" customHeight="1">
      <c r="A631" s="2" t="str">
        <f>IF(VLOOKUP(E631,Sheet4!$A$585:$B$786,2,0)=0,1, )</f>
        <v>1</v>
      </c>
      <c r="B631" s="2" t="str">
        <f t="shared" si="1"/>
        <v/>
      </c>
      <c r="C631" s="2" t="str">
        <f t="shared" si="2"/>
        <v>2000004026-6600</v>
      </c>
      <c r="D631" s="2">
        <v>3.20054443E8</v>
      </c>
      <c r="E631" s="2">
        <v>2.000004026E9</v>
      </c>
      <c r="F631" s="2">
        <v>6600.0</v>
      </c>
      <c r="G631" s="2">
        <v>1.0</v>
      </c>
      <c r="H631" s="2">
        <v>0.0</v>
      </c>
      <c r="I631" s="2">
        <v>150000.0</v>
      </c>
      <c r="J631" s="2">
        <v>1.0</v>
      </c>
      <c r="K631" s="2">
        <v>7.0</v>
      </c>
      <c r="O631" s="2" t="s">
        <v>681</v>
      </c>
      <c r="P631" s="2" t="s">
        <v>166</v>
      </c>
      <c r="R631" s="2" t="s">
        <v>434</v>
      </c>
      <c r="S631" s="11">
        <v>42191.49978009259</v>
      </c>
    </row>
    <row r="632" ht="12.75" hidden="1" customHeight="1">
      <c r="A632" s="2" t="str">
        <f>IF(VLOOKUP(E632,Sheet4!$A$585:$B$786,2,0)=0,1, )</f>
        <v>1</v>
      </c>
      <c r="B632" s="2" t="str">
        <f t="shared" si="1"/>
        <v>1</v>
      </c>
      <c r="C632" s="2" t="str">
        <f t="shared" si="2"/>
        <v>2000004027-9728</v>
      </c>
      <c r="D632" s="2">
        <v>3.20054447E8</v>
      </c>
      <c r="E632" s="2">
        <v>2.000004027E9</v>
      </c>
      <c r="F632" s="2">
        <v>9728.0</v>
      </c>
      <c r="G632" s="2">
        <v>1.0</v>
      </c>
      <c r="H632" s="2">
        <v>0.0</v>
      </c>
      <c r="I632" s="2">
        <v>257000.0</v>
      </c>
      <c r="J632" s="2">
        <v>1.0</v>
      </c>
      <c r="K632" s="2">
        <v>7.0</v>
      </c>
      <c r="O632" s="2" t="s">
        <v>683</v>
      </c>
      <c r="P632" s="2" t="s">
        <v>166</v>
      </c>
      <c r="R632" s="2" t="s">
        <v>434</v>
      </c>
      <c r="S632" s="11">
        <v>42191.49979166667</v>
      </c>
    </row>
    <row r="633" ht="12.75" hidden="1" customHeight="1">
      <c r="A633" s="2" t="str">
        <f>IF(VLOOKUP(E633,Sheet4!$A$585:$B$786,2,0)=0,1, )</f>
        <v>1</v>
      </c>
      <c r="B633" s="2" t="str">
        <f t="shared" si="1"/>
        <v/>
      </c>
      <c r="C633" s="2" t="str">
        <f t="shared" si="2"/>
        <v>2000004027-9728</v>
      </c>
      <c r="D633" s="2">
        <v>3.20054446E8</v>
      </c>
      <c r="E633" s="2">
        <v>2.000004027E9</v>
      </c>
      <c r="F633" s="2">
        <v>9728.0</v>
      </c>
      <c r="G633" s="2">
        <v>1.0</v>
      </c>
      <c r="H633" s="2">
        <v>0.0</v>
      </c>
      <c r="I633" s="2">
        <v>257000.0</v>
      </c>
      <c r="J633" s="2">
        <v>1.0</v>
      </c>
      <c r="K633" s="2">
        <v>7.0</v>
      </c>
      <c r="O633" s="2" t="s">
        <v>683</v>
      </c>
      <c r="P633" s="2" t="s">
        <v>166</v>
      </c>
      <c r="R633" s="2" t="s">
        <v>434</v>
      </c>
      <c r="S633" s="11">
        <v>42191.49979166667</v>
      </c>
    </row>
    <row r="634" ht="12.75" hidden="1" customHeight="1">
      <c r="A634" s="2" t="str">
        <f>IF(VLOOKUP(E634,Sheet4!$A$585:$B$786,2,0)=0,1, )</f>
        <v>1</v>
      </c>
      <c r="B634" s="2" t="str">
        <f t="shared" si="1"/>
        <v>1</v>
      </c>
      <c r="C634" s="2" t="str">
        <f t="shared" si="2"/>
        <v>2000004028-14000039</v>
      </c>
      <c r="D634" s="2">
        <v>3.20054448E8</v>
      </c>
      <c r="E634" s="2">
        <v>2.000004028E9</v>
      </c>
      <c r="F634" s="2">
        <v>1.4000039E7</v>
      </c>
      <c r="G634" s="2">
        <v>1.0</v>
      </c>
      <c r="H634" s="2">
        <v>0.0</v>
      </c>
      <c r="I634" s="2">
        <v>288000.0</v>
      </c>
      <c r="J634" s="2">
        <v>1.0</v>
      </c>
      <c r="K634" s="2">
        <v>7.0</v>
      </c>
      <c r="O634" s="2" t="s">
        <v>451</v>
      </c>
      <c r="P634" s="2" t="s">
        <v>166</v>
      </c>
      <c r="R634" s="2" t="s">
        <v>434</v>
      </c>
      <c r="S634" s="11">
        <v>42191.49979166667</v>
      </c>
    </row>
    <row r="635" ht="12.75" hidden="1" customHeight="1">
      <c r="A635" s="2" t="str">
        <f>IF(VLOOKUP(E635,Sheet4!$A$585:$B$786,2,0)=0,1, )</f>
        <v>1</v>
      </c>
      <c r="B635" s="2" t="str">
        <f t="shared" si="1"/>
        <v/>
      </c>
      <c r="C635" s="2" t="str">
        <f t="shared" si="2"/>
        <v>2000004028-14000039</v>
      </c>
      <c r="D635" s="2">
        <v>3.20054449E8</v>
      </c>
      <c r="E635" s="2">
        <v>2.000004028E9</v>
      </c>
      <c r="F635" s="2">
        <v>1.4000039E7</v>
      </c>
      <c r="G635" s="2">
        <v>1.0</v>
      </c>
      <c r="H635" s="2">
        <v>0.0</v>
      </c>
      <c r="I635" s="2">
        <v>288000.0</v>
      </c>
      <c r="J635" s="2">
        <v>1.0</v>
      </c>
      <c r="K635" s="2">
        <v>7.0</v>
      </c>
      <c r="O635" s="2" t="s">
        <v>451</v>
      </c>
      <c r="P635" s="2" t="s">
        <v>166</v>
      </c>
      <c r="R635" s="2" t="s">
        <v>434</v>
      </c>
      <c r="S635" s="11">
        <v>42191.49979166667</v>
      </c>
    </row>
    <row r="636" ht="12.75" hidden="1" customHeight="1">
      <c r="A636" s="2" t="str">
        <f>IF(VLOOKUP(E636,Sheet4!$A$585:$B$786,2,0)=0,1, )</f>
        <v>1</v>
      </c>
      <c r="B636" s="2" t="str">
        <f t="shared" si="1"/>
        <v>1</v>
      </c>
      <c r="C636" s="2" t="str">
        <f t="shared" si="2"/>
        <v>2000004029-8513</v>
      </c>
      <c r="D636" s="2">
        <v>3.2005445E8</v>
      </c>
      <c r="E636" s="2">
        <v>2.000004029E9</v>
      </c>
      <c r="F636" s="2">
        <v>8513.0</v>
      </c>
      <c r="G636" s="2">
        <v>1.0</v>
      </c>
      <c r="H636" s="2">
        <v>0.0</v>
      </c>
      <c r="I636" s="2">
        <v>535000.0</v>
      </c>
      <c r="J636" s="2">
        <v>1.0</v>
      </c>
      <c r="K636" s="2">
        <v>7.0</v>
      </c>
      <c r="O636" s="2" t="s">
        <v>596</v>
      </c>
      <c r="P636" s="2" t="s">
        <v>166</v>
      </c>
      <c r="R636" s="2" t="s">
        <v>434</v>
      </c>
      <c r="S636" s="11">
        <v>42191.49980324074</v>
      </c>
    </row>
    <row r="637" ht="12.75" hidden="1" customHeight="1">
      <c r="A637" s="2" t="str">
        <f>IF(VLOOKUP(E637,Sheet4!$A$585:$B$786,2,0)=0,1, )</f>
        <v>1</v>
      </c>
      <c r="B637" s="2" t="str">
        <f t="shared" si="1"/>
        <v/>
      </c>
      <c r="C637" s="2" t="str">
        <f t="shared" si="2"/>
        <v>2000004029-8513</v>
      </c>
      <c r="D637" s="2">
        <v>3.20054451E8</v>
      </c>
      <c r="E637" s="2">
        <v>2.000004029E9</v>
      </c>
      <c r="F637" s="2">
        <v>8513.0</v>
      </c>
      <c r="G637" s="2">
        <v>1.0</v>
      </c>
      <c r="H637" s="2">
        <v>0.0</v>
      </c>
      <c r="I637" s="2">
        <v>535000.0</v>
      </c>
      <c r="J637" s="2">
        <v>1.0</v>
      </c>
      <c r="K637" s="2">
        <v>7.0</v>
      </c>
      <c r="O637" s="2" t="s">
        <v>596</v>
      </c>
      <c r="P637" s="2" t="s">
        <v>166</v>
      </c>
      <c r="R637" s="2" t="s">
        <v>434</v>
      </c>
      <c r="S637" s="11">
        <v>42191.499814814815</v>
      </c>
    </row>
    <row r="638" ht="12.75" hidden="1" customHeight="1">
      <c r="A638" s="2" t="str">
        <f>IF(VLOOKUP(E638,Sheet4!$A$585:$B$786,2,0)=0,1, )</f>
        <v>1</v>
      </c>
      <c r="B638" s="2" t="str">
        <f t="shared" si="1"/>
        <v>1</v>
      </c>
      <c r="C638" s="2" t="str">
        <f t="shared" si="2"/>
        <v>2000004030-14437</v>
      </c>
      <c r="D638" s="2">
        <v>3.20054453E8</v>
      </c>
      <c r="E638" s="2">
        <v>2.00000403E9</v>
      </c>
      <c r="F638" s="2">
        <v>14437.0</v>
      </c>
      <c r="G638" s="2">
        <v>1.0</v>
      </c>
      <c r="H638" s="2">
        <v>0.0</v>
      </c>
      <c r="I638" s="2">
        <v>470000.0</v>
      </c>
      <c r="J638" s="2">
        <v>1.0</v>
      </c>
      <c r="K638" s="2">
        <v>7.0</v>
      </c>
      <c r="O638" s="2" t="s">
        <v>687</v>
      </c>
      <c r="P638" s="2" t="s">
        <v>166</v>
      </c>
      <c r="R638" s="2" t="s">
        <v>434</v>
      </c>
      <c r="S638" s="11">
        <v>42191.49983796296</v>
      </c>
    </row>
    <row r="639" ht="12.75" hidden="1" customHeight="1">
      <c r="A639" s="2" t="str">
        <f>IF(VLOOKUP(E639,Sheet4!$A$585:$B$786,2,0)=0,1, )</f>
        <v>1</v>
      </c>
      <c r="B639" s="2" t="str">
        <f t="shared" si="1"/>
        <v/>
      </c>
      <c r="C639" s="2" t="str">
        <f t="shared" si="2"/>
        <v>2000004030-14437</v>
      </c>
      <c r="D639" s="2">
        <v>3.20054452E8</v>
      </c>
      <c r="E639" s="2">
        <v>2.00000403E9</v>
      </c>
      <c r="F639" s="2">
        <v>14437.0</v>
      </c>
      <c r="G639" s="2">
        <v>1.0</v>
      </c>
      <c r="H639" s="2">
        <v>0.0</v>
      </c>
      <c r="I639" s="2">
        <v>470000.0</v>
      </c>
      <c r="J639" s="2">
        <v>1.0</v>
      </c>
      <c r="K639" s="2">
        <v>7.0</v>
      </c>
      <c r="O639" s="2" t="s">
        <v>687</v>
      </c>
      <c r="P639" s="2" t="s">
        <v>166</v>
      </c>
      <c r="R639" s="2" t="s">
        <v>434</v>
      </c>
      <c r="S639" s="11">
        <v>42191.49983796296</v>
      </c>
    </row>
    <row r="640" ht="12.75" hidden="1" customHeight="1">
      <c r="A640" s="2" t="str">
        <f>IF(VLOOKUP(E640,Sheet4!$A$585:$B$786,2,0)=0,1, )</f>
        <v>1</v>
      </c>
      <c r="B640" s="2" t="str">
        <f t="shared" si="1"/>
        <v>1</v>
      </c>
      <c r="C640" s="2" t="str">
        <f t="shared" si="2"/>
        <v>2000004030-15211</v>
      </c>
      <c r="D640" s="2">
        <v>3.20054454E8</v>
      </c>
      <c r="E640" s="2">
        <v>2.00000403E9</v>
      </c>
      <c r="F640" s="2">
        <v>15211.0</v>
      </c>
      <c r="G640" s="2">
        <v>1.0</v>
      </c>
      <c r="H640" s="2">
        <v>0.0</v>
      </c>
      <c r="I640" s="2">
        <v>560000.0</v>
      </c>
      <c r="J640" s="2">
        <v>1.0</v>
      </c>
      <c r="K640" s="2">
        <v>7.0</v>
      </c>
      <c r="O640" s="2" t="s">
        <v>689</v>
      </c>
      <c r="P640" s="2" t="s">
        <v>166</v>
      </c>
      <c r="R640" s="2" t="s">
        <v>434</v>
      </c>
      <c r="S640" s="11">
        <v>42191.49983796296</v>
      </c>
    </row>
    <row r="641" ht="12.75" hidden="1" customHeight="1">
      <c r="A641" s="2" t="str">
        <f>IF(VLOOKUP(E641,Sheet4!$A$585:$B$786,2,0)=0,1, )</f>
        <v>1</v>
      </c>
      <c r="B641" s="2" t="str">
        <f t="shared" si="1"/>
        <v/>
      </c>
      <c r="C641" s="2" t="str">
        <f t="shared" si="2"/>
        <v>2000004030-15211</v>
      </c>
      <c r="D641" s="2">
        <v>3.20054455E8</v>
      </c>
      <c r="E641" s="2">
        <v>2.00000403E9</v>
      </c>
      <c r="F641" s="2">
        <v>15211.0</v>
      </c>
      <c r="G641" s="2">
        <v>1.0</v>
      </c>
      <c r="H641" s="2">
        <v>0.0</v>
      </c>
      <c r="I641" s="2">
        <v>560000.0</v>
      </c>
      <c r="J641" s="2">
        <v>1.0</v>
      </c>
      <c r="K641" s="2">
        <v>7.0</v>
      </c>
      <c r="O641" s="2" t="s">
        <v>689</v>
      </c>
      <c r="P641" s="2" t="s">
        <v>166</v>
      </c>
      <c r="R641" s="2" t="s">
        <v>434</v>
      </c>
      <c r="S641" s="11">
        <v>42191.49983796296</v>
      </c>
    </row>
    <row r="642" ht="12.75" hidden="1" customHeight="1">
      <c r="A642" s="2" t="str">
        <f>IF(VLOOKUP(E642,Sheet4!$A$585:$B$786,2,0)=0,1, )</f>
        <v>1</v>
      </c>
      <c r="B642" s="2" t="str">
        <f t="shared" si="1"/>
        <v>1</v>
      </c>
      <c r="C642" s="2" t="str">
        <f t="shared" si="2"/>
        <v>2000004031-3259</v>
      </c>
      <c r="D642" s="2">
        <v>3.20054468E8</v>
      </c>
      <c r="E642" s="2">
        <v>2.000004031E9</v>
      </c>
      <c r="F642" s="2">
        <v>3259.0</v>
      </c>
      <c r="G642" s="2">
        <v>1.0</v>
      </c>
      <c r="H642" s="2">
        <v>5800.0</v>
      </c>
      <c r="I642" s="2">
        <v>58000.0</v>
      </c>
      <c r="J642" s="2">
        <v>1.0</v>
      </c>
      <c r="K642" s="2">
        <v>7.0</v>
      </c>
      <c r="O642" s="2" t="s">
        <v>691</v>
      </c>
      <c r="P642" s="2" t="s">
        <v>166</v>
      </c>
      <c r="R642" s="2" t="s">
        <v>434</v>
      </c>
      <c r="S642" s="11">
        <v>42191.49986111111</v>
      </c>
    </row>
    <row r="643" ht="12.75" hidden="1" customHeight="1">
      <c r="A643" s="2" t="str">
        <f>IF(VLOOKUP(E643,Sheet4!$A$585:$B$786,2,0)=0,1, )</f>
        <v>1</v>
      </c>
      <c r="B643" s="2" t="str">
        <f t="shared" si="1"/>
        <v/>
      </c>
      <c r="C643" s="2" t="str">
        <f t="shared" si="2"/>
        <v>2000004031-3259</v>
      </c>
      <c r="D643" s="2">
        <v>3.20054469E8</v>
      </c>
      <c r="E643" s="2">
        <v>2.000004031E9</v>
      </c>
      <c r="F643" s="2">
        <v>3259.0</v>
      </c>
      <c r="G643" s="2">
        <v>1.0</v>
      </c>
      <c r="H643" s="2">
        <v>5800.0</v>
      </c>
      <c r="I643" s="2">
        <v>58000.0</v>
      </c>
      <c r="J643" s="2">
        <v>1.0</v>
      </c>
      <c r="K643" s="2">
        <v>7.0</v>
      </c>
      <c r="O643" s="2" t="s">
        <v>691</v>
      </c>
      <c r="P643" s="2" t="s">
        <v>166</v>
      </c>
      <c r="R643" s="2" t="s">
        <v>434</v>
      </c>
      <c r="S643" s="11">
        <v>42191.49986111111</v>
      </c>
    </row>
    <row r="644" ht="12.75" hidden="1" customHeight="1">
      <c r="A644" s="2" t="str">
        <f>IF(VLOOKUP(E644,Sheet4!$A$585:$B$786,2,0)=0,1, )</f>
        <v>1</v>
      </c>
      <c r="B644" s="2" t="str">
        <f t="shared" si="1"/>
        <v>1</v>
      </c>
      <c r="C644" s="2" t="str">
        <f t="shared" si="2"/>
        <v>2000004031-3260</v>
      </c>
      <c r="D644" s="2">
        <v>3.20054467E8</v>
      </c>
      <c r="E644" s="2">
        <v>2.000004031E9</v>
      </c>
      <c r="F644" s="2">
        <v>3260.0</v>
      </c>
      <c r="G644" s="2">
        <v>1.0</v>
      </c>
      <c r="H644" s="2">
        <v>7400.0</v>
      </c>
      <c r="I644" s="2">
        <v>74000.0</v>
      </c>
      <c r="J644" s="2">
        <v>1.0</v>
      </c>
      <c r="K644" s="2">
        <v>7.0</v>
      </c>
      <c r="O644" s="2" t="s">
        <v>693</v>
      </c>
      <c r="P644" s="2" t="s">
        <v>166</v>
      </c>
      <c r="R644" s="2" t="s">
        <v>434</v>
      </c>
      <c r="S644" s="11">
        <v>42191.49986111111</v>
      </c>
    </row>
    <row r="645" ht="12.75" hidden="1" customHeight="1">
      <c r="A645" s="2" t="str">
        <f>IF(VLOOKUP(E645,Sheet4!$A$585:$B$786,2,0)=0,1, )</f>
        <v>1</v>
      </c>
      <c r="B645" s="2" t="str">
        <f t="shared" si="1"/>
        <v/>
      </c>
      <c r="C645" s="2" t="str">
        <f t="shared" si="2"/>
        <v>2000004031-3260</v>
      </c>
      <c r="D645" s="2">
        <v>3.20054466E8</v>
      </c>
      <c r="E645" s="2">
        <v>2.000004031E9</v>
      </c>
      <c r="F645" s="2">
        <v>3260.0</v>
      </c>
      <c r="G645" s="2">
        <v>1.0</v>
      </c>
      <c r="H645" s="2">
        <v>7400.0</v>
      </c>
      <c r="I645" s="2">
        <v>74000.0</v>
      </c>
      <c r="J645" s="2">
        <v>1.0</v>
      </c>
      <c r="K645" s="2">
        <v>7.0</v>
      </c>
      <c r="O645" s="2" t="s">
        <v>693</v>
      </c>
      <c r="P645" s="2" t="s">
        <v>166</v>
      </c>
      <c r="R645" s="2" t="s">
        <v>434</v>
      </c>
      <c r="S645" s="11">
        <v>42191.49986111111</v>
      </c>
    </row>
    <row r="646" ht="12.75" hidden="1" customHeight="1">
      <c r="A646" s="2" t="str">
        <f>IF(VLOOKUP(E646,Sheet4!$A$585:$B$786,2,0)=0,1, )</f>
        <v>1</v>
      </c>
      <c r="B646" s="2" t="str">
        <f t="shared" si="1"/>
        <v>1</v>
      </c>
      <c r="C646" s="2" t="str">
        <f t="shared" si="2"/>
        <v>2000004031-7004</v>
      </c>
      <c r="D646" s="2">
        <v>3.20054456E8</v>
      </c>
      <c r="E646" s="2">
        <v>2.000004031E9</v>
      </c>
      <c r="F646" s="2">
        <v>7004.0</v>
      </c>
      <c r="G646" s="2">
        <v>1.0</v>
      </c>
      <c r="H646" s="2">
        <v>33500.0</v>
      </c>
      <c r="I646" s="2">
        <v>335000.0</v>
      </c>
      <c r="J646" s="2">
        <v>1.0</v>
      </c>
      <c r="K646" s="2">
        <v>7.0</v>
      </c>
      <c r="O646" s="2" t="s">
        <v>436</v>
      </c>
      <c r="P646" s="2" t="s">
        <v>166</v>
      </c>
      <c r="R646" s="2" t="s">
        <v>434</v>
      </c>
      <c r="S646" s="11">
        <v>42191.49984953704</v>
      </c>
    </row>
    <row r="647" ht="12.75" hidden="1" customHeight="1">
      <c r="A647" s="2" t="str">
        <f>IF(VLOOKUP(E647,Sheet4!$A$585:$B$786,2,0)=0,1, )</f>
        <v>1</v>
      </c>
      <c r="B647" s="2" t="str">
        <f t="shared" si="1"/>
        <v/>
      </c>
      <c r="C647" s="2" t="str">
        <f t="shared" si="2"/>
        <v>2000004031-7004</v>
      </c>
      <c r="D647" s="2">
        <v>3.20054457E8</v>
      </c>
      <c r="E647" s="2">
        <v>2.000004031E9</v>
      </c>
      <c r="F647" s="2">
        <v>7004.0</v>
      </c>
      <c r="G647" s="2">
        <v>1.0</v>
      </c>
      <c r="H647" s="2">
        <v>33500.0</v>
      </c>
      <c r="I647" s="2">
        <v>335000.0</v>
      </c>
      <c r="J647" s="2">
        <v>1.0</v>
      </c>
      <c r="K647" s="2">
        <v>7.0</v>
      </c>
      <c r="O647" s="2" t="s">
        <v>436</v>
      </c>
      <c r="P647" s="2" t="s">
        <v>166</v>
      </c>
      <c r="R647" s="2" t="s">
        <v>434</v>
      </c>
      <c r="S647" s="11">
        <v>42191.49984953704</v>
      </c>
    </row>
    <row r="648" ht="12.75" hidden="1" customHeight="1">
      <c r="A648" s="2" t="str">
        <f>IF(VLOOKUP(E648,Sheet4!$A$585:$B$786,2,0)=0,1, )</f>
        <v>1</v>
      </c>
      <c r="B648" s="2" t="str">
        <f t="shared" si="1"/>
        <v>1</v>
      </c>
      <c r="C648" s="2" t="str">
        <f t="shared" si="2"/>
        <v>2000004031-8509</v>
      </c>
      <c r="D648" s="2">
        <v>3.2005447E8</v>
      </c>
      <c r="E648" s="2">
        <v>2.000004031E9</v>
      </c>
      <c r="F648" s="2">
        <v>8509.0</v>
      </c>
      <c r="G648" s="2">
        <v>1.0</v>
      </c>
      <c r="H648" s="2">
        <v>37500.0</v>
      </c>
      <c r="I648" s="2">
        <v>375000.0</v>
      </c>
      <c r="J648" s="2">
        <v>1.0</v>
      </c>
      <c r="K648" s="2">
        <v>7.0</v>
      </c>
      <c r="O648" s="2" t="s">
        <v>484</v>
      </c>
      <c r="P648" s="2" t="s">
        <v>166</v>
      </c>
      <c r="R648" s="2" t="s">
        <v>434</v>
      </c>
      <c r="S648" s="11">
        <v>42191.49986111111</v>
      </c>
    </row>
    <row r="649" ht="12.75" hidden="1" customHeight="1">
      <c r="A649" s="2" t="str">
        <f>IF(VLOOKUP(E649,Sheet4!$A$585:$B$786,2,0)=0,1, )</f>
        <v>1</v>
      </c>
      <c r="B649" s="2" t="str">
        <f t="shared" si="1"/>
        <v/>
      </c>
      <c r="C649" s="2" t="str">
        <f t="shared" si="2"/>
        <v>2000004031-8509</v>
      </c>
      <c r="D649" s="2">
        <v>3.20054471E8</v>
      </c>
      <c r="E649" s="2">
        <v>2.000004031E9</v>
      </c>
      <c r="F649" s="2">
        <v>8509.0</v>
      </c>
      <c r="G649" s="2">
        <v>1.0</v>
      </c>
      <c r="H649" s="2">
        <v>37500.0</v>
      </c>
      <c r="I649" s="2">
        <v>375000.0</v>
      </c>
      <c r="J649" s="2">
        <v>1.0</v>
      </c>
      <c r="K649" s="2">
        <v>7.0</v>
      </c>
      <c r="O649" s="2" t="s">
        <v>484</v>
      </c>
      <c r="P649" s="2" t="s">
        <v>166</v>
      </c>
      <c r="R649" s="2" t="s">
        <v>434</v>
      </c>
      <c r="S649" s="11">
        <v>42191.49986111111</v>
      </c>
    </row>
    <row r="650" ht="12.75" hidden="1" customHeight="1">
      <c r="A650" s="2" t="str">
        <f>IF(VLOOKUP(E650,Sheet4!$A$585:$B$786,2,0)=0,1, )</f>
        <v>1</v>
      </c>
      <c r="B650" s="2" t="str">
        <f t="shared" si="1"/>
        <v>1</v>
      </c>
      <c r="C650" s="2" t="str">
        <f t="shared" si="2"/>
        <v>2000004031-8516</v>
      </c>
      <c r="D650" s="2">
        <v>3.20054459E8</v>
      </c>
      <c r="E650" s="2">
        <v>2.000004031E9</v>
      </c>
      <c r="F650" s="2">
        <v>8516.0</v>
      </c>
      <c r="G650" s="2">
        <v>1.0</v>
      </c>
      <c r="H650" s="2">
        <v>67500.0</v>
      </c>
      <c r="I650" s="2">
        <v>675000.0</v>
      </c>
      <c r="J650" s="2">
        <v>1.0</v>
      </c>
      <c r="K650" s="2">
        <v>7.0</v>
      </c>
      <c r="O650" s="2" t="s">
        <v>599</v>
      </c>
      <c r="P650" s="2" t="s">
        <v>166</v>
      </c>
      <c r="R650" s="2" t="s">
        <v>434</v>
      </c>
      <c r="S650" s="11">
        <v>42191.49984953704</v>
      </c>
    </row>
    <row r="651" ht="12.75" hidden="1" customHeight="1">
      <c r="A651" s="2" t="str">
        <f>IF(VLOOKUP(E651,Sheet4!$A$585:$B$786,2,0)=0,1, )</f>
        <v>1</v>
      </c>
      <c r="B651" s="2" t="str">
        <f t="shared" si="1"/>
        <v/>
      </c>
      <c r="C651" s="2" t="str">
        <f t="shared" si="2"/>
        <v>2000004031-8516</v>
      </c>
      <c r="D651" s="2">
        <v>3.20054458E8</v>
      </c>
      <c r="E651" s="2">
        <v>2.000004031E9</v>
      </c>
      <c r="F651" s="2">
        <v>8516.0</v>
      </c>
      <c r="G651" s="2">
        <v>1.0</v>
      </c>
      <c r="H651" s="2">
        <v>67500.0</v>
      </c>
      <c r="I651" s="2">
        <v>675000.0</v>
      </c>
      <c r="J651" s="2">
        <v>1.0</v>
      </c>
      <c r="K651" s="2">
        <v>7.0</v>
      </c>
      <c r="O651" s="2" t="s">
        <v>599</v>
      </c>
      <c r="P651" s="2" t="s">
        <v>166</v>
      </c>
      <c r="R651" s="2" t="s">
        <v>434</v>
      </c>
      <c r="S651" s="11">
        <v>42191.49984953704</v>
      </c>
    </row>
    <row r="652" ht="12.75" hidden="1" customHeight="1">
      <c r="A652" s="2" t="str">
        <f>IF(VLOOKUP(E652,Sheet4!$A$585:$B$786,2,0)=0,1, )</f>
        <v>1</v>
      </c>
      <c r="B652" s="2" t="str">
        <f t="shared" si="1"/>
        <v>1</v>
      </c>
      <c r="C652" s="2" t="str">
        <f t="shared" si="2"/>
        <v>2000004031-14114</v>
      </c>
      <c r="D652" s="2">
        <v>3.20054464E8</v>
      </c>
      <c r="E652" s="2">
        <v>2.000004031E9</v>
      </c>
      <c r="F652" s="2">
        <v>14114.0</v>
      </c>
      <c r="G652" s="2">
        <v>1.0</v>
      </c>
      <c r="H652" s="2">
        <v>25500.0</v>
      </c>
      <c r="I652" s="2">
        <v>255000.0</v>
      </c>
      <c r="J652" s="2">
        <v>1.0</v>
      </c>
      <c r="K652" s="2">
        <v>7.0</v>
      </c>
      <c r="O652" s="2" t="s">
        <v>663</v>
      </c>
      <c r="P652" s="2" t="s">
        <v>166</v>
      </c>
      <c r="R652" s="2" t="s">
        <v>434</v>
      </c>
      <c r="S652" s="11">
        <v>42191.49984953704</v>
      </c>
    </row>
    <row r="653" ht="12.75" hidden="1" customHeight="1">
      <c r="A653" s="2" t="str">
        <f>IF(VLOOKUP(E653,Sheet4!$A$585:$B$786,2,0)=0,1, )</f>
        <v>1</v>
      </c>
      <c r="B653" s="2" t="str">
        <f t="shared" si="1"/>
        <v/>
      </c>
      <c r="C653" s="2" t="str">
        <f t="shared" si="2"/>
        <v>2000004031-14114</v>
      </c>
      <c r="D653" s="2">
        <v>3.20054465E8</v>
      </c>
      <c r="E653" s="2">
        <v>2.000004031E9</v>
      </c>
      <c r="F653" s="2">
        <v>14114.0</v>
      </c>
      <c r="G653" s="2">
        <v>1.0</v>
      </c>
      <c r="H653" s="2">
        <v>25500.0</v>
      </c>
      <c r="I653" s="2">
        <v>255000.0</v>
      </c>
      <c r="J653" s="2">
        <v>1.0</v>
      </c>
      <c r="K653" s="2">
        <v>7.0</v>
      </c>
      <c r="O653" s="2" t="s">
        <v>663</v>
      </c>
      <c r="P653" s="2" t="s">
        <v>166</v>
      </c>
      <c r="R653" s="2" t="s">
        <v>434</v>
      </c>
      <c r="S653" s="11">
        <v>42191.49986111111</v>
      </c>
    </row>
    <row r="654" ht="12.75" hidden="1" customHeight="1">
      <c r="A654" s="2" t="str">
        <f>IF(VLOOKUP(E654,Sheet4!$A$585:$B$786,2,0)=0,1, )</f>
        <v>1</v>
      </c>
      <c r="B654" s="2" t="str">
        <f t="shared" si="1"/>
        <v>1</v>
      </c>
      <c r="C654" s="2" t="str">
        <f t="shared" si="2"/>
        <v>2000004031-15211</v>
      </c>
      <c r="D654" s="2">
        <v>3.20054463E8</v>
      </c>
      <c r="E654" s="2">
        <v>2.000004031E9</v>
      </c>
      <c r="F654" s="2">
        <v>15211.0</v>
      </c>
      <c r="G654" s="2">
        <v>1.0</v>
      </c>
      <c r="H654" s="2">
        <v>56000.0</v>
      </c>
      <c r="I654" s="2">
        <v>560000.0</v>
      </c>
      <c r="J654" s="2">
        <v>1.0</v>
      </c>
      <c r="K654" s="2">
        <v>7.0</v>
      </c>
      <c r="O654" s="2" t="s">
        <v>689</v>
      </c>
      <c r="P654" s="2" t="s">
        <v>166</v>
      </c>
      <c r="R654" s="2" t="s">
        <v>434</v>
      </c>
      <c r="S654" s="11">
        <v>42191.49984953704</v>
      </c>
    </row>
    <row r="655" ht="12.75" hidden="1" customHeight="1">
      <c r="A655" s="2" t="str">
        <f>IF(VLOOKUP(E655,Sheet4!$A$585:$B$786,2,0)=0,1, )</f>
        <v>1</v>
      </c>
      <c r="B655" s="2" t="str">
        <f t="shared" si="1"/>
        <v/>
      </c>
      <c r="C655" s="2" t="str">
        <f t="shared" si="2"/>
        <v>2000004031-15211</v>
      </c>
      <c r="D655" s="2">
        <v>3.20054462E8</v>
      </c>
      <c r="E655" s="2">
        <v>2.000004031E9</v>
      </c>
      <c r="F655" s="2">
        <v>15211.0</v>
      </c>
      <c r="G655" s="2">
        <v>1.0</v>
      </c>
      <c r="H655" s="2">
        <v>56000.0</v>
      </c>
      <c r="I655" s="2">
        <v>560000.0</v>
      </c>
      <c r="J655" s="2">
        <v>1.0</v>
      </c>
      <c r="K655" s="2">
        <v>7.0</v>
      </c>
      <c r="O655" s="2" t="s">
        <v>689</v>
      </c>
      <c r="P655" s="2" t="s">
        <v>166</v>
      </c>
      <c r="R655" s="2" t="s">
        <v>434</v>
      </c>
      <c r="S655" s="11">
        <v>42191.49984953704</v>
      </c>
    </row>
    <row r="656" ht="12.75" hidden="1" customHeight="1">
      <c r="A656" s="2" t="str">
        <f>IF(VLOOKUP(E656,Sheet4!$A$585:$B$786,2,0)=0,1, )</f>
        <v>1</v>
      </c>
      <c r="B656" s="2" t="str">
        <f t="shared" si="1"/>
        <v>1</v>
      </c>
      <c r="C656" s="2" t="str">
        <f t="shared" si="2"/>
        <v>2000004031-15982</v>
      </c>
      <c r="D656" s="2">
        <v>3.20054461E8</v>
      </c>
      <c r="E656" s="2">
        <v>2.000004031E9</v>
      </c>
      <c r="F656" s="2">
        <v>15982.0</v>
      </c>
      <c r="G656" s="2">
        <v>1.0</v>
      </c>
      <c r="H656" s="2">
        <v>56000.0</v>
      </c>
      <c r="I656" s="2">
        <v>560000.0</v>
      </c>
      <c r="J656" s="2">
        <v>1.0</v>
      </c>
      <c r="K656" s="2">
        <v>7.0</v>
      </c>
      <c r="O656" s="2" t="s">
        <v>654</v>
      </c>
      <c r="P656" s="2" t="s">
        <v>166</v>
      </c>
      <c r="R656" s="2" t="s">
        <v>434</v>
      </c>
      <c r="S656" s="11">
        <v>42191.49984953704</v>
      </c>
    </row>
    <row r="657" ht="12.75" hidden="1" customHeight="1">
      <c r="A657" s="2" t="str">
        <f>IF(VLOOKUP(E657,Sheet4!$A$585:$B$786,2,0)=0,1, )</f>
        <v>1</v>
      </c>
      <c r="B657" s="2" t="str">
        <f t="shared" si="1"/>
        <v/>
      </c>
      <c r="C657" s="2" t="str">
        <f t="shared" si="2"/>
        <v>2000004031-15982</v>
      </c>
      <c r="D657" s="2">
        <v>3.2005446E8</v>
      </c>
      <c r="E657" s="2">
        <v>2.000004031E9</v>
      </c>
      <c r="F657" s="2">
        <v>15982.0</v>
      </c>
      <c r="G657" s="2">
        <v>1.0</v>
      </c>
      <c r="H657" s="2">
        <v>56000.0</v>
      </c>
      <c r="I657" s="2">
        <v>560000.0</v>
      </c>
      <c r="J657" s="2">
        <v>1.0</v>
      </c>
      <c r="K657" s="2">
        <v>7.0</v>
      </c>
      <c r="O657" s="2" t="s">
        <v>654</v>
      </c>
      <c r="P657" s="2" t="s">
        <v>166</v>
      </c>
      <c r="R657" s="2" t="s">
        <v>434</v>
      </c>
      <c r="S657" s="11">
        <v>42191.49984953704</v>
      </c>
    </row>
    <row r="658" ht="12.75" hidden="1" customHeight="1">
      <c r="A658" s="2" t="str">
        <f>IF(VLOOKUP(E658,Sheet4!$A$585:$B$786,2,0)=0,1, )</f>
        <v>1</v>
      </c>
      <c r="B658" s="2" t="str">
        <f t="shared" si="1"/>
        <v>1</v>
      </c>
      <c r="C658" s="2" t="str">
        <f t="shared" si="2"/>
        <v>2000004032-8592</v>
      </c>
      <c r="D658" s="2">
        <v>3.20054472E8</v>
      </c>
      <c r="E658" s="2">
        <v>2.000004032E9</v>
      </c>
      <c r="F658" s="2">
        <v>8592.0</v>
      </c>
      <c r="G658" s="2">
        <v>1.0</v>
      </c>
      <c r="H658" s="2">
        <v>0.0</v>
      </c>
      <c r="I658" s="2">
        <v>329000.0</v>
      </c>
      <c r="J658" s="2">
        <v>1.0</v>
      </c>
      <c r="K658" s="2">
        <v>7.0</v>
      </c>
      <c r="O658" s="2" t="s">
        <v>701</v>
      </c>
      <c r="P658" s="2" t="s">
        <v>166</v>
      </c>
      <c r="R658" s="2" t="s">
        <v>434</v>
      </c>
      <c r="S658" s="11">
        <v>42191.49988425926</v>
      </c>
    </row>
    <row r="659" ht="12.75" hidden="1" customHeight="1">
      <c r="A659" s="2" t="str">
        <f>IF(VLOOKUP(E659,Sheet4!$A$585:$B$786,2,0)=0,1, )</f>
        <v>1</v>
      </c>
      <c r="B659" s="2" t="str">
        <f t="shared" si="1"/>
        <v/>
      </c>
      <c r="C659" s="2" t="str">
        <f t="shared" si="2"/>
        <v>2000004032-8592</v>
      </c>
      <c r="D659" s="2">
        <v>3.20054473E8</v>
      </c>
      <c r="E659" s="2">
        <v>2.000004032E9</v>
      </c>
      <c r="F659" s="2">
        <v>8592.0</v>
      </c>
      <c r="G659" s="2">
        <v>1.0</v>
      </c>
      <c r="H659" s="2">
        <v>0.0</v>
      </c>
      <c r="I659" s="2">
        <v>329000.0</v>
      </c>
      <c r="J659" s="2">
        <v>1.0</v>
      </c>
      <c r="K659" s="2">
        <v>7.0</v>
      </c>
      <c r="O659" s="2" t="s">
        <v>701</v>
      </c>
      <c r="P659" s="2" t="s">
        <v>166</v>
      </c>
      <c r="R659" s="2" t="s">
        <v>434</v>
      </c>
      <c r="S659" s="11">
        <v>42191.49988425926</v>
      </c>
    </row>
    <row r="660" ht="12.75" hidden="1" customHeight="1">
      <c r="A660" s="2" t="str">
        <f>IF(VLOOKUP(E660,Sheet4!$A$585:$B$786,2,0)=0,1, )</f>
        <v>1</v>
      </c>
      <c r="B660" s="2" t="str">
        <f t="shared" si="1"/>
        <v>1</v>
      </c>
      <c r="C660" s="2" t="str">
        <f t="shared" si="2"/>
        <v>2000004033-14436</v>
      </c>
      <c r="D660" s="2">
        <v>3.20054475E8</v>
      </c>
      <c r="E660" s="2">
        <v>2.000004033E9</v>
      </c>
      <c r="F660" s="2">
        <v>14436.0</v>
      </c>
      <c r="G660" s="2">
        <v>1.0</v>
      </c>
      <c r="H660" s="2">
        <v>0.0</v>
      </c>
      <c r="I660" s="2">
        <v>430000.0</v>
      </c>
      <c r="J660" s="2">
        <v>1.0</v>
      </c>
      <c r="K660" s="2">
        <v>7.0</v>
      </c>
      <c r="O660" s="2" t="s">
        <v>529</v>
      </c>
      <c r="P660" s="2" t="s">
        <v>166</v>
      </c>
      <c r="R660" s="2" t="s">
        <v>434</v>
      </c>
      <c r="S660" s="11">
        <v>42191.49989583333</v>
      </c>
    </row>
    <row r="661" ht="12.75" hidden="1" customHeight="1">
      <c r="A661" s="2" t="str">
        <f>IF(VLOOKUP(E661,Sheet4!$A$585:$B$786,2,0)=0,1, )</f>
        <v>1</v>
      </c>
      <c r="B661" s="2" t="str">
        <f t="shared" si="1"/>
        <v/>
      </c>
      <c r="C661" s="2" t="str">
        <f t="shared" si="2"/>
        <v>2000004033-14436</v>
      </c>
      <c r="D661" s="2">
        <v>3.20054474E8</v>
      </c>
      <c r="E661" s="2">
        <v>2.000004033E9</v>
      </c>
      <c r="F661" s="2">
        <v>14436.0</v>
      </c>
      <c r="G661" s="2">
        <v>1.0</v>
      </c>
      <c r="H661" s="2">
        <v>0.0</v>
      </c>
      <c r="I661" s="2">
        <v>430000.0</v>
      </c>
      <c r="J661" s="2">
        <v>1.0</v>
      </c>
      <c r="K661" s="2">
        <v>7.0</v>
      </c>
      <c r="O661" s="2" t="s">
        <v>529</v>
      </c>
      <c r="P661" s="2" t="s">
        <v>166</v>
      </c>
      <c r="R661" s="2" t="s">
        <v>434</v>
      </c>
      <c r="S661" s="11">
        <v>42191.49989583333</v>
      </c>
    </row>
    <row r="662" ht="12.75" hidden="1" customHeight="1">
      <c r="A662" s="2" t="str">
        <f>IF(VLOOKUP(E662,Sheet4!$A$585:$B$786,2,0)=0,1, )</f>
        <v>1</v>
      </c>
      <c r="B662" s="2" t="str">
        <f t="shared" si="1"/>
        <v>1</v>
      </c>
      <c r="C662" s="2" t="str">
        <f t="shared" si="2"/>
        <v>2000004036-6406</v>
      </c>
      <c r="D662" s="2">
        <v>3.20054532E8</v>
      </c>
      <c r="E662" s="2">
        <v>2.000004036E9</v>
      </c>
      <c r="F662" s="2">
        <v>6406.0</v>
      </c>
      <c r="G662" s="2">
        <v>1.0</v>
      </c>
      <c r="H662" s="2">
        <v>0.0</v>
      </c>
      <c r="I662" s="2">
        <v>145000.0</v>
      </c>
      <c r="J662" s="2">
        <v>1.0</v>
      </c>
      <c r="K662" s="2">
        <v>7.0</v>
      </c>
      <c r="O662" s="2" t="s">
        <v>704</v>
      </c>
      <c r="P662" s="2" t="s">
        <v>166</v>
      </c>
      <c r="R662" s="2" t="s">
        <v>434</v>
      </c>
      <c r="S662" s="11">
        <v>42191.64913194445</v>
      </c>
    </row>
    <row r="663" ht="12.75" hidden="1" customHeight="1">
      <c r="A663" s="2" t="str">
        <f>IF(VLOOKUP(E663,Sheet4!$A$585:$B$786,2,0)=0,1, )</f>
        <v>1</v>
      </c>
      <c r="B663" s="2" t="str">
        <f t="shared" si="1"/>
        <v/>
      </c>
      <c r="C663" s="2" t="str">
        <f t="shared" si="2"/>
        <v>2000004036-6406</v>
      </c>
      <c r="D663" s="2">
        <v>3.20054531E8</v>
      </c>
      <c r="E663" s="2">
        <v>2.000004036E9</v>
      </c>
      <c r="F663" s="2">
        <v>6406.0</v>
      </c>
      <c r="G663" s="2">
        <v>1.0</v>
      </c>
      <c r="H663" s="2">
        <v>0.0</v>
      </c>
      <c r="I663" s="2">
        <v>145000.0</v>
      </c>
      <c r="J663" s="2">
        <v>1.0</v>
      </c>
      <c r="K663" s="2">
        <v>7.0</v>
      </c>
      <c r="O663" s="2" t="s">
        <v>704</v>
      </c>
      <c r="P663" s="2" t="s">
        <v>166</v>
      </c>
      <c r="R663" s="2" t="s">
        <v>434</v>
      </c>
      <c r="S663" s="11">
        <v>42191.64912037037</v>
      </c>
    </row>
    <row r="664" ht="12.75" hidden="1" customHeight="1">
      <c r="A664" s="2" t="str">
        <f>IF(VLOOKUP(E664,Sheet4!$A$585:$B$786,2,0)=0,1, )</f>
        <v>1</v>
      </c>
      <c r="B664" s="2" t="str">
        <f t="shared" si="1"/>
        <v>1</v>
      </c>
      <c r="C664" s="2" t="str">
        <f t="shared" si="2"/>
        <v>2000004036-13041</v>
      </c>
      <c r="D664" s="2">
        <v>3.20054527E8</v>
      </c>
      <c r="E664" s="2">
        <v>2.000004036E9</v>
      </c>
      <c r="F664" s="2">
        <v>13041.0</v>
      </c>
      <c r="G664" s="2">
        <v>3.0</v>
      </c>
      <c r="H664" s="2">
        <v>0.0</v>
      </c>
      <c r="I664" s="2">
        <v>117000.0</v>
      </c>
      <c r="J664" s="2">
        <v>1.0</v>
      </c>
      <c r="K664" s="2">
        <v>7.0</v>
      </c>
      <c r="O664" s="2" t="s">
        <v>476</v>
      </c>
      <c r="P664" s="2" t="s">
        <v>166</v>
      </c>
      <c r="R664" s="2" t="s">
        <v>434</v>
      </c>
      <c r="S664" s="11">
        <v>42191.64912037037</v>
      </c>
    </row>
    <row r="665" ht="12.75" hidden="1" customHeight="1">
      <c r="A665" s="2" t="str">
        <f>IF(VLOOKUP(E665,Sheet4!$A$585:$B$786,2,0)=0,1, )</f>
        <v>1</v>
      </c>
      <c r="B665" s="2" t="str">
        <f t="shared" si="1"/>
        <v/>
      </c>
      <c r="C665" s="2" t="str">
        <f t="shared" si="2"/>
        <v>2000004036-13041</v>
      </c>
      <c r="D665" s="2">
        <v>3.20054528E8</v>
      </c>
      <c r="E665" s="2">
        <v>2.000004036E9</v>
      </c>
      <c r="F665" s="2">
        <v>13041.0</v>
      </c>
      <c r="G665" s="2">
        <v>3.0</v>
      </c>
      <c r="H665" s="2">
        <v>0.0</v>
      </c>
      <c r="I665" s="2">
        <v>117000.0</v>
      </c>
      <c r="J665" s="2">
        <v>1.0</v>
      </c>
      <c r="K665" s="2">
        <v>7.0</v>
      </c>
      <c r="O665" s="2" t="s">
        <v>476</v>
      </c>
      <c r="P665" s="2" t="s">
        <v>166</v>
      </c>
      <c r="R665" s="2" t="s">
        <v>434</v>
      </c>
      <c r="S665" s="11">
        <v>42191.64912037037</v>
      </c>
    </row>
    <row r="666" ht="12.75" hidden="1" customHeight="1">
      <c r="A666" s="2" t="str">
        <f>IF(VLOOKUP(E666,Sheet4!$A$585:$B$786,2,0)=0,1, )</f>
        <v>1</v>
      </c>
      <c r="B666" s="2" t="str">
        <f t="shared" si="1"/>
        <v>1</v>
      </c>
      <c r="C666" s="2" t="str">
        <f t="shared" si="2"/>
        <v>2000004036-13990</v>
      </c>
      <c r="D666" s="2">
        <v>3.20054529E8</v>
      </c>
      <c r="E666" s="2">
        <v>2.000004036E9</v>
      </c>
      <c r="F666" s="2">
        <v>13990.0</v>
      </c>
      <c r="G666" s="2">
        <v>1.0</v>
      </c>
      <c r="H666" s="2">
        <v>0.0</v>
      </c>
      <c r="I666" s="2">
        <v>530000.0</v>
      </c>
      <c r="J666" s="2">
        <v>1.0</v>
      </c>
      <c r="K666" s="2">
        <v>7.0</v>
      </c>
      <c r="O666" s="2" t="s">
        <v>707</v>
      </c>
      <c r="P666" s="2" t="s">
        <v>166</v>
      </c>
      <c r="R666" s="2" t="s">
        <v>434</v>
      </c>
      <c r="S666" s="11">
        <v>42191.64912037037</v>
      </c>
    </row>
    <row r="667" ht="12.75" hidden="1" customHeight="1">
      <c r="A667" s="2" t="str">
        <f>IF(VLOOKUP(E667,Sheet4!$A$585:$B$786,2,0)=0,1, )</f>
        <v>1</v>
      </c>
      <c r="B667" s="2" t="str">
        <f t="shared" si="1"/>
        <v/>
      </c>
      <c r="C667" s="2" t="str">
        <f t="shared" si="2"/>
        <v>2000004036-13990</v>
      </c>
      <c r="D667" s="2">
        <v>3.2005453E8</v>
      </c>
      <c r="E667" s="2">
        <v>2.000004036E9</v>
      </c>
      <c r="F667" s="2">
        <v>13990.0</v>
      </c>
      <c r="G667" s="2">
        <v>1.0</v>
      </c>
      <c r="H667" s="2">
        <v>0.0</v>
      </c>
      <c r="I667" s="2">
        <v>530000.0</v>
      </c>
      <c r="J667" s="2">
        <v>1.0</v>
      </c>
      <c r="K667" s="2">
        <v>7.0</v>
      </c>
      <c r="O667" s="2" t="s">
        <v>707</v>
      </c>
      <c r="P667" s="2" t="s">
        <v>166</v>
      </c>
      <c r="R667" s="2" t="s">
        <v>434</v>
      </c>
      <c r="S667" s="11">
        <v>42191.64912037037</v>
      </c>
    </row>
    <row r="668" ht="12.75" hidden="1" customHeight="1">
      <c r="A668" s="2" t="str">
        <f>IF(VLOOKUP(E668,Sheet4!$A$585:$B$786,2,0)=0,1, )</f>
        <v>1</v>
      </c>
      <c r="B668" s="2" t="str">
        <f t="shared" si="1"/>
        <v>1</v>
      </c>
      <c r="C668" s="2" t="str">
        <f t="shared" si="2"/>
        <v>2000004036-15212</v>
      </c>
      <c r="D668" s="2">
        <v>3.20054526E8</v>
      </c>
      <c r="E668" s="2">
        <v>2.000004036E9</v>
      </c>
      <c r="F668" s="2">
        <v>15212.0</v>
      </c>
      <c r="G668" s="2">
        <v>1.0</v>
      </c>
      <c r="H668" s="2">
        <v>0.0</v>
      </c>
      <c r="I668" s="2">
        <v>470000.0</v>
      </c>
      <c r="J668" s="2">
        <v>1.0</v>
      </c>
      <c r="K668" s="2">
        <v>7.0</v>
      </c>
      <c r="O668" s="2" t="s">
        <v>472</v>
      </c>
      <c r="P668" s="2" t="s">
        <v>166</v>
      </c>
      <c r="R668" s="2" t="s">
        <v>434</v>
      </c>
      <c r="S668" s="11">
        <v>42191.64912037037</v>
      </c>
    </row>
    <row r="669" ht="12.75" hidden="1" customHeight="1">
      <c r="A669" s="2" t="str">
        <f>IF(VLOOKUP(E669,Sheet4!$A$585:$B$786,2,0)=0,1, )</f>
        <v>1</v>
      </c>
      <c r="B669" s="2" t="str">
        <f t="shared" si="1"/>
        <v/>
      </c>
      <c r="C669" s="2" t="str">
        <f t="shared" si="2"/>
        <v>2000004036-15212</v>
      </c>
      <c r="D669" s="2">
        <v>3.20054525E8</v>
      </c>
      <c r="E669" s="2">
        <v>2.000004036E9</v>
      </c>
      <c r="F669" s="2">
        <v>15212.0</v>
      </c>
      <c r="G669" s="2">
        <v>1.0</v>
      </c>
      <c r="H669" s="2">
        <v>0.0</v>
      </c>
      <c r="I669" s="2">
        <v>470000.0</v>
      </c>
      <c r="J669" s="2">
        <v>1.0</v>
      </c>
      <c r="K669" s="2">
        <v>7.0</v>
      </c>
      <c r="O669" s="2" t="s">
        <v>472</v>
      </c>
      <c r="P669" s="2" t="s">
        <v>166</v>
      </c>
      <c r="R669" s="2" t="s">
        <v>434</v>
      </c>
      <c r="S669" s="11">
        <v>42191.64908564815</v>
      </c>
    </row>
    <row r="670" ht="12.75" hidden="1" customHeight="1">
      <c r="A670" s="2" t="str">
        <f>IF(VLOOKUP(E670,Sheet4!$A$585:$B$786,2,0)=0,1, )</f>
        <v>1</v>
      </c>
      <c r="B670" s="2" t="str">
        <f t="shared" si="1"/>
        <v>1</v>
      </c>
      <c r="C670" s="2" t="str">
        <f t="shared" si="2"/>
        <v>2000004041-3148</v>
      </c>
      <c r="D670" s="2">
        <v>3.20054639E8</v>
      </c>
      <c r="E670" s="2">
        <v>2.000004041E9</v>
      </c>
      <c r="F670" s="2">
        <v>3148.0</v>
      </c>
      <c r="G670" s="2">
        <v>1.0</v>
      </c>
      <c r="H670" s="2">
        <v>0.0</v>
      </c>
      <c r="I670" s="2">
        <v>40000.0</v>
      </c>
      <c r="J670" s="2">
        <v>1.0</v>
      </c>
      <c r="K670" s="2">
        <v>7.0</v>
      </c>
      <c r="O670" s="2" t="s">
        <v>560</v>
      </c>
      <c r="P670" s="2" t="s">
        <v>166</v>
      </c>
      <c r="R670" s="2" t="s">
        <v>434</v>
      </c>
      <c r="S670" s="11">
        <v>42191.7184837963</v>
      </c>
    </row>
    <row r="671" ht="12.75" hidden="1" customHeight="1">
      <c r="A671" s="2" t="str">
        <f>IF(VLOOKUP(E671,Sheet4!$A$585:$B$786,2,0)=0,1, )</f>
        <v>1</v>
      </c>
      <c r="B671" s="2" t="str">
        <f t="shared" si="1"/>
        <v/>
      </c>
      <c r="C671" s="2" t="str">
        <f t="shared" si="2"/>
        <v>2000004041-3148</v>
      </c>
      <c r="D671" s="2">
        <v>3.20054638E8</v>
      </c>
      <c r="E671" s="2">
        <v>2.000004041E9</v>
      </c>
      <c r="F671" s="2">
        <v>3148.0</v>
      </c>
      <c r="G671" s="2">
        <v>1.0</v>
      </c>
      <c r="H671" s="2">
        <v>0.0</v>
      </c>
      <c r="I671" s="2">
        <v>40000.0</v>
      </c>
      <c r="J671" s="2">
        <v>1.0</v>
      </c>
      <c r="K671" s="2">
        <v>7.0</v>
      </c>
      <c r="O671" s="2" t="s">
        <v>560</v>
      </c>
      <c r="P671" s="2" t="s">
        <v>166</v>
      </c>
      <c r="R671" s="2" t="s">
        <v>434</v>
      </c>
      <c r="S671" s="11">
        <v>42191.7184837963</v>
      </c>
    </row>
    <row r="672" ht="12.75" hidden="1" customHeight="1">
      <c r="A672" s="2" t="str">
        <f>IF(VLOOKUP(E672,Sheet4!$A$585:$B$786,2,0)=0,1, )</f>
        <v>1</v>
      </c>
      <c r="B672" s="2" t="str">
        <f t="shared" si="1"/>
        <v>1</v>
      </c>
      <c r="C672" s="2" t="str">
        <f t="shared" si="2"/>
        <v>2000004041-6384</v>
      </c>
      <c r="D672" s="2">
        <v>3.20054642E8</v>
      </c>
      <c r="E672" s="2">
        <v>2.000004041E9</v>
      </c>
      <c r="F672" s="2">
        <v>6384.0</v>
      </c>
      <c r="G672" s="2">
        <v>1.0</v>
      </c>
      <c r="H672" s="2">
        <v>0.0</v>
      </c>
      <c r="I672" s="2">
        <v>60000.0</v>
      </c>
      <c r="J672" s="2">
        <v>1.0</v>
      </c>
      <c r="K672" s="2">
        <v>7.0</v>
      </c>
      <c r="O672" s="2" t="s">
        <v>711</v>
      </c>
      <c r="P672" s="2" t="s">
        <v>166</v>
      </c>
      <c r="R672" s="2" t="s">
        <v>434</v>
      </c>
      <c r="S672" s="11">
        <v>42191.718518518515</v>
      </c>
    </row>
    <row r="673" ht="12.75" hidden="1" customHeight="1">
      <c r="A673" s="2" t="str">
        <f>IF(VLOOKUP(E673,Sheet4!$A$585:$B$786,2,0)=0,1, )</f>
        <v>1</v>
      </c>
      <c r="B673" s="2" t="str">
        <f t="shared" si="1"/>
        <v/>
      </c>
      <c r="C673" s="2" t="str">
        <f t="shared" si="2"/>
        <v>2000004041-6384</v>
      </c>
      <c r="D673" s="2">
        <v>3.20054643E8</v>
      </c>
      <c r="E673" s="2">
        <v>2.000004041E9</v>
      </c>
      <c r="F673" s="2">
        <v>6384.0</v>
      </c>
      <c r="G673" s="2">
        <v>1.0</v>
      </c>
      <c r="H673" s="2">
        <v>0.0</v>
      </c>
      <c r="I673" s="2">
        <v>60000.0</v>
      </c>
      <c r="J673" s="2">
        <v>1.0</v>
      </c>
      <c r="K673" s="2">
        <v>7.0</v>
      </c>
      <c r="O673" s="2" t="s">
        <v>711</v>
      </c>
      <c r="P673" s="2" t="s">
        <v>166</v>
      </c>
      <c r="R673" s="2" t="s">
        <v>434</v>
      </c>
      <c r="S673" s="11">
        <v>42191.718518518515</v>
      </c>
    </row>
    <row r="674" ht="12.75" hidden="1" customHeight="1">
      <c r="A674" s="2" t="str">
        <f>IF(VLOOKUP(E674,Sheet4!$A$585:$B$786,2,0)=0,1, )</f>
        <v>1</v>
      </c>
      <c r="B674" s="2" t="str">
        <f t="shared" si="1"/>
        <v>1</v>
      </c>
      <c r="C674" s="2" t="str">
        <f t="shared" si="2"/>
        <v>2000004041-8528</v>
      </c>
      <c r="D674" s="2">
        <v>3.2005464E8</v>
      </c>
      <c r="E674" s="2">
        <v>2.000004041E9</v>
      </c>
      <c r="F674" s="2">
        <v>8528.0</v>
      </c>
      <c r="G674" s="2">
        <v>1.0</v>
      </c>
      <c r="H674" s="2">
        <v>0.0</v>
      </c>
      <c r="I674" s="2">
        <v>55000.0</v>
      </c>
      <c r="J674" s="2">
        <v>1.0</v>
      </c>
      <c r="K674" s="2">
        <v>7.0</v>
      </c>
      <c r="O674" s="2" t="s">
        <v>531</v>
      </c>
      <c r="P674" s="2" t="s">
        <v>166</v>
      </c>
      <c r="R674" s="2" t="s">
        <v>434</v>
      </c>
      <c r="S674" s="11">
        <v>42191.71849537037</v>
      </c>
    </row>
    <row r="675" ht="12.75" hidden="1" customHeight="1">
      <c r="A675" s="2" t="str">
        <f>IF(VLOOKUP(E675,Sheet4!$A$585:$B$786,2,0)=0,1, )</f>
        <v>1</v>
      </c>
      <c r="B675" s="2" t="str">
        <f t="shared" si="1"/>
        <v/>
      </c>
      <c r="C675" s="2" t="str">
        <f t="shared" si="2"/>
        <v>2000004041-8528</v>
      </c>
      <c r="D675" s="2">
        <v>3.20054641E8</v>
      </c>
      <c r="E675" s="2">
        <v>2.000004041E9</v>
      </c>
      <c r="F675" s="2">
        <v>8528.0</v>
      </c>
      <c r="G675" s="2">
        <v>1.0</v>
      </c>
      <c r="H675" s="2">
        <v>0.0</v>
      </c>
      <c r="I675" s="2">
        <v>55000.0</v>
      </c>
      <c r="J675" s="2">
        <v>1.0</v>
      </c>
      <c r="K675" s="2">
        <v>7.0</v>
      </c>
      <c r="O675" s="2" t="s">
        <v>531</v>
      </c>
      <c r="P675" s="2" t="s">
        <v>166</v>
      </c>
      <c r="R675" s="2" t="s">
        <v>434</v>
      </c>
      <c r="S675" s="11">
        <v>42191.71849537037</v>
      </c>
    </row>
    <row r="676" ht="12.75" hidden="1" customHeight="1">
      <c r="A676" s="2" t="str">
        <f>IF(VLOOKUP(E676,Sheet4!$A$585:$B$786,2,0)=0,1, )</f>
        <v>1</v>
      </c>
      <c r="B676" s="2" t="str">
        <f t="shared" si="1"/>
        <v>1</v>
      </c>
      <c r="C676" s="2" t="str">
        <f t="shared" si="2"/>
        <v>2000004042-6381</v>
      </c>
      <c r="D676" s="2">
        <v>3.20054659E8</v>
      </c>
      <c r="E676" s="2">
        <v>2.000004042E9</v>
      </c>
      <c r="F676" s="2">
        <v>6381.0</v>
      </c>
      <c r="G676" s="2">
        <v>1.0</v>
      </c>
      <c r="H676" s="2">
        <v>0.0</v>
      </c>
      <c r="I676" s="2">
        <v>90000.0</v>
      </c>
      <c r="J676" s="2">
        <v>1.0</v>
      </c>
      <c r="K676" s="2">
        <v>7.0</v>
      </c>
      <c r="O676" s="2" t="s">
        <v>714</v>
      </c>
      <c r="P676" s="2" t="s">
        <v>166</v>
      </c>
      <c r="R676" s="2" t="s">
        <v>434</v>
      </c>
      <c r="S676" s="11">
        <v>42191.725497685184</v>
      </c>
    </row>
    <row r="677" ht="12.75" hidden="1" customHeight="1">
      <c r="A677" s="2" t="str">
        <f>IF(VLOOKUP(E677,Sheet4!$A$585:$B$786,2,0)=0,1, )</f>
        <v>1</v>
      </c>
      <c r="B677" s="2" t="str">
        <f t="shared" si="1"/>
        <v>1</v>
      </c>
      <c r="C677" s="2" t="str">
        <f t="shared" si="2"/>
        <v>2000004042-6390</v>
      </c>
      <c r="D677" s="2">
        <v>3.2005466E8</v>
      </c>
      <c r="E677" s="2">
        <v>2.000004042E9</v>
      </c>
      <c r="F677" s="2">
        <v>6390.0</v>
      </c>
      <c r="G677" s="2">
        <v>1.0</v>
      </c>
      <c r="H677" s="2">
        <v>0.0</v>
      </c>
      <c r="I677" s="2">
        <v>79000.0</v>
      </c>
      <c r="J677" s="2">
        <v>1.0</v>
      </c>
      <c r="K677" s="2">
        <v>7.0</v>
      </c>
      <c r="O677" s="2" t="s">
        <v>716</v>
      </c>
      <c r="P677" s="2" t="s">
        <v>166</v>
      </c>
      <c r="R677" s="2" t="s">
        <v>434</v>
      </c>
      <c r="S677" s="11">
        <v>42191.72550925926</v>
      </c>
    </row>
    <row r="678" ht="12.75" hidden="1" customHeight="1">
      <c r="A678" s="2" t="str">
        <f>IF(VLOOKUP(E678,Sheet4!$A$585:$B$786,2,0)=0,1, )</f>
        <v>1</v>
      </c>
      <c r="B678" s="2" t="str">
        <f t="shared" si="1"/>
        <v>1</v>
      </c>
      <c r="C678" s="2" t="str">
        <f t="shared" si="2"/>
        <v>2000004042-6600</v>
      </c>
      <c r="D678" s="2">
        <v>3.20054661E8</v>
      </c>
      <c r="E678" s="2">
        <v>2.000004042E9</v>
      </c>
      <c r="F678" s="2">
        <v>6600.0</v>
      </c>
      <c r="G678" s="2">
        <v>1.0</v>
      </c>
      <c r="H678" s="2">
        <v>0.0</v>
      </c>
      <c r="I678" s="2">
        <v>150000.0</v>
      </c>
      <c r="J678" s="2">
        <v>1.0</v>
      </c>
      <c r="K678" s="2">
        <v>7.0</v>
      </c>
      <c r="O678" s="2" t="s">
        <v>681</v>
      </c>
      <c r="P678" s="2" t="s">
        <v>166</v>
      </c>
      <c r="R678" s="2" t="s">
        <v>434</v>
      </c>
      <c r="S678" s="11">
        <v>42191.72550925926</v>
      </c>
    </row>
    <row r="679" ht="12.75" hidden="1" customHeight="1">
      <c r="A679" s="2" t="str">
        <f>IF(VLOOKUP(E679,Sheet4!$A$585:$B$786,2,0)=0,1, )</f>
        <v>1</v>
      </c>
      <c r="B679" s="2" t="str">
        <f t="shared" si="1"/>
        <v/>
      </c>
      <c r="C679" s="2" t="str">
        <f t="shared" si="2"/>
        <v>2000004042-6600</v>
      </c>
      <c r="D679" s="2">
        <v>3.20054662E8</v>
      </c>
      <c r="E679" s="2">
        <v>2.000004042E9</v>
      </c>
      <c r="F679" s="2">
        <v>6600.0</v>
      </c>
      <c r="G679" s="2">
        <v>1.0</v>
      </c>
      <c r="H679" s="2">
        <v>0.0</v>
      </c>
      <c r="I679" s="2">
        <v>150000.0</v>
      </c>
      <c r="J679" s="2">
        <v>1.0</v>
      </c>
      <c r="K679" s="2">
        <v>7.0</v>
      </c>
      <c r="O679" s="2" t="s">
        <v>681</v>
      </c>
      <c r="P679" s="2" t="s">
        <v>166</v>
      </c>
      <c r="R679" s="2" t="s">
        <v>434</v>
      </c>
      <c r="S679" s="11">
        <v>42191.72550925926</v>
      </c>
    </row>
    <row r="680" ht="12.75" hidden="1" customHeight="1">
      <c r="A680" s="2" t="str">
        <f>IF(VLOOKUP(E680,Sheet4!$A$585:$B$786,2,0)=0,1, )</f>
        <v>1</v>
      </c>
      <c r="B680" s="2" t="str">
        <f t="shared" si="1"/>
        <v>1</v>
      </c>
      <c r="C680" s="2" t="str">
        <f t="shared" si="2"/>
        <v>2000004042-8528</v>
      </c>
      <c r="D680" s="2">
        <v>3.20054658E8</v>
      </c>
      <c r="E680" s="2">
        <v>2.000004042E9</v>
      </c>
      <c r="F680" s="2">
        <v>8528.0</v>
      </c>
      <c r="G680" s="2">
        <v>1.0</v>
      </c>
      <c r="H680" s="2">
        <v>0.0</v>
      </c>
      <c r="I680" s="2">
        <v>55000.0</v>
      </c>
      <c r="J680" s="2">
        <v>1.0</v>
      </c>
      <c r="K680" s="2">
        <v>7.0</v>
      </c>
      <c r="O680" s="2" t="s">
        <v>531</v>
      </c>
      <c r="P680" s="2" t="s">
        <v>166</v>
      </c>
      <c r="R680" s="2" t="s">
        <v>434</v>
      </c>
      <c r="S680" s="11">
        <v>42191.725497685184</v>
      </c>
    </row>
    <row r="681" ht="12.75" hidden="1" customHeight="1">
      <c r="A681" s="2" t="str">
        <f>IF(VLOOKUP(E681,Sheet4!$A$585:$B$786,2,0)=0,1, )</f>
        <v>1</v>
      </c>
      <c r="B681" s="2" t="str">
        <f t="shared" si="1"/>
        <v>1</v>
      </c>
      <c r="C681" s="2" t="str">
        <f t="shared" si="2"/>
        <v>2000004042-8631</v>
      </c>
      <c r="D681" s="2">
        <v>3.20054657E8</v>
      </c>
      <c r="E681" s="2">
        <v>2.000004042E9</v>
      </c>
      <c r="F681" s="2">
        <v>8631.0</v>
      </c>
      <c r="G681" s="2">
        <v>1.0</v>
      </c>
      <c r="H681" s="2">
        <v>0.0</v>
      </c>
      <c r="I681" s="2">
        <v>45000.0</v>
      </c>
      <c r="J681" s="2">
        <v>1.0</v>
      </c>
      <c r="K681" s="2">
        <v>7.0</v>
      </c>
      <c r="O681" s="2" t="s">
        <v>720</v>
      </c>
      <c r="P681" s="2" t="s">
        <v>166</v>
      </c>
      <c r="R681" s="2" t="s">
        <v>434</v>
      </c>
      <c r="S681" s="11">
        <v>42191.725497685184</v>
      </c>
    </row>
    <row r="682" ht="12.75" hidden="1" customHeight="1">
      <c r="A682" s="2" t="str">
        <f>IF(VLOOKUP(E682,Sheet4!$A$585:$B$786,2,0)=0,1, )</f>
        <v>1</v>
      </c>
      <c r="B682" s="2" t="str">
        <f t="shared" si="1"/>
        <v>1</v>
      </c>
      <c r="C682" s="2" t="str">
        <f t="shared" si="2"/>
        <v>2000004046-996</v>
      </c>
      <c r="D682" s="2">
        <v>3.20054721E8</v>
      </c>
      <c r="E682" s="2">
        <v>2.000004046E9</v>
      </c>
      <c r="F682" s="2">
        <v>996.0</v>
      </c>
      <c r="G682" s="2">
        <v>1.0</v>
      </c>
      <c r="H682" s="2">
        <v>0.0</v>
      </c>
      <c r="I682" s="2">
        <v>535000.0</v>
      </c>
      <c r="J682" s="2">
        <v>1.0</v>
      </c>
      <c r="K682" s="2">
        <v>7.0</v>
      </c>
      <c r="O682" s="2" t="s">
        <v>679</v>
      </c>
      <c r="P682" s="2" t="s">
        <v>166</v>
      </c>
      <c r="R682" s="2" t="s">
        <v>434</v>
      </c>
      <c r="S682" s="11">
        <v>42191.74994212963</v>
      </c>
    </row>
    <row r="683" ht="12.75" hidden="1" customHeight="1">
      <c r="A683" s="2" t="str">
        <f>IF(VLOOKUP(E683,Sheet4!$A$585:$B$786,2,0)=0,1, )</f>
        <v>1</v>
      </c>
      <c r="B683" s="2" t="str">
        <f t="shared" si="1"/>
        <v/>
      </c>
      <c r="C683" s="2" t="str">
        <f t="shared" si="2"/>
        <v>2000004046-996</v>
      </c>
      <c r="D683" s="2">
        <v>3.2005472E8</v>
      </c>
      <c r="E683" s="2">
        <v>2.000004046E9</v>
      </c>
      <c r="F683" s="2">
        <v>996.0</v>
      </c>
      <c r="G683" s="2">
        <v>1.0</v>
      </c>
      <c r="H683" s="2">
        <v>0.0</v>
      </c>
      <c r="I683" s="2">
        <v>535000.0</v>
      </c>
      <c r="J683" s="2">
        <v>1.0</v>
      </c>
      <c r="K683" s="2">
        <v>7.0</v>
      </c>
      <c r="O683" s="2" t="s">
        <v>679</v>
      </c>
      <c r="P683" s="2" t="s">
        <v>166</v>
      </c>
      <c r="R683" s="2" t="s">
        <v>434</v>
      </c>
      <c r="S683" s="11">
        <v>42191.74994212963</v>
      </c>
    </row>
    <row r="684" ht="12.75" hidden="1" customHeight="1">
      <c r="A684" s="2" t="str">
        <f>IF(VLOOKUP(E684,Sheet4!$A$585:$B$786,2,0)=0,1, )</f>
        <v>1</v>
      </c>
      <c r="B684" s="2" t="str">
        <f t="shared" si="1"/>
        <v>1</v>
      </c>
      <c r="C684" s="2" t="str">
        <f t="shared" si="2"/>
        <v>2000004046-8821</v>
      </c>
      <c r="D684" s="2">
        <v>3.20054719E8</v>
      </c>
      <c r="E684" s="2">
        <v>2.000004046E9</v>
      </c>
      <c r="F684" s="2">
        <v>8821.0</v>
      </c>
      <c r="G684" s="2">
        <v>1.0</v>
      </c>
      <c r="H684" s="2">
        <v>0.0</v>
      </c>
      <c r="I684" s="2">
        <v>275000.0</v>
      </c>
      <c r="J684" s="2">
        <v>1.0</v>
      </c>
      <c r="K684" s="2">
        <v>7.0</v>
      </c>
      <c r="O684" s="2" t="s">
        <v>723</v>
      </c>
      <c r="P684" s="2" t="s">
        <v>166</v>
      </c>
      <c r="R684" s="2" t="s">
        <v>434</v>
      </c>
      <c r="S684" s="11">
        <v>42191.74994212963</v>
      </c>
    </row>
    <row r="685" ht="12.75" hidden="1" customHeight="1">
      <c r="A685" s="2" t="str">
        <f>IF(VLOOKUP(E685,Sheet4!$A$585:$B$786,2,0)=0,1, )</f>
        <v>1</v>
      </c>
      <c r="B685" s="2" t="str">
        <f t="shared" si="1"/>
        <v/>
      </c>
      <c r="C685" s="2" t="str">
        <f t="shared" si="2"/>
        <v>2000004046-8821</v>
      </c>
      <c r="D685" s="2">
        <v>3.20054718E8</v>
      </c>
      <c r="E685" s="2">
        <v>2.000004046E9</v>
      </c>
      <c r="F685" s="2">
        <v>8821.0</v>
      </c>
      <c r="G685" s="2">
        <v>1.0</v>
      </c>
      <c r="H685" s="2">
        <v>0.0</v>
      </c>
      <c r="I685" s="2">
        <v>275000.0</v>
      </c>
      <c r="J685" s="2">
        <v>1.0</v>
      </c>
      <c r="K685" s="2">
        <v>7.0</v>
      </c>
      <c r="O685" s="2" t="s">
        <v>723</v>
      </c>
      <c r="P685" s="2" t="s">
        <v>166</v>
      </c>
      <c r="R685" s="2" t="s">
        <v>434</v>
      </c>
      <c r="S685" s="11">
        <v>42191.74994212963</v>
      </c>
    </row>
    <row r="686" ht="12.75" hidden="1" customHeight="1">
      <c r="A686" s="2" t="str">
        <f>IF(VLOOKUP(E686,Sheet4!$A$585:$B$786,2,0)=0,1, )</f>
        <v>1</v>
      </c>
      <c r="B686" s="2" t="str">
        <f t="shared" si="1"/>
        <v>1</v>
      </c>
      <c r="C686" s="2" t="str">
        <f t="shared" si="2"/>
        <v>2000004047-8521</v>
      </c>
      <c r="D686" s="2">
        <v>3.20054735E8</v>
      </c>
      <c r="E686" s="2">
        <v>2.000004047E9</v>
      </c>
      <c r="F686" s="2">
        <v>8521.0</v>
      </c>
      <c r="G686" s="2">
        <v>3.0</v>
      </c>
      <c r="H686" s="2">
        <v>142500.0</v>
      </c>
      <c r="I686" s="2">
        <v>1425000.0</v>
      </c>
      <c r="J686" s="2">
        <v>1.0</v>
      </c>
      <c r="K686" s="2">
        <v>7.0</v>
      </c>
      <c r="O686" s="2" t="s">
        <v>554</v>
      </c>
      <c r="P686" s="2" t="s">
        <v>166</v>
      </c>
      <c r="R686" s="2" t="s">
        <v>434</v>
      </c>
      <c r="S686" s="11">
        <v>42191.758888888886</v>
      </c>
    </row>
    <row r="687" ht="12.75" hidden="1" customHeight="1">
      <c r="A687" s="2" t="str">
        <f>IF(VLOOKUP(E687,Sheet4!$A$585:$B$786,2,0)=0,1, )</f>
        <v>1</v>
      </c>
      <c r="B687" s="2" t="str">
        <f t="shared" si="1"/>
        <v/>
      </c>
      <c r="C687" s="2" t="str">
        <f t="shared" si="2"/>
        <v>2000004047-8521</v>
      </c>
      <c r="D687" s="2">
        <v>3.20054734E8</v>
      </c>
      <c r="E687" s="2">
        <v>2.000004047E9</v>
      </c>
      <c r="F687" s="2">
        <v>8521.0</v>
      </c>
      <c r="G687" s="2">
        <v>3.0</v>
      </c>
      <c r="H687" s="2">
        <v>142500.0</v>
      </c>
      <c r="I687" s="2">
        <v>1425000.0</v>
      </c>
      <c r="J687" s="2">
        <v>1.0</v>
      </c>
      <c r="K687" s="2">
        <v>7.0</v>
      </c>
      <c r="O687" s="2" t="s">
        <v>554</v>
      </c>
      <c r="P687" s="2" t="s">
        <v>166</v>
      </c>
      <c r="R687" s="2" t="s">
        <v>434</v>
      </c>
      <c r="S687" s="11">
        <v>42191.758888888886</v>
      </c>
    </row>
    <row r="688" ht="12.75" hidden="1" customHeight="1">
      <c r="A688" s="2" t="str">
        <f>IF(VLOOKUP(E688,Sheet4!$A$585:$B$786,2,0)=0,1, )</f>
        <v>1</v>
      </c>
      <c r="B688" s="2" t="str">
        <f t="shared" si="1"/>
        <v>1</v>
      </c>
      <c r="C688" s="2" t="str">
        <f t="shared" si="2"/>
        <v>2000004047-12524</v>
      </c>
      <c r="D688" s="2">
        <v>3.20054733E8</v>
      </c>
      <c r="E688" s="2">
        <v>2.000004047E9</v>
      </c>
      <c r="F688" s="2">
        <v>12524.0</v>
      </c>
      <c r="G688" s="2">
        <v>1.0</v>
      </c>
      <c r="H688" s="2">
        <v>9100.0</v>
      </c>
      <c r="I688" s="2">
        <v>91000.0</v>
      </c>
      <c r="J688" s="2">
        <v>1.0</v>
      </c>
      <c r="K688" s="2">
        <v>7.0</v>
      </c>
      <c r="O688" s="2" t="s">
        <v>345</v>
      </c>
      <c r="P688" s="2" t="s">
        <v>166</v>
      </c>
      <c r="R688" s="2" t="s">
        <v>434</v>
      </c>
      <c r="S688" s="11">
        <v>42191.758888888886</v>
      </c>
    </row>
    <row r="689" ht="12.75" hidden="1" customHeight="1">
      <c r="A689" s="2" t="str">
        <f>IF(VLOOKUP(E689,Sheet4!$A$585:$B$786,2,0)=0,1, )</f>
        <v>1</v>
      </c>
      <c r="B689" s="2" t="str">
        <f t="shared" si="1"/>
        <v/>
      </c>
      <c r="C689" s="2" t="str">
        <f t="shared" si="2"/>
        <v>2000004047-12524</v>
      </c>
      <c r="D689" s="2">
        <v>3.20054732E8</v>
      </c>
      <c r="E689" s="2">
        <v>2.000004047E9</v>
      </c>
      <c r="F689" s="2">
        <v>12524.0</v>
      </c>
      <c r="G689" s="2">
        <v>1.0</v>
      </c>
      <c r="H689" s="2">
        <v>9100.0</v>
      </c>
      <c r="I689" s="2">
        <v>91000.0</v>
      </c>
      <c r="J689" s="2">
        <v>1.0</v>
      </c>
      <c r="K689" s="2">
        <v>7.0</v>
      </c>
      <c r="O689" s="2" t="s">
        <v>345</v>
      </c>
      <c r="P689" s="2" t="s">
        <v>166</v>
      </c>
      <c r="R689" s="2" t="s">
        <v>434</v>
      </c>
      <c r="S689" s="11">
        <v>42191.758877314816</v>
      </c>
    </row>
    <row r="690" ht="12.75" hidden="1" customHeight="1">
      <c r="A690" s="2" t="str">
        <f>IF(VLOOKUP(E690,Sheet4!$A$585:$B$786,2,0)=0,1, )</f>
        <v>1</v>
      </c>
      <c r="B690" s="2" t="str">
        <f t="shared" si="1"/>
        <v>1</v>
      </c>
      <c r="C690" s="2" t="str">
        <f t="shared" si="2"/>
        <v>2000004049-6289</v>
      </c>
      <c r="D690" s="2">
        <v>3.20054753E8</v>
      </c>
      <c r="E690" s="2">
        <v>2.000004049E9</v>
      </c>
      <c r="F690" s="2">
        <v>6289.0</v>
      </c>
      <c r="G690" s="2">
        <v>1.0</v>
      </c>
      <c r="H690" s="2">
        <v>0.0</v>
      </c>
      <c r="I690" s="2">
        <v>470000.0</v>
      </c>
      <c r="J690" s="2">
        <v>1.0</v>
      </c>
      <c r="K690" s="2">
        <v>7.0</v>
      </c>
      <c r="O690" s="2" t="s">
        <v>727</v>
      </c>
      <c r="P690" s="2" t="s">
        <v>166</v>
      </c>
      <c r="R690" s="2" t="s">
        <v>434</v>
      </c>
      <c r="S690" s="11">
        <v>42191.76797453704</v>
      </c>
    </row>
    <row r="691" ht="12.75" hidden="1" customHeight="1">
      <c r="A691" s="2" t="str">
        <f>IF(VLOOKUP(E691,Sheet4!$A$585:$B$786,2,0)=0,1, )</f>
        <v>1</v>
      </c>
      <c r="B691" s="2" t="str">
        <f t="shared" si="1"/>
        <v/>
      </c>
      <c r="C691" s="2" t="str">
        <f t="shared" si="2"/>
        <v>2000004049-6289</v>
      </c>
      <c r="D691" s="2">
        <v>3.20054754E8</v>
      </c>
      <c r="E691" s="2">
        <v>2.000004049E9</v>
      </c>
      <c r="F691" s="2">
        <v>6289.0</v>
      </c>
      <c r="G691" s="2">
        <v>1.0</v>
      </c>
      <c r="H691" s="2">
        <v>0.0</v>
      </c>
      <c r="I691" s="2">
        <v>470000.0</v>
      </c>
      <c r="J691" s="2">
        <v>1.0</v>
      </c>
      <c r="K691" s="2">
        <v>7.0</v>
      </c>
      <c r="O691" s="2" t="s">
        <v>727</v>
      </c>
      <c r="P691" s="2" t="s">
        <v>166</v>
      </c>
      <c r="R691" s="2" t="s">
        <v>434</v>
      </c>
      <c r="S691" s="11">
        <v>42191.76797453704</v>
      </c>
    </row>
    <row r="692" ht="12.75" hidden="1" customHeight="1">
      <c r="A692" s="2" t="str">
        <f>IF(VLOOKUP(E692,Sheet4!$A$585:$B$786,2,0)=0,1, )</f>
        <v>1</v>
      </c>
      <c r="B692" s="2" t="str">
        <f t="shared" si="1"/>
        <v>1</v>
      </c>
      <c r="C692" s="2" t="str">
        <f t="shared" si="2"/>
        <v>2000004049-8592</v>
      </c>
      <c r="D692" s="2">
        <v>3.2005475E8</v>
      </c>
      <c r="E692" s="2">
        <v>2.000004049E9</v>
      </c>
      <c r="F692" s="2">
        <v>8592.0</v>
      </c>
      <c r="G692" s="2">
        <v>1.0</v>
      </c>
      <c r="H692" s="2">
        <v>0.0</v>
      </c>
      <c r="I692" s="2">
        <v>329000.0</v>
      </c>
      <c r="J692" s="2">
        <v>1.0</v>
      </c>
      <c r="K692" s="2">
        <v>7.0</v>
      </c>
      <c r="O692" s="2" t="s">
        <v>701</v>
      </c>
      <c r="P692" s="2" t="s">
        <v>166</v>
      </c>
      <c r="R692" s="2" t="s">
        <v>434</v>
      </c>
      <c r="S692" s="11">
        <v>42191.767962962964</v>
      </c>
    </row>
    <row r="693" ht="12.75" hidden="1" customHeight="1">
      <c r="A693" s="2" t="str">
        <f>IF(VLOOKUP(E693,Sheet4!$A$585:$B$786,2,0)=0,1, )</f>
        <v>1</v>
      </c>
      <c r="B693" s="2" t="str">
        <f t="shared" si="1"/>
        <v>1</v>
      </c>
      <c r="C693" s="2" t="str">
        <f t="shared" si="2"/>
        <v>2000004049-8606</v>
      </c>
      <c r="D693" s="2">
        <v>3.20054756E8</v>
      </c>
      <c r="E693" s="2">
        <v>2.000004049E9</v>
      </c>
      <c r="F693" s="2">
        <v>8606.0</v>
      </c>
      <c r="G693" s="2">
        <v>1.0</v>
      </c>
      <c r="H693" s="2">
        <v>0.0</v>
      </c>
      <c r="I693" s="2">
        <v>850000.0</v>
      </c>
      <c r="J693" s="2">
        <v>1.0</v>
      </c>
      <c r="K693" s="2">
        <v>7.0</v>
      </c>
      <c r="O693" s="2" t="s">
        <v>730</v>
      </c>
      <c r="P693" s="2" t="s">
        <v>166</v>
      </c>
      <c r="R693" s="2" t="s">
        <v>434</v>
      </c>
      <c r="S693" s="11">
        <v>42191.76797453704</v>
      </c>
    </row>
    <row r="694" ht="12.75" hidden="1" customHeight="1">
      <c r="A694" s="2" t="str">
        <f>IF(VLOOKUP(E694,Sheet4!$A$585:$B$786,2,0)=0,1, )</f>
        <v>1</v>
      </c>
      <c r="B694" s="2" t="str">
        <f t="shared" si="1"/>
        <v/>
      </c>
      <c r="C694" s="2" t="str">
        <f t="shared" si="2"/>
        <v>2000004049-8606</v>
      </c>
      <c r="D694" s="2">
        <v>3.20054755E8</v>
      </c>
      <c r="E694" s="2">
        <v>2.000004049E9</v>
      </c>
      <c r="F694" s="2">
        <v>8606.0</v>
      </c>
      <c r="G694" s="2">
        <v>1.0</v>
      </c>
      <c r="H694" s="2">
        <v>0.0</v>
      </c>
      <c r="I694" s="2">
        <v>850000.0</v>
      </c>
      <c r="J694" s="2">
        <v>1.0</v>
      </c>
      <c r="K694" s="2">
        <v>7.0</v>
      </c>
      <c r="O694" s="2" t="s">
        <v>730</v>
      </c>
      <c r="P694" s="2" t="s">
        <v>166</v>
      </c>
      <c r="R694" s="2" t="s">
        <v>434</v>
      </c>
      <c r="S694" s="11">
        <v>42191.76797453704</v>
      </c>
    </row>
    <row r="695" ht="12.75" hidden="1" customHeight="1">
      <c r="A695" s="2" t="str">
        <f>IF(VLOOKUP(E695,Sheet4!$A$585:$B$786,2,0)=0,1, )</f>
        <v>1</v>
      </c>
      <c r="B695" s="2" t="str">
        <f t="shared" si="1"/>
        <v>1</v>
      </c>
      <c r="C695" s="2" t="str">
        <f t="shared" si="2"/>
        <v>2000004049-8986</v>
      </c>
      <c r="D695" s="2">
        <v>3.20054752E8</v>
      </c>
      <c r="E695" s="2">
        <v>2.000004049E9</v>
      </c>
      <c r="F695" s="2">
        <v>8986.0</v>
      </c>
      <c r="G695" s="2">
        <v>1.0</v>
      </c>
      <c r="H695" s="2">
        <v>0.0</v>
      </c>
      <c r="I695" s="2">
        <v>305000.0</v>
      </c>
      <c r="J695" s="2">
        <v>1.0</v>
      </c>
      <c r="K695" s="2">
        <v>7.0</v>
      </c>
      <c r="O695" s="2" t="s">
        <v>732</v>
      </c>
      <c r="P695" s="2" t="s">
        <v>166</v>
      </c>
      <c r="R695" s="2" t="s">
        <v>434</v>
      </c>
      <c r="S695" s="11">
        <v>42191.76797453704</v>
      </c>
    </row>
    <row r="696" ht="12.75" hidden="1" customHeight="1">
      <c r="A696" s="2" t="str">
        <f>IF(VLOOKUP(E696,Sheet4!$A$585:$B$786,2,0)=0,1, )</f>
        <v>1</v>
      </c>
      <c r="B696" s="2" t="str">
        <f t="shared" si="1"/>
        <v/>
      </c>
      <c r="C696" s="2" t="str">
        <f t="shared" si="2"/>
        <v>2000004049-8986</v>
      </c>
      <c r="D696" s="2">
        <v>3.20054751E8</v>
      </c>
      <c r="E696" s="2">
        <v>2.000004049E9</v>
      </c>
      <c r="F696" s="2">
        <v>8986.0</v>
      </c>
      <c r="G696" s="2">
        <v>1.0</v>
      </c>
      <c r="H696" s="2">
        <v>0.0</v>
      </c>
      <c r="I696" s="2">
        <v>305000.0</v>
      </c>
      <c r="J696" s="2">
        <v>1.0</v>
      </c>
      <c r="K696" s="2">
        <v>7.0</v>
      </c>
      <c r="O696" s="2" t="s">
        <v>732</v>
      </c>
      <c r="P696" s="2" t="s">
        <v>166</v>
      </c>
      <c r="R696" s="2" t="s">
        <v>434</v>
      </c>
      <c r="S696" s="11">
        <v>42191.76797453704</v>
      </c>
    </row>
    <row r="697" ht="12.75" hidden="1" customHeight="1">
      <c r="A697" s="2" t="str">
        <f>IF(VLOOKUP(E697,Sheet4!$A$585:$B$786,2,0)=0,1, )</f>
        <v>1</v>
      </c>
      <c r="B697" s="2" t="str">
        <f t="shared" si="1"/>
        <v>1</v>
      </c>
      <c r="C697" s="2" t="str">
        <f t="shared" si="2"/>
        <v>2000004050-15211</v>
      </c>
      <c r="D697" s="2">
        <v>3.20054761E8</v>
      </c>
      <c r="E697" s="2">
        <v>2.00000405E9</v>
      </c>
      <c r="F697" s="2">
        <v>15211.0</v>
      </c>
      <c r="G697" s="2">
        <v>1.0</v>
      </c>
      <c r="H697" s="2">
        <v>0.0</v>
      </c>
      <c r="I697" s="2">
        <v>560000.0</v>
      </c>
      <c r="J697" s="2">
        <v>1.0</v>
      </c>
      <c r="K697" s="2">
        <v>7.0</v>
      </c>
      <c r="O697" s="2" t="s">
        <v>689</v>
      </c>
      <c r="P697" s="2" t="s">
        <v>166</v>
      </c>
      <c r="R697" s="2" t="s">
        <v>434</v>
      </c>
      <c r="S697" s="11">
        <v>42191.771145833336</v>
      </c>
    </row>
    <row r="698" ht="12.75" hidden="1" customHeight="1">
      <c r="A698" s="2" t="str">
        <f>IF(VLOOKUP(E698,Sheet4!$A$585:$B$786,2,0)=0,1, )</f>
        <v>1</v>
      </c>
      <c r="B698" s="2" t="str">
        <f t="shared" si="1"/>
        <v/>
      </c>
      <c r="C698" s="2" t="str">
        <f t="shared" si="2"/>
        <v>2000004050-15211</v>
      </c>
      <c r="D698" s="2">
        <v>3.20054762E8</v>
      </c>
      <c r="E698" s="2">
        <v>2.00000405E9</v>
      </c>
      <c r="F698" s="2">
        <v>15211.0</v>
      </c>
      <c r="G698" s="2">
        <v>1.0</v>
      </c>
      <c r="H698" s="2">
        <v>0.0</v>
      </c>
      <c r="I698" s="2">
        <v>560000.0</v>
      </c>
      <c r="J698" s="2">
        <v>1.0</v>
      </c>
      <c r="K698" s="2">
        <v>7.0</v>
      </c>
      <c r="O698" s="2" t="s">
        <v>689</v>
      </c>
      <c r="P698" s="2" t="s">
        <v>166</v>
      </c>
      <c r="R698" s="2" t="s">
        <v>434</v>
      </c>
      <c r="S698" s="11">
        <v>42191.771145833336</v>
      </c>
    </row>
    <row r="699" ht="12.75" hidden="1" customHeight="1">
      <c r="A699" s="2" t="str">
        <f>IF(VLOOKUP(E699,Sheet4!$A$585:$B$786,2,0)=0,1, )</f>
        <v>1</v>
      </c>
      <c r="B699" s="2" t="str">
        <f t="shared" si="1"/>
        <v>1</v>
      </c>
      <c r="C699" s="2" t="str">
        <f t="shared" si="2"/>
        <v>2000004050-15212</v>
      </c>
      <c r="D699" s="2">
        <v>3.2005476E8</v>
      </c>
      <c r="E699" s="2">
        <v>2.00000405E9</v>
      </c>
      <c r="F699" s="2">
        <v>15212.0</v>
      </c>
      <c r="G699" s="2">
        <v>-1.0</v>
      </c>
      <c r="H699" s="2">
        <v>0.0</v>
      </c>
      <c r="I699" s="2">
        <v>-470000.0</v>
      </c>
      <c r="J699" s="2">
        <v>1.0</v>
      </c>
      <c r="K699" s="2">
        <v>7.0</v>
      </c>
      <c r="O699" s="2" t="s">
        <v>472</v>
      </c>
      <c r="P699" s="2" t="s">
        <v>166</v>
      </c>
      <c r="R699" s="2" t="s">
        <v>434</v>
      </c>
      <c r="S699" s="11">
        <v>42191.77113425926</v>
      </c>
    </row>
    <row r="700" ht="12.75" hidden="1" customHeight="1">
      <c r="A700" s="2" t="str">
        <f>IF(VLOOKUP(E700,Sheet4!$A$585:$B$786,2,0)=0,1, )</f>
        <v>1</v>
      </c>
      <c r="B700" s="2" t="str">
        <f t="shared" si="1"/>
        <v>1</v>
      </c>
      <c r="C700" s="2" t="str">
        <f t="shared" si="2"/>
        <v>2000004053-8569</v>
      </c>
      <c r="D700" s="2">
        <v>3.20054804E8</v>
      </c>
      <c r="E700" s="2">
        <v>2.000004053E9</v>
      </c>
      <c r="F700" s="2">
        <v>8569.0</v>
      </c>
      <c r="G700" s="2">
        <v>1.0</v>
      </c>
      <c r="H700" s="2">
        <v>0.0</v>
      </c>
      <c r="I700" s="2">
        <v>255000.0</v>
      </c>
      <c r="J700" s="2">
        <v>1.0</v>
      </c>
      <c r="K700" s="2">
        <v>7.0</v>
      </c>
      <c r="O700" s="2" t="s">
        <v>736</v>
      </c>
      <c r="P700" s="2" t="s">
        <v>166</v>
      </c>
      <c r="R700" s="2" t="s">
        <v>434</v>
      </c>
      <c r="S700" s="11">
        <v>42191.80200231481</v>
      </c>
    </row>
    <row r="701" ht="12.75" hidden="1" customHeight="1">
      <c r="A701" s="2" t="str">
        <f>IF(VLOOKUP(E701,Sheet4!$A$585:$B$786,2,0)=0,1, )</f>
        <v>1</v>
      </c>
      <c r="B701" s="2" t="str">
        <f t="shared" si="1"/>
        <v/>
      </c>
      <c r="C701" s="2" t="str">
        <f t="shared" si="2"/>
        <v>2000004053-8569</v>
      </c>
      <c r="D701" s="2">
        <v>3.20054803E8</v>
      </c>
      <c r="E701" s="2">
        <v>2.000004053E9</v>
      </c>
      <c r="F701" s="2">
        <v>8569.0</v>
      </c>
      <c r="G701" s="2">
        <v>1.0</v>
      </c>
      <c r="H701" s="2">
        <v>0.0</v>
      </c>
      <c r="I701" s="2">
        <v>255000.0</v>
      </c>
      <c r="J701" s="2">
        <v>1.0</v>
      </c>
      <c r="K701" s="2">
        <v>7.0</v>
      </c>
      <c r="O701" s="2" t="s">
        <v>736</v>
      </c>
      <c r="P701" s="2" t="s">
        <v>166</v>
      </c>
      <c r="R701" s="2" t="s">
        <v>434</v>
      </c>
      <c r="S701" s="11">
        <v>42191.80200231481</v>
      </c>
    </row>
    <row r="702" ht="12.75" hidden="1" customHeight="1">
      <c r="A702" s="2" t="str">
        <f>IF(VLOOKUP(E702,Sheet4!$A$585:$B$786,2,0)=0,1, )</f>
        <v>1</v>
      </c>
      <c r="B702" s="2" t="str">
        <f t="shared" si="1"/>
        <v>1</v>
      </c>
      <c r="C702" s="2" t="str">
        <f t="shared" si="2"/>
        <v>2000004054-991</v>
      </c>
      <c r="D702" s="2">
        <v>3.20054823E8</v>
      </c>
      <c r="E702" s="2">
        <v>2.000004054E9</v>
      </c>
      <c r="F702" s="2">
        <v>991.0</v>
      </c>
      <c r="G702" s="2">
        <v>1.0</v>
      </c>
      <c r="H702" s="2">
        <v>0.0</v>
      </c>
      <c r="I702" s="2">
        <v>590000.0</v>
      </c>
      <c r="J702" s="2">
        <v>1.0</v>
      </c>
      <c r="K702" s="2">
        <v>7.0</v>
      </c>
      <c r="O702" s="2" t="s">
        <v>591</v>
      </c>
      <c r="P702" s="2" t="s">
        <v>166</v>
      </c>
      <c r="R702" s="2" t="s">
        <v>434</v>
      </c>
      <c r="S702" s="11">
        <v>42191.82863425926</v>
      </c>
    </row>
    <row r="703" ht="12.75" hidden="1" customHeight="1">
      <c r="A703" s="2" t="str">
        <f>IF(VLOOKUP(E703,Sheet4!$A$585:$B$786,2,0)=0,1, )</f>
        <v>1</v>
      </c>
      <c r="B703" s="2" t="str">
        <f t="shared" si="1"/>
        <v/>
      </c>
      <c r="C703" s="2" t="str">
        <f t="shared" si="2"/>
        <v>2000004054-991</v>
      </c>
      <c r="D703" s="2">
        <v>3.20054824E8</v>
      </c>
      <c r="E703" s="2">
        <v>2.000004054E9</v>
      </c>
      <c r="F703" s="2">
        <v>991.0</v>
      </c>
      <c r="G703" s="2">
        <v>1.0</v>
      </c>
      <c r="H703" s="2">
        <v>0.0</v>
      </c>
      <c r="I703" s="2">
        <v>590000.0</v>
      </c>
      <c r="J703" s="2">
        <v>1.0</v>
      </c>
      <c r="K703" s="2">
        <v>7.0</v>
      </c>
      <c r="O703" s="2" t="s">
        <v>591</v>
      </c>
      <c r="P703" s="2" t="s">
        <v>166</v>
      </c>
      <c r="R703" s="2" t="s">
        <v>434</v>
      </c>
      <c r="S703" s="11">
        <v>42191.82863425926</v>
      </c>
    </row>
    <row r="704" ht="12.75" hidden="1" customHeight="1">
      <c r="A704" s="2" t="str">
        <f>IF(VLOOKUP(E704,Sheet4!$A$585:$B$786,2,0)=0,1, )</f>
        <v>1</v>
      </c>
      <c r="B704" s="2" t="str">
        <f t="shared" si="1"/>
        <v>1</v>
      </c>
      <c r="C704" s="2" t="str">
        <f t="shared" si="2"/>
        <v>2000004055-6329</v>
      </c>
      <c r="D704" s="2">
        <v>3.20054826E8</v>
      </c>
      <c r="E704" s="2">
        <v>2.000004055E9</v>
      </c>
      <c r="F704" s="2">
        <v>6329.0</v>
      </c>
      <c r="G704" s="2">
        <v>1.0</v>
      </c>
      <c r="H704" s="2">
        <v>0.0</v>
      </c>
      <c r="I704" s="2">
        <v>300000.0</v>
      </c>
      <c r="J704" s="2">
        <v>1.0</v>
      </c>
      <c r="K704" s="2">
        <v>7.0</v>
      </c>
      <c r="O704" s="2" t="s">
        <v>521</v>
      </c>
      <c r="P704" s="2" t="s">
        <v>166</v>
      </c>
      <c r="R704" s="2" t="s">
        <v>434</v>
      </c>
      <c r="S704" s="11">
        <v>42191.84028935185</v>
      </c>
    </row>
    <row r="705" ht="12.75" hidden="1" customHeight="1">
      <c r="A705" s="2" t="str">
        <f>IF(VLOOKUP(E705,Sheet4!$A$585:$B$786,2,0)=0,1, )</f>
        <v>1</v>
      </c>
      <c r="B705" s="2" t="str">
        <f t="shared" si="1"/>
        <v/>
      </c>
      <c r="C705" s="2" t="str">
        <f t="shared" si="2"/>
        <v>2000004055-6329</v>
      </c>
      <c r="D705" s="2">
        <v>3.20054825E8</v>
      </c>
      <c r="E705" s="2">
        <v>2.000004055E9</v>
      </c>
      <c r="F705" s="2">
        <v>6329.0</v>
      </c>
      <c r="G705" s="2">
        <v>1.0</v>
      </c>
      <c r="H705" s="2">
        <v>0.0</v>
      </c>
      <c r="I705" s="2">
        <v>300000.0</v>
      </c>
      <c r="J705" s="2">
        <v>1.0</v>
      </c>
      <c r="K705" s="2">
        <v>7.0</v>
      </c>
      <c r="O705" s="2" t="s">
        <v>521</v>
      </c>
      <c r="P705" s="2" t="s">
        <v>166</v>
      </c>
      <c r="R705" s="2" t="s">
        <v>434</v>
      </c>
      <c r="S705" s="11">
        <v>42191.84028935185</v>
      </c>
    </row>
    <row r="706" ht="12.75" hidden="1" customHeight="1">
      <c r="A706" s="2" t="str">
        <f>IF(VLOOKUP(E706,Sheet4!$A$585:$B$786,2,0)=0,1, )</f>
        <v>1</v>
      </c>
      <c r="B706" s="2" t="str">
        <f t="shared" si="1"/>
        <v>1</v>
      </c>
      <c r="C706" s="2" t="str">
        <f t="shared" si="2"/>
        <v>2000004055-6402</v>
      </c>
      <c r="D706" s="2">
        <v>3.20054827E8</v>
      </c>
      <c r="E706" s="2">
        <v>2.000004055E9</v>
      </c>
      <c r="F706" s="2">
        <v>6402.0</v>
      </c>
      <c r="G706" s="2">
        <v>2.0</v>
      </c>
      <c r="H706" s="2">
        <v>0.0</v>
      </c>
      <c r="I706" s="2">
        <v>158000.0</v>
      </c>
      <c r="J706" s="2">
        <v>1.0</v>
      </c>
      <c r="K706" s="2">
        <v>7.0</v>
      </c>
      <c r="O706" s="2" t="s">
        <v>453</v>
      </c>
      <c r="P706" s="2" t="s">
        <v>166</v>
      </c>
      <c r="R706" s="2" t="s">
        <v>434</v>
      </c>
      <c r="S706" s="11">
        <v>42191.84028935185</v>
      </c>
    </row>
    <row r="707" ht="12.75" hidden="1" customHeight="1">
      <c r="A707" s="2" t="str">
        <f>IF(VLOOKUP(E707,Sheet4!$A$585:$B$786,2,0)=0,1, )</f>
        <v>1</v>
      </c>
      <c r="B707" s="2" t="str">
        <f t="shared" si="1"/>
        <v/>
      </c>
      <c r="C707" s="2" t="str">
        <f t="shared" si="2"/>
        <v>2000004055-6402</v>
      </c>
      <c r="D707" s="2">
        <v>3.20054828E8</v>
      </c>
      <c r="E707" s="2">
        <v>2.000004055E9</v>
      </c>
      <c r="F707" s="2">
        <v>6402.0</v>
      </c>
      <c r="G707" s="2">
        <v>2.0</v>
      </c>
      <c r="H707" s="2">
        <v>0.0</v>
      </c>
      <c r="I707" s="2">
        <v>158000.0</v>
      </c>
      <c r="J707" s="2">
        <v>1.0</v>
      </c>
      <c r="K707" s="2">
        <v>7.0</v>
      </c>
      <c r="O707" s="2" t="s">
        <v>453</v>
      </c>
      <c r="P707" s="2" t="s">
        <v>166</v>
      </c>
      <c r="R707" s="2" t="s">
        <v>434</v>
      </c>
      <c r="S707" s="11">
        <v>42191.84028935185</v>
      </c>
    </row>
    <row r="708" ht="12.75" hidden="1" customHeight="1">
      <c r="A708" s="2" t="str">
        <f>IF(VLOOKUP(E708,Sheet4!$A$585:$B$786,2,0)=0,1, )</f>
        <v>1</v>
      </c>
      <c r="B708" s="2" t="str">
        <f t="shared" si="1"/>
        <v>1</v>
      </c>
      <c r="C708" s="2" t="str">
        <f t="shared" si="2"/>
        <v>2000004063-8528</v>
      </c>
      <c r="D708" s="2">
        <v>3.20055179E8</v>
      </c>
      <c r="E708" s="2">
        <v>2.000004063E9</v>
      </c>
      <c r="F708" s="2">
        <v>8528.0</v>
      </c>
      <c r="G708" s="2">
        <v>4.0</v>
      </c>
      <c r="H708" s="2">
        <v>0.0</v>
      </c>
      <c r="I708" s="2">
        <v>220000.0</v>
      </c>
      <c r="J708" s="2">
        <v>1.0</v>
      </c>
      <c r="K708" s="2">
        <v>7.0</v>
      </c>
      <c r="O708" s="2" t="s">
        <v>531</v>
      </c>
      <c r="P708" s="2" t="s">
        <v>166</v>
      </c>
      <c r="R708" s="2" t="s">
        <v>434</v>
      </c>
      <c r="S708" s="11">
        <v>42192.38039351852</v>
      </c>
    </row>
    <row r="709" ht="12.75" hidden="1" customHeight="1">
      <c r="A709" s="2" t="str">
        <f>IF(VLOOKUP(E709,Sheet4!$A$585:$B$786,2,0)=0,1, )</f>
        <v>1</v>
      </c>
      <c r="B709" s="2" t="str">
        <f t="shared" si="1"/>
        <v/>
      </c>
      <c r="C709" s="2" t="str">
        <f t="shared" si="2"/>
        <v>2000004063-8528</v>
      </c>
      <c r="D709" s="2">
        <v>3.2005518E8</v>
      </c>
      <c r="E709" s="2">
        <v>2.000004063E9</v>
      </c>
      <c r="F709" s="2">
        <v>8528.0</v>
      </c>
      <c r="G709" s="2">
        <v>4.0</v>
      </c>
      <c r="H709" s="2">
        <v>0.0</v>
      </c>
      <c r="I709" s="2">
        <v>220000.0</v>
      </c>
      <c r="J709" s="2">
        <v>1.0</v>
      </c>
      <c r="K709" s="2">
        <v>7.0</v>
      </c>
      <c r="O709" s="2" t="s">
        <v>531</v>
      </c>
      <c r="P709" s="2" t="s">
        <v>166</v>
      </c>
      <c r="R709" s="2" t="s">
        <v>434</v>
      </c>
      <c r="S709" s="11">
        <v>42192.38039351852</v>
      </c>
    </row>
    <row r="710" ht="12.75" hidden="1" customHeight="1">
      <c r="A710" s="2" t="str">
        <f>IF(VLOOKUP(E710,Sheet4!$A$585:$B$786,2,0)=0,1, )</f>
        <v>1</v>
      </c>
      <c r="B710" s="2" t="str">
        <f t="shared" si="1"/>
        <v>1</v>
      </c>
      <c r="C710" s="2" t="str">
        <f t="shared" si="2"/>
        <v>2000004064-8521</v>
      </c>
      <c r="D710" s="2">
        <v>3.20055219E8</v>
      </c>
      <c r="E710" s="2">
        <v>2.000004064E9</v>
      </c>
      <c r="F710" s="2">
        <v>8521.0</v>
      </c>
      <c r="G710" s="2">
        <v>-1.0</v>
      </c>
      <c r="H710" s="2">
        <v>0.0</v>
      </c>
      <c r="I710" s="2">
        <v>-475000.0</v>
      </c>
      <c r="J710" s="2">
        <v>1.0</v>
      </c>
      <c r="K710" s="2">
        <v>7.0</v>
      </c>
      <c r="O710" s="2" t="s">
        <v>554</v>
      </c>
      <c r="P710" s="2" t="s">
        <v>166</v>
      </c>
      <c r="R710" s="2" t="s">
        <v>434</v>
      </c>
      <c r="S710" s="11">
        <v>42192.39423611111</v>
      </c>
    </row>
    <row r="711" ht="12.75" hidden="1" customHeight="1">
      <c r="A711" s="2" t="str">
        <f>IF(VLOOKUP(E711,Sheet4!$A$585:$B$786,2,0)=0,1, )</f>
        <v>1</v>
      </c>
      <c r="B711" s="2" t="str">
        <f t="shared" si="1"/>
        <v/>
      </c>
      <c r="C711" s="2" t="str">
        <f t="shared" si="2"/>
        <v>2000004064-8521</v>
      </c>
      <c r="D711" s="2">
        <v>3.20055218E8</v>
      </c>
      <c r="E711" s="2">
        <v>2.000004064E9</v>
      </c>
      <c r="F711" s="2">
        <v>8521.0</v>
      </c>
      <c r="G711" s="2">
        <v>-1.0</v>
      </c>
      <c r="H711" s="2">
        <v>0.0</v>
      </c>
      <c r="I711" s="2">
        <v>-475000.0</v>
      </c>
      <c r="J711" s="2">
        <v>1.0</v>
      </c>
      <c r="K711" s="2">
        <v>7.0</v>
      </c>
      <c r="O711" s="2" t="s">
        <v>554</v>
      </c>
      <c r="P711" s="2" t="s">
        <v>166</v>
      </c>
      <c r="R711" s="2" t="s">
        <v>434</v>
      </c>
      <c r="S711" s="11">
        <v>42192.39423611111</v>
      </c>
    </row>
    <row r="712" ht="12.75" hidden="1" customHeight="1">
      <c r="A712" s="2" t="str">
        <f>IF(VLOOKUP(E712,Sheet4!$A$585:$B$786,2,0)=0,1, )</f>
        <v>1</v>
      </c>
      <c r="B712" s="2" t="str">
        <f t="shared" si="1"/>
        <v>1</v>
      </c>
      <c r="C712" s="2" t="str">
        <f t="shared" si="2"/>
        <v>2000004064-8603</v>
      </c>
      <c r="D712" s="2">
        <v>3.20055217E8</v>
      </c>
      <c r="E712" s="2">
        <v>2.000004064E9</v>
      </c>
      <c r="F712" s="2">
        <v>8603.0</v>
      </c>
      <c r="G712" s="2">
        <v>1.0</v>
      </c>
      <c r="H712" s="2">
        <v>0.0</v>
      </c>
      <c r="I712" s="2">
        <v>555000.0</v>
      </c>
      <c r="J712" s="2">
        <v>1.0</v>
      </c>
      <c r="K712" s="2">
        <v>7.0</v>
      </c>
      <c r="O712" s="2" t="s">
        <v>602</v>
      </c>
      <c r="P712" s="2" t="s">
        <v>166</v>
      </c>
      <c r="R712" s="2" t="s">
        <v>434</v>
      </c>
      <c r="S712" s="11">
        <v>42192.39423611111</v>
      </c>
    </row>
    <row r="713" ht="12.75" hidden="1" customHeight="1">
      <c r="A713" s="2" t="str">
        <f>IF(VLOOKUP(E713,Sheet4!$A$585:$B$786,2,0)=0,1, )</f>
        <v>1</v>
      </c>
      <c r="B713" s="2" t="str">
        <f t="shared" si="1"/>
        <v>1</v>
      </c>
      <c r="C713" s="2" t="str">
        <f t="shared" si="2"/>
        <v>2000004067-92</v>
      </c>
      <c r="D713" s="2">
        <v>3.20055252E8</v>
      </c>
      <c r="E713" s="2">
        <v>2.000004067E9</v>
      </c>
      <c r="F713" s="2">
        <v>92.0</v>
      </c>
      <c r="G713" s="2">
        <v>1.0</v>
      </c>
      <c r="H713" s="2">
        <v>0.0</v>
      </c>
      <c r="I713" s="2">
        <v>195000.0</v>
      </c>
      <c r="J713" s="2">
        <v>1.0</v>
      </c>
      <c r="K713" s="2">
        <v>7.0</v>
      </c>
      <c r="O713" s="2" t="s">
        <v>744</v>
      </c>
      <c r="P713" s="2" t="s">
        <v>166</v>
      </c>
      <c r="R713" s="2" t="s">
        <v>434</v>
      </c>
      <c r="S713" s="11">
        <v>42192.41105324074</v>
      </c>
    </row>
    <row r="714" ht="12.75" hidden="1" customHeight="1">
      <c r="A714" s="2" t="str">
        <f>IF(VLOOKUP(E714,Sheet4!$A$585:$B$786,2,0)=0,1, )</f>
        <v>1</v>
      </c>
      <c r="B714" s="2" t="str">
        <f t="shared" si="1"/>
        <v/>
      </c>
      <c r="C714" s="2" t="str">
        <f t="shared" si="2"/>
        <v>2000004067-92</v>
      </c>
      <c r="D714" s="2">
        <v>3.20055251E8</v>
      </c>
      <c r="E714" s="2">
        <v>2.000004067E9</v>
      </c>
      <c r="F714" s="2">
        <v>92.0</v>
      </c>
      <c r="G714" s="2">
        <v>1.0</v>
      </c>
      <c r="H714" s="2">
        <v>0.0</v>
      </c>
      <c r="I714" s="2">
        <v>195000.0</v>
      </c>
      <c r="J714" s="2">
        <v>1.0</v>
      </c>
      <c r="K714" s="2">
        <v>7.0</v>
      </c>
      <c r="O714" s="2" t="s">
        <v>744</v>
      </c>
      <c r="P714" s="2" t="s">
        <v>166</v>
      </c>
      <c r="R714" s="2" t="s">
        <v>434</v>
      </c>
      <c r="S714" s="11">
        <v>42192.41105324074</v>
      </c>
    </row>
    <row r="715" ht="12.75" hidden="1" customHeight="1">
      <c r="A715" s="2" t="str">
        <f>IF(VLOOKUP(E715,Sheet4!$A$585:$B$786,2,0)=0,1, )</f>
        <v>1</v>
      </c>
      <c r="B715" s="2" t="str">
        <f t="shared" si="1"/>
        <v>1</v>
      </c>
      <c r="C715" s="2" t="str">
        <f t="shared" si="2"/>
        <v>2000004067-3364</v>
      </c>
      <c r="D715" s="2">
        <v>3.20055247E8</v>
      </c>
      <c r="E715" s="2">
        <v>2.000004067E9</v>
      </c>
      <c r="F715" s="2">
        <v>3364.0</v>
      </c>
      <c r="G715" s="2">
        <v>1.0</v>
      </c>
      <c r="H715" s="2">
        <v>0.0</v>
      </c>
      <c r="I715" s="2">
        <v>350000.0</v>
      </c>
      <c r="J715" s="2">
        <v>1.0</v>
      </c>
      <c r="K715" s="2">
        <v>7.0</v>
      </c>
      <c r="O715" s="2" t="s">
        <v>746</v>
      </c>
      <c r="P715" s="2" t="s">
        <v>166</v>
      </c>
      <c r="R715" s="2" t="s">
        <v>434</v>
      </c>
      <c r="S715" s="11">
        <v>42192.41105324074</v>
      </c>
    </row>
    <row r="716" ht="12.75" hidden="1" customHeight="1">
      <c r="A716" s="2" t="str">
        <f>IF(VLOOKUP(E716,Sheet4!$A$585:$B$786,2,0)=0,1, )</f>
        <v>1</v>
      </c>
      <c r="B716" s="2" t="str">
        <f t="shared" si="1"/>
        <v>1</v>
      </c>
      <c r="C716" s="2" t="str">
        <f t="shared" si="2"/>
        <v>2000004067-8520</v>
      </c>
      <c r="D716" s="2">
        <v>3.20055248E8</v>
      </c>
      <c r="E716" s="2">
        <v>2.000004067E9</v>
      </c>
      <c r="F716" s="2">
        <v>8520.0</v>
      </c>
      <c r="G716" s="2">
        <v>1.0</v>
      </c>
      <c r="H716" s="2">
        <v>0.0</v>
      </c>
      <c r="I716" s="2">
        <v>435000.0</v>
      </c>
      <c r="J716" s="2">
        <v>1.0</v>
      </c>
      <c r="K716" s="2">
        <v>7.0</v>
      </c>
      <c r="O716" s="2" t="s">
        <v>552</v>
      </c>
      <c r="P716" s="2" t="s">
        <v>166</v>
      </c>
      <c r="R716" s="2" t="s">
        <v>434</v>
      </c>
      <c r="S716" s="11">
        <v>42192.41105324074</v>
      </c>
    </row>
    <row r="717" ht="12.75" hidden="1" customHeight="1">
      <c r="A717" s="2" t="str">
        <f>IF(VLOOKUP(E717,Sheet4!$A$585:$B$786,2,0)=0,1, )</f>
        <v>1</v>
      </c>
      <c r="B717" s="2" t="str">
        <f t="shared" si="1"/>
        <v>1</v>
      </c>
      <c r="C717" s="2" t="str">
        <f t="shared" si="2"/>
        <v>2000004067-12546</v>
      </c>
      <c r="D717" s="2">
        <v>3.20055249E8</v>
      </c>
      <c r="E717" s="2">
        <v>2.000004067E9</v>
      </c>
      <c r="F717" s="2">
        <v>12546.0</v>
      </c>
      <c r="G717" s="2">
        <v>1.0</v>
      </c>
      <c r="H717" s="2">
        <v>0.0</v>
      </c>
      <c r="I717" s="2">
        <v>497000.0</v>
      </c>
      <c r="J717" s="2">
        <v>1.0</v>
      </c>
      <c r="K717" s="2">
        <v>7.0</v>
      </c>
      <c r="O717" s="2" t="s">
        <v>749</v>
      </c>
      <c r="P717" s="2" t="s">
        <v>166</v>
      </c>
      <c r="R717" s="2" t="s">
        <v>434</v>
      </c>
      <c r="S717" s="11">
        <v>42192.41105324074</v>
      </c>
    </row>
    <row r="718" ht="12.75" hidden="1" customHeight="1">
      <c r="A718" s="2" t="str">
        <f>IF(VLOOKUP(E718,Sheet4!$A$585:$B$786,2,0)=0,1, )</f>
        <v>1</v>
      </c>
      <c r="B718" s="2" t="str">
        <f t="shared" si="1"/>
        <v>1</v>
      </c>
      <c r="C718" s="2" t="str">
        <f t="shared" si="2"/>
        <v>2000004067-15119</v>
      </c>
      <c r="D718" s="2">
        <v>3.2005525E8</v>
      </c>
      <c r="E718" s="2">
        <v>2.000004067E9</v>
      </c>
      <c r="F718" s="2">
        <v>15119.0</v>
      </c>
      <c r="G718" s="2">
        <v>1.0</v>
      </c>
      <c r="H718" s="2">
        <v>0.0</v>
      </c>
      <c r="I718" s="2">
        <v>530000.0</v>
      </c>
      <c r="J718" s="2">
        <v>1.0</v>
      </c>
      <c r="K718" s="2">
        <v>7.0</v>
      </c>
      <c r="O718" s="2" t="s">
        <v>470</v>
      </c>
      <c r="P718" s="2" t="s">
        <v>166</v>
      </c>
      <c r="R718" s="2" t="s">
        <v>434</v>
      </c>
      <c r="S718" s="11">
        <v>42192.41105324074</v>
      </c>
    </row>
    <row r="719" ht="12.75" hidden="1" customHeight="1">
      <c r="A719" s="2" t="str">
        <f>IF(VLOOKUP(E719,Sheet4!$A$585:$B$786,2,0)=0,1, )</f>
        <v>1</v>
      </c>
      <c r="B719" s="2" t="str">
        <f t="shared" si="1"/>
        <v>1</v>
      </c>
      <c r="C719" s="2" t="str">
        <f t="shared" si="2"/>
        <v>2000004070-8518</v>
      </c>
      <c r="D719" s="2">
        <v>3.20055308E8</v>
      </c>
      <c r="E719" s="2">
        <v>2.00000407E9</v>
      </c>
      <c r="F719" s="2">
        <v>8518.0</v>
      </c>
      <c r="G719" s="2">
        <v>1.0</v>
      </c>
      <c r="H719" s="2">
        <v>0.0</v>
      </c>
      <c r="I719" s="2">
        <v>335000.0</v>
      </c>
      <c r="J719" s="2">
        <v>1.0</v>
      </c>
      <c r="K719" s="2">
        <v>7.0</v>
      </c>
      <c r="O719" s="2" t="s">
        <v>506</v>
      </c>
      <c r="P719" s="2" t="s">
        <v>166</v>
      </c>
      <c r="R719" s="2" t="s">
        <v>434</v>
      </c>
      <c r="S719" s="11">
        <v>42192.437523148146</v>
      </c>
    </row>
    <row r="720" ht="12.75" hidden="1" customHeight="1">
      <c r="A720" s="2" t="str">
        <f>IF(VLOOKUP(E720,Sheet4!$A$585:$B$786,2,0)=0,1, )</f>
        <v>1</v>
      </c>
      <c r="B720" s="2" t="str">
        <f t="shared" si="1"/>
        <v/>
      </c>
      <c r="C720" s="2" t="str">
        <f t="shared" si="2"/>
        <v>2000004070-8518</v>
      </c>
      <c r="D720" s="2">
        <v>3.20055309E8</v>
      </c>
      <c r="E720" s="2">
        <v>2.00000407E9</v>
      </c>
      <c r="F720" s="2">
        <v>8518.0</v>
      </c>
      <c r="G720" s="2">
        <v>1.0</v>
      </c>
      <c r="H720" s="2">
        <v>0.0</v>
      </c>
      <c r="I720" s="2">
        <v>335000.0</v>
      </c>
      <c r="J720" s="2">
        <v>1.0</v>
      </c>
      <c r="K720" s="2">
        <v>7.0</v>
      </c>
      <c r="O720" s="2" t="s">
        <v>506</v>
      </c>
      <c r="P720" s="2" t="s">
        <v>166</v>
      </c>
      <c r="R720" s="2" t="s">
        <v>434</v>
      </c>
      <c r="S720" s="11">
        <v>42192.437523148146</v>
      </c>
    </row>
    <row r="721" ht="12.75" hidden="1" customHeight="1">
      <c r="A721" s="2" t="str">
        <f>IF(VLOOKUP(E721,Sheet4!$A$585:$B$786,2,0)=0,1, )</f>
        <v>1</v>
      </c>
      <c r="B721" s="2" t="str">
        <f t="shared" si="1"/>
        <v>1</v>
      </c>
      <c r="C721" s="2" t="str">
        <f t="shared" si="2"/>
        <v>2000004070-14122</v>
      </c>
      <c r="D721" s="2">
        <v>3.20055315E8</v>
      </c>
      <c r="E721" s="2">
        <v>2.00000407E9</v>
      </c>
      <c r="F721" s="2">
        <v>14122.0</v>
      </c>
      <c r="G721" s="2">
        <v>1.0</v>
      </c>
      <c r="H721" s="2">
        <v>0.0</v>
      </c>
      <c r="I721" s="2">
        <v>538000.0</v>
      </c>
      <c r="J721" s="2">
        <v>1.0</v>
      </c>
      <c r="K721" s="2">
        <v>7.0</v>
      </c>
      <c r="O721" s="2" t="s">
        <v>753</v>
      </c>
      <c r="P721" s="2" t="s">
        <v>166</v>
      </c>
      <c r="R721" s="2" t="s">
        <v>434</v>
      </c>
      <c r="S721" s="11">
        <v>42192.43753472222</v>
      </c>
    </row>
    <row r="722" ht="12.75" hidden="1" customHeight="1">
      <c r="A722" s="2" t="str">
        <f>IF(VLOOKUP(E722,Sheet4!$A$585:$B$786,2,0)=0,1, )</f>
        <v>1</v>
      </c>
      <c r="B722" s="2" t="str">
        <f t="shared" si="1"/>
        <v/>
      </c>
      <c r="C722" s="2" t="str">
        <f t="shared" si="2"/>
        <v>2000004070-14122</v>
      </c>
      <c r="D722" s="2">
        <v>3.20055314E8</v>
      </c>
      <c r="E722" s="2">
        <v>2.00000407E9</v>
      </c>
      <c r="F722" s="2">
        <v>14122.0</v>
      </c>
      <c r="G722" s="2">
        <v>1.0</v>
      </c>
      <c r="H722" s="2">
        <v>0.0</v>
      </c>
      <c r="I722" s="2">
        <v>538000.0</v>
      </c>
      <c r="J722" s="2">
        <v>1.0</v>
      </c>
      <c r="K722" s="2">
        <v>7.0</v>
      </c>
      <c r="O722" s="2" t="s">
        <v>753</v>
      </c>
      <c r="P722" s="2" t="s">
        <v>166</v>
      </c>
      <c r="R722" s="2" t="s">
        <v>434</v>
      </c>
      <c r="S722" s="11">
        <v>42192.43753472222</v>
      </c>
    </row>
    <row r="723" ht="12.75" hidden="1" customHeight="1">
      <c r="A723" s="2" t="str">
        <f>IF(VLOOKUP(E723,Sheet4!$A$585:$B$786,2,0)=0,1, )</f>
        <v>1</v>
      </c>
      <c r="B723" s="2" t="str">
        <f t="shared" si="1"/>
        <v>1</v>
      </c>
      <c r="C723" s="2" t="str">
        <f t="shared" si="2"/>
        <v>2000004070-15119</v>
      </c>
      <c r="D723" s="2">
        <v>3.20055312E8</v>
      </c>
      <c r="E723" s="2">
        <v>2.00000407E9</v>
      </c>
      <c r="F723" s="2">
        <v>15119.0</v>
      </c>
      <c r="G723" s="2">
        <v>1.0</v>
      </c>
      <c r="H723" s="2">
        <v>0.0</v>
      </c>
      <c r="I723" s="2">
        <v>530000.0</v>
      </c>
      <c r="J723" s="2">
        <v>1.0</v>
      </c>
      <c r="K723" s="2">
        <v>7.0</v>
      </c>
      <c r="O723" s="2" t="s">
        <v>470</v>
      </c>
      <c r="P723" s="2" t="s">
        <v>166</v>
      </c>
      <c r="R723" s="2" t="s">
        <v>434</v>
      </c>
      <c r="S723" s="11">
        <v>42192.43753472222</v>
      </c>
    </row>
    <row r="724" ht="12.75" hidden="1" customHeight="1">
      <c r="A724" s="2" t="str">
        <f>IF(VLOOKUP(E724,Sheet4!$A$585:$B$786,2,0)=0,1, )</f>
        <v>1</v>
      </c>
      <c r="B724" s="2" t="str">
        <f t="shared" si="1"/>
        <v/>
      </c>
      <c r="C724" s="2" t="str">
        <f t="shared" si="2"/>
        <v>2000004070-15119</v>
      </c>
      <c r="D724" s="2">
        <v>3.20055313E8</v>
      </c>
      <c r="E724" s="2">
        <v>2.00000407E9</v>
      </c>
      <c r="F724" s="2">
        <v>15119.0</v>
      </c>
      <c r="G724" s="2">
        <v>1.0</v>
      </c>
      <c r="H724" s="2">
        <v>0.0</v>
      </c>
      <c r="I724" s="2">
        <v>530000.0</v>
      </c>
      <c r="J724" s="2">
        <v>1.0</v>
      </c>
      <c r="K724" s="2">
        <v>7.0</v>
      </c>
      <c r="O724" s="2" t="s">
        <v>470</v>
      </c>
      <c r="P724" s="2" t="s">
        <v>166</v>
      </c>
      <c r="R724" s="2" t="s">
        <v>434</v>
      </c>
      <c r="S724" s="11">
        <v>42192.43753472222</v>
      </c>
    </row>
    <row r="725" ht="12.75" hidden="1" customHeight="1">
      <c r="A725" s="2" t="str">
        <f>IF(VLOOKUP(E725,Sheet4!$A$585:$B$786,2,0)=0,1, )</f>
        <v>1</v>
      </c>
      <c r="B725" s="2" t="str">
        <f t="shared" si="1"/>
        <v>1</v>
      </c>
      <c r="C725" s="2" t="str">
        <f t="shared" si="2"/>
        <v>2000004070-14000035</v>
      </c>
      <c r="D725" s="2">
        <v>3.20055311E8</v>
      </c>
      <c r="E725" s="2">
        <v>2.00000407E9</v>
      </c>
      <c r="F725" s="2">
        <v>1.4000035E7</v>
      </c>
      <c r="G725" s="2">
        <v>1.0</v>
      </c>
      <c r="H725" s="2">
        <v>0.0</v>
      </c>
      <c r="I725" s="2">
        <v>538000.0</v>
      </c>
      <c r="J725" s="2">
        <v>1.0</v>
      </c>
      <c r="K725" s="2">
        <v>7.0</v>
      </c>
      <c r="O725" s="2" t="s">
        <v>634</v>
      </c>
      <c r="P725" s="2" t="s">
        <v>166</v>
      </c>
      <c r="R725" s="2" t="s">
        <v>434</v>
      </c>
      <c r="S725" s="11">
        <v>42192.43753472222</v>
      </c>
    </row>
    <row r="726" ht="12.75" hidden="1" customHeight="1">
      <c r="A726" s="2" t="str">
        <f>IF(VLOOKUP(E726,Sheet4!$A$585:$B$786,2,0)=0,1, )</f>
        <v>1</v>
      </c>
      <c r="B726" s="2" t="str">
        <f t="shared" si="1"/>
        <v/>
      </c>
      <c r="C726" s="2" t="str">
        <f t="shared" si="2"/>
        <v>2000004070-14000035</v>
      </c>
      <c r="D726" s="2">
        <v>3.2005531E8</v>
      </c>
      <c r="E726" s="2">
        <v>2.00000407E9</v>
      </c>
      <c r="F726" s="2">
        <v>1.4000035E7</v>
      </c>
      <c r="G726" s="2">
        <v>1.0</v>
      </c>
      <c r="H726" s="2">
        <v>0.0</v>
      </c>
      <c r="I726" s="2">
        <v>538000.0</v>
      </c>
      <c r="J726" s="2">
        <v>1.0</v>
      </c>
      <c r="K726" s="2">
        <v>7.0</v>
      </c>
      <c r="O726" s="2" t="s">
        <v>634</v>
      </c>
      <c r="P726" s="2" t="s">
        <v>166</v>
      </c>
      <c r="R726" s="2" t="s">
        <v>434</v>
      </c>
      <c r="S726" s="11">
        <v>42192.43753472222</v>
      </c>
    </row>
    <row r="727" ht="12.75" hidden="1" customHeight="1">
      <c r="A727" s="2" t="str">
        <f>IF(VLOOKUP(E727,Sheet4!$A$585:$B$786,2,0)=0,1, )</f>
        <v>1</v>
      </c>
      <c r="B727" s="2" t="str">
        <f t="shared" si="1"/>
        <v>1</v>
      </c>
      <c r="C727" s="2" t="str">
        <f t="shared" si="2"/>
        <v>2000004079-991</v>
      </c>
      <c r="D727" s="2">
        <v>3.20055576E8</v>
      </c>
      <c r="E727" s="2">
        <v>2.000004079E9</v>
      </c>
      <c r="F727" s="2">
        <v>991.0</v>
      </c>
      <c r="G727" s="2">
        <v>1.0</v>
      </c>
      <c r="H727" s="2">
        <v>0.0</v>
      </c>
      <c r="I727" s="2">
        <v>590000.0</v>
      </c>
      <c r="J727" s="2">
        <v>1.0</v>
      </c>
      <c r="K727" s="2">
        <v>7.0</v>
      </c>
      <c r="O727" s="2" t="s">
        <v>591</v>
      </c>
      <c r="P727" s="2" t="s">
        <v>166</v>
      </c>
      <c r="R727" s="2" t="s">
        <v>434</v>
      </c>
      <c r="S727" s="11">
        <v>42192.69361111111</v>
      </c>
    </row>
    <row r="728" ht="12.75" hidden="1" customHeight="1">
      <c r="A728" s="2" t="str">
        <f>IF(VLOOKUP(E728,Sheet4!$A$585:$B$786,2,0)=0,1, )</f>
        <v>1</v>
      </c>
      <c r="B728" s="2" t="str">
        <f t="shared" si="1"/>
        <v/>
      </c>
      <c r="C728" s="2" t="str">
        <f t="shared" si="2"/>
        <v>2000004079-991</v>
      </c>
      <c r="D728" s="2">
        <v>3.20055577E8</v>
      </c>
      <c r="E728" s="2">
        <v>2.000004079E9</v>
      </c>
      <c r="F728" s="2">
        <v>991.0</v>
      </c>
      <c r="G728" s="2">
        <v>1.0</v>
      </c>
      <c r="H728" s="2">
        <v>0.0</v>
      </c>
      <c r="I728" s="2">
        <v>590000.0</v>
      </c>
      <c r="J728" s="2">
        <v>1.0</v>
      </c>
      <c r="K728" s="2">
        <v>7.0</v>
      </c>
      <c r="O728" s="2" t="s">
        <v>591</v>
      </c>
      <c r="P728" s="2" t="s">
        <v>166</v>
      </c>
      <c r="R728" s="2" t="s">
        <v>434</v>
      </c>
      <c r="S728" s="11">
        <v>42192.69361111111</v>
      </c>
    </row>
    <row r="729" ht="12.75" hidden="1" customHeight="1">
      <c r="A729" s="2" t="str">
        <f>IF(VLOOKUP(E729,Sheet4!$A$585:$B$786,2,0)=0,1, )</f>
        <v>1</v>
      </c>
      <c r="B729" s="2" t="str">
        <f t="shared" si="1"/>
        <v/>
      </c>
      <c r="C729" s="2" t="str">
        <f t="shared" si="2"/>
        <v>2000004079-991</v>
      </c>
      <c r="D729" s="2">
        <v>3.20055578E8</v>
      </c>
      <c r="E729" s="2">
        <v>2.000004079E9</v>
      </c>
      <c r="F729" s="2">
        <v>991.0</v>
      </c>
      <c r="G729" s="2">
        <v>1.0</v>
      </c>
      <c r="H729" s="2">
        <v>0.0</v>
      </c>
      <c r="I729" s="2">
        <v>590000.0</v>
      </c>
      <c r="J729" s="2">
        <v>1.0</v>
      </c>
      <c r="K729" s="2">
        <v>7.0</v>
      </c>
      <c r="O729" s="2" t="s">
        <v>591</v>
      </c>
      <c r="P729" s="2" t="s">
        <v>166</v>
      </c>
      <c r="R729" s="2" t="s">
        <v>434</v>
      </c>
      <c r="S729" s="11">
        <v>42192.69361111111</v>
      </c>
    </row>
    <row r="730" ht="12.75" hidden="1" customHeight="1">
      <c r="A730" s="2" t="str">
        <f>IF(VLOOKUP(E730,Sheet4!$A$585:$B$786,2,0)=0,1, )</f>
        <v>1</v>
      </c>
      <c r="B730" s="2" t="str">
        <f t="shared" si="1"/>
        <v>1</v>
      </c>
      <c r="C730" s="2" t="str">
        <f t="shared" si="2"/>
        <v>2000004079-996</v>
      </c>
      <c r="D730" s="2">
        <v>3.20055581E8</v>
      </c>
      <c r="E730" s="2">
        <v>2.000004079E9</v>
      </c>
      <c r="F730" s="2">
        <v>996.0</v>
      </c>
      <c r="G730" s="2">
        <v>1.0</v>
      </c>
      <c r="H730" s="2">
        <v>0.0</v>
      </c>
      <c r="I730" s="2">
        <v>535000.0</v>
      </c>
      <c r="J730" s="2">
        <v>1.0</v>
      </c>
      <c r="K730" s="2">
        <v>7.0</v>
      </c>
      <c r="O730" s="2" t="s">
        <v>679</v>
      </c>
      <c r="P730" s="2" t="s">
        <v>166</v>
      </c>
      <c r="R730" s="2" t="s">
        <v>434</v>
      </c>
      <c r="S730" s="11">
        <v>42192.69361111111</v>
      </c>
    </row>
    <row r="731" ht="12.75" hidden="1" customHeight="1">
      <c r="A731" s="2" t="str">
        <f>IF(VLOOKUP(E731,Sheet4!$A$585:$B$786,2,0)=0,1, )</f>
        <v>1</v>
      </c>
      <c r="B731" s="2" t="str">
        <f t="shared" si="1"/>
        <v/>
      </c>
      <c r="C731" s="2" t="str">
        <f t="shared" si="2"/>
        <v>2000004079-996</v>
      </c>
      <c r="D731" s="2">
        <v>3.2005558E8</v>
      </c>
      <c r="E731" s="2">
        <v>2.000004079E9</v>
      </c>
      <c r="F731" s="2">
        <v>996.0</v>
      </c>
      <c r="G731" s="2">
        <v>1.0</v>
      </c>
      <c r="H731" s="2">
        <v>0.0</v>
      </c>
      <c r="I731" s="2">
        <v>535000.0</v>
      </c>
      <c r="J731" s="2">
        <v>1.0</v>
      </c>
      <c r="K731" s="2">
        <v>7.0</v>
      </c>
      <c r="O731" s="2" t="s">
        <v>679</v>
      </c>
      <c r="P731" s="2" t="s">
        <v>166</v>
      </c>
      <c r="R731" s="2" t="s">
        <v>434</v>
      </c>
      <c r="S731" s="11">
        <v>42192.69361111111</v>
      </c>
    </row>
    <row r="732" ht="12.75" hidden="1" customHeight="1">
      <c r="A732" s="2" t="str">
        <f>IF(VLOOKUP(E732,Sheet4!$A$585:$B$786,2,0)=0,1, )</f>
        <v>1</v>
      </c>
      <c r="B732" s="2" t="str">
        <f t="shared" si="1"/>
        <v/>
      </c>
      <c r="C732" s="2" t="str">
        <f t="shared" si="2"/>
        <v>2000004079-996</v>
      </c>
      <c r="D732" s="2">
        <v>3.20055579E8</v>
      </c>
      <c r="E732" s="2">
        <v>2.000004079E9</v>
      </c>
      <c r="F732" s="2">
        <v>996.0</v>
      </c>
      <c r="G732" s="2">
        <v>1.0</v>
      </c>
      <c r="H732" s="2">
        <v>0.0</v>
      </c>
      <c r="I732" s="2">
        <v>535000.0</v>
      </c>
      <c r="J732" s="2">
        <v>1.0</v>
      </c>
      <c r="K732" s="2">
        <v>7.0</v>
      </c>
      <c r="O732" s="2" t="s">
        <v>679</v>
      </c>
      <c r="P732" s="2" t="s">
        <v>166</v>
      </c>
      <c r="R732" s="2" t="s">
        <v>434</v>
      </c>
      <c r="S732" s="11">
        <v>42192.69361111111</v>
      </c>
    </row>
    <row r="733" ht="12.75" hidden="1" customHeight="1">
      <c r="A733" s="2" t="str">
        <f>IF(VLOOKUP(E733,Sheet4!$A$585:$B$786,2,0)=0,1, )</f>
        <v>1</v>
      </c>
      <c r="B733" s="2" t="str">
        <f t="shared" si="1"/>
        <v>1</v>
      </c>
      <c r="C733" s="2" t="str">
        <f t="shared" si="2"/>
        <v>2000004079-6996</v>
      </c>
      <c r="D733" s="2">
        <v>3.20055575E8</v>
      </c>
      <c r="E733" s="2">
        <v>2.000004079E9</v>
      </c>
      <c r="F733" s="2">
        <v>6996.0</v>
      </c>
      <c r="G733" s="2">
        <v>1.0</v>
      </c>
      <c r="H733" s="2">
        <v>0.0</v>
      </c>
      <c r="I733" s="2">
        <v>360000.0</v>
      </c>
      <c r="J733" s="2">
        <v>1.0</v>
      </c>
      <c r="K733" s="2">
        <v>7.0</v>
      </c>
      <c r="O733" s="2" t="s">
        <v>759</v>
      </c>
      <c r="P733" s="2" t="s">
        <v>166</v>
      </c>
      <c r="R733" s="2" t="s">
        <v>434</v>
      </c>
      <c r="S733" s="11">
        <v>42192.69361111111</v>
      </c>
    </row>
    <row r="734" ht="12.75" hidden="1" customHeight="1">
      <c r="A734" s="2" t="str">
        <f>IF(VLOOKUP(E734,Sheet4!$A$585:$B$786,2,0)=0,1, )</f>
        <v>1</v>
      </c>
      <c r="B734" s="2" t="str">
        <f t="shared" si="1"/>
        <v/>
      </c>
      <c r="C734" s="2" t="str">
        <f t="shared" si="2"/>
        <v>2000004079-6996</v>
      </c>
      <c r="D734" s="2">
        <v>3.20055574E8</v>
      </c>
      <c r="E734" s="2">
        <v>2.000004079E9</v>
      </c>
      <c r="F734" s="2">
        <v>6996.0</v>
      </c>
      <c r="G734" s="2">
        <v>1.0</v>
      </c>
      <c r="H734" s="2">
        <v>0.0</v>
      </c>
      <c r="I734" s="2">
        <v>360000.0</v>
      </c>
      <c r="J734" s="2">
        <v>1.0</v>
      </c>
      <c r="K734" s="2">
        <v>7.0</v>
      </c>
      <c r="O734" s="2" t="s">
        <v>759</v>
      </c>
      <c r="P734" s="2" t="s">
        <v>166</v>
      </c>
      <c r="R734" s="2" t="s">
        <v>434</v>
      </c>
      <c r="S734" s="11">
        <v>42192.69361111111</v>
      </c>
    </row>
    <row r="735" ht="12.75" hidden="1" customHeight="1">
      <c r="A735" s="2" t="str">
        <f>IF(VLOOKUP(E735,Sheet4!$A$585:$B$786,2,0)=0,1, )</f>
        <v>1</v>
      </c>
      <c r="B735" s="2" t="str">
        <f t="shared" si="1"/>
        <v>1</v>
      </c>
      <c r="C735" s="2" t="str">
        <f t="shared" si="2"/>
        <v>2000004091-8528</v>
      </c>
      <c r="D735" s="2">
        <v>3.20055723E8</v>
      </c>
      <c r="E735" s="2">
        <v>2.000004091E9</v>
      </c>
      <c r="F735" s="2">
        <v>8528.0</v>
      </c>
      <c r="G735" s="2">
        <v>2.0</v>
      </c>
      <c r="H735" s="2">
        <v>0.0</v>
      </c>
      <c r="I735" s="2">
        <v>110000.0</v>
      </c>
      <c r="J735" s="2">
        <v>1.0</v>
      </c>
      <c r="K735" s="2">
        <v>7.0</v>
      </c>
      <c r="O735" s="2" t="s">
        <v>531</v>
      </c>
      <c r="P735" s="2" t="s">
        <v>166</v>
      </c>
      <c r="R735" s="2" t="s">
        <v>434</v>
      </c>
      <c r="S735" s="11">
        <v>42192.831041666665</v>
      </c>
    </row>
    <row r="736" ht="12.75" hidden="1" customHeight="1">
      <c r="A736" s="2" t="str">
        <f>IF(VLOOKUP(E736,Sheet4!$A$585:$B$786,2,0)=0,1, )</f>
        <v>1</v>
      </c>
      <c r="B736" s="2" t="str">
        <f t="shared" si="1"/>
        <v/>
      </c>
      <c r="C736" s="2" t="str">
        <f t="shared" si="2"/>
        <v>2000004091-8528</v>
      </c>
      <c r="D736" s="2">
        <v>3.20055724E8</v>
      </c>
      <c r="E736" s="2">
        <v>2.000004091E9</v>
      </c>
      <c r="F736" s="2">
        <v>8528.0</v>
      </c>
      <c r="G736" s="2">
        <v>2.0</v>
      </c>
      <c r="H736" s="2">
        <v>0.0</v>
      </c>
      <c r="I736" s="2">
        <v>110000.0</v>
      </c>
      <c r="J736" s="2">
        <v>1.0</v>
      </c>
      <c r="K736" s="2">
        <v>7.0</v>
      </c>
      <c r="O736" s="2" t="s">
        <v>531</v>
      </c>
      <c r="P736" s="2" t="s">
        <v>166</v>
      </c>
      <c r="R736" s="2" t="s">
        <v>434</v>
      </c>
      <c r="S736" s="11">
        <v>42192.831041666665</v>
      </c>
    </row>
    <row r="737" ht="12.75" hidden="1" customHeight="1">
      <c r="A737" s="2" t="str">
        <f>IF(VLOOKUP(E737,Sheet4!$A$585:$B$786,2,0)=0,1, )</f>
        <v>1</v>
      </c>
      <c r="B737" s="2" t="str">
        <f t="shared" si="1"/>
        <v>1</v>
      </c>
      <c r="C737" s="2" t="str">
        <f t="shared" si="2"/>
        <v>2000004092-8520</v>
      </c>
      <c r="D737" s="2">
        <v>3.20055736E8</v>
      </c>
      <c r="E737" s="2">
        <v>2.000004092E9</v>
      </c>
      <c r="F737" s="2">
        <v>8520.0</v>
      </c>
      <c r="G737" s="2">
        <v>1.0</v>
      </c>
      <c r="H737" s="2">
        <v>0.0</v>
      </c>
      <c r="I737" s="2">
        <v>435000.0</v>
      </c>
      <c r="J737" s="2">
        <v>1.0</v>
      </c>
      <c r="K737" s="2">
        <v>7.0</v>
      </c>
      <c r="O737" s="2" t="s">
        <v>552</v>
      </c>
      <c r="P737" s="2" t="s">
        <v>166</v>
      </c>
      <c r="R737" s="2" t="s">
        <v>434</v>
      </c>
      <c r="S737" s="11">
        <v>42192.85141203704</v>
      </c>
    </row>
    <row r="738" ht="12.75" hidden="1" customHeight="1">
      <c r="A738" s="2" t="str">
        <f>IF(VLOOKUP(E738,Sheet4!$A$585:$B$786,2,0)=0,1, )</f>
        <v>1</v>
      </c>
      <c r="B738" s="2" t="str">
        <f t="shared" si="1"/>
        <v/>
      </c>
      <c r="C738" s="2" t="str">
        <f t="shared" si="2"/>
        <v>2000004092-8520</v>
      </c>
      <c r="D738" s="2">
        <v>3.20055737E8</v>
      </c>
      <c r="E738" s="2">
        <v>2.000004092E9</v>
      </c>
      <c r="F738" s="2">
        <v>8520.0</v>
      </c>
      <c r="G738" s="2">
        <v>1.0</v>
      </c>
      <c r="H738" s="2">
        <v>0.0</v>
      </c>
      <c r="I738" s="2">
        <v>435000.0</v>
      </c>
      <c r="J738" s="2">
        <v>1.0</v>
      </c>
      <c r="K738" s="2">
        <v>7.0</v>
      </c>
      <c r="O738" s="2" t="s">
        <v>552</v>
      </c>
      <c r="P738" s="2" t="s">
        <v>166</v>
      </c>
      <c r="R738" s="2" t="s">
        <v>434</v>
      </c>
      <c r="S738" s="11">
        <v>42192.85141203704</v>
      </c>
    </row>
    <row r="739" ht="12.75" hidden="1" customHeight="1">
      <c r="A739" s="2" t="str">
        <f>IF(VLOOKUP(E739,Sheet4!$A$585:$B$786,2,0)=0,1, )</f>
        <v>1</v>
      </c>
      <c r="B739" s="2" t="str">
        <f t="shared" si="1"/>
        <v>1</v>
      </c>
      <c r="C739" s="2" t="str">
        <f t="shared" si="2"/>
        <v>2000004092-15175</v>
      </c>
      <c r="D739" s="2">
        <v>3.20055734E8</v>
      </c>
      <c r="E739" s="2">
        <v>2.000004092E9</v>
      </c>
      <c r="F739" s="2">
        <v>15175.0</v>
      </c>
      <c r="G739" s="2">
        <v>1.0</v>
      </c>
      <c r="H739" s="2">
        <v>0.0</v>
      </c>
      <c r="I739" s="2">
        <v>618000.0</v>
      </c>
      <c r="J739" s="2">
        <v>1.0</v>
      </c>
      <c r="K739" s="2">
        <v>7.0</v>
      </c>
      <c r="O739" s="2" t="s">
        <v>656</v>
      </c>
      <c r="P739" s="2" t="s">
        <v>166</v>
      </c>
      <c r="R739" s="2" t="s">
        <v>434</v>
      </c>
      <c r="S739" s="11">
        <v>42192.85141203704</v>
      </c>
    </row>
    <row r="740" ht="12.75" hidden="1" customHeight="1">
      <c r="A740" s="2" t="str">
        <f>IF(VLOOKUP(E740,Sheet4!$A$585:$B$786,2,0)=0,1, )</f>
        <v>1</v>
      </c>
      <c r="B740" s="2" t="str">
        <f t="shared" si="1"/>
        <v/>
      </c>
      <c r="C740" s="2" t="str">
        <f t="shared" si="2"/>
        <v>2000004092-15175</v>
      </c>
      <c r="D740" s="2">
        <v>3.20055735E8</v>
      </c>
      <c r="E740" s="2">
        <v>2.000004092E9</v>
      </c>
      <c r="F740" s="2">
        <v>15175.0</v>
      </c>
      <c r="G740" s="2">
        <v>1.0</v>
      </c>
      <c r="H740" s="2">
        <v>0.0</v>
      </c>
      <c r="I740" s="2">
        <v>618000.0</v>
      </c>
      <c r="J740" s="2">
        <v>1.0</v>
      </c>
      <c r="K740" s="2">
        <v>7.0</v>
      </c>
      <c r="O740" s="2" t="s">
        <v>656</v>
      </c>
      <c r="P740" s="2" t="s">
        <v>166</v>
      </c>
      <c r="R740" s="2" t="s">
        <v>434</v>
      </c>
      <c r="S740" s="11">
        <v>42192.85141203704</v>
      </c>
    </row>
    <row r="741" ht="12.75" hidden="1" customHeight="1">
      <c r="A741" s="2" t="str">
        <f>IF(VLOOKUP(E741,Sheet4!$A$585:$B$786,2,0)=0,1, )</f>
        <v>1</v>
      </c>
      <c r="B741" s="2" t="str">
        <f t="shared" si="1"/>
        <v>1</v>
      </c>
      <c r="C741" s="2" t="str">
        <f t="shared" si="2"/>
        <v>2000004101-6606</v>
      </c>
      <c r="D741" s="2">
        <v>3.20055761E8</v>
      </c>
      <c r="E741" s="2">
        <v>2.000004101E9</v>
      </c>
      <c r="F741" s="2">
        <v>6606.0</v>
      </c>
      <c r="G741" s="2">
        <v>1.0</v>
      </c>
      <c r="H741" s="2">
        <v>0.0</v>
      </c>
      <c r="I741" s="2">
        <v>229000.0</v>
      </c>
      <c r="J741" s="2">
        <v>1.0</v>
      </c>
      <c r="K741" s="2">
        <v>7.0</v>
      </c>
      <c r="O741" s="2" t="s">
        <v>764</v>
      </c>
      <c r="P741" s="2" t="s">
        <v>166</v>
      </c>
      <c r="R741" s="2" t="s">
        <v>434</v>
      </c>
      <c r="S741" s="11">
        <v>42192.8840162037</v>
      </c>
    </row>
    <row r="742" ht="12.75" hidden="1" customHeight="1">
      <c r="A742" s="2" t="str">
        <f>IF(VLOOKUP(E742,Sheet4!$A$585:$B$786,2,0)=0,1, )</f>
        <v>1</v>
      </c>
      <c r="B742" s="2" t="str">
        <f t="shared" si="1"/>
        <v/>
      </c>
      <c r="C742" s="2" t="str">
        <f t="shared" si="2"/>
        <v>2000004101-6606</v>
      </c>
      <c r="D742" s="2">
        <v>3.2005576E8</v>
      </c>
      <c r="E742" s="2">
        <v>2.000004101E9</v>
      </c>
      <c r="F742" s="2">
        <v>6606.0</v>
      </c>
      <c r="G742" s="2">
        <v>1.0</v>
      </c>
      <c r="H742" s="2">
        <v>0.0</v>
      </c>
      <c r="I742" s="2">
        <v>229000.0</v>
      </c>
      <c r="J742" s="2">
        <v>1.0</v>
      </c>
      <c r="K742" s="2">
        <v>7.0</v>
      </c>
      <c r="O742" s="2" t="s">
        <v>764</v>
      </c>
      <c r="P742" s="2" t="s">
        <v>166</v>
      </c>
      <c r="R742" s="2" t="s">
        <v>434</v>
      </c>
      <c r="S742" s="11">
        <v>42192.8840162037</v>
      </c>
    </row>
    <row r="743" ht="12.75" hidden="1" customHeight="1">
      <c r="A743" s="2" t="str">
        <f>IF(VLOOKUP(E743,Sheet4!$A$585:$B$786,2,0)=0,1, )</f>
        <v>1</v>
      </c>
      <c r="B743" s="2" t="str">
        <f t="shared" si="1"/>
        <v/>
      </c>
      <c r="C743" s="2" t="str">
        <f t="shared" si="2"/>
        <v>2000004101-6606</v>
      </c>
      <c r="D743" s="2">
        <v>3.20055759E8</v>
      </c>
      <c r="E743" s="2">
        <v>2.000004101E9</v>
      </c>
      <c r="F743" s="2">
        <v>6606.0</v>
      </c>
      <c r="G743" s="2">
        <v>1.0</v>
      </c>
      <c r="H743" s="2">
        <v>0.0</v>
      </c>
      <c r="I743" s="2">
        <v>229000.0</v>
      </c>
      <c r="J743" s="2">
        <v>1.0</v>
      </c>
      <c r="K743" s="2">
        <v>7.0</v>
      </c>
      <c r="O743" s="2" t="s">
        <v>764</v>
      </c>
      <c r="P743" s="2" t="s">
        <v>166</v>
      </c>
      <c r="R743" s="2" t="s">
        <v>434</v>
      </c>
      <c r="S743" s="11">
        <v>42192.8840162037</v>
      </c>
    </row>
    <row r="744" ht="12.75" hidden="1" customHeight="1">
      <c r="A744" s="2" t="str">
        <f>IF(VLOOKUP(E744,Sheet4!$A$585:$B$786,2,0)=0,1, )</f>
        <v>1</v>
      </c>
      <c r="B744" s="2" t="str">
        <f t="shared" si="1"/>
        <v>1</v>
      </c>
      <c r="C744" s="2" t="str">
        <f t="shared" si="2"/>
        <v>2000004101-9731</v>
      </c>
      <c r="D744" s="2">
        <v>3.20055762E8</v>
      </c>
      <c r="E744" s="2">
        <v>2.000004101E9</v>
      </c>
      <c r="F744" s="2">
        <v>9731.0</v>
      </c>
      <c r="G744" s="2">
        <v>-1.0</v>
      </c>
      <c r="H744" s="2">
        <v>0.0</v>
      </c>
      <c r="I744" s="2">
        <v>-314000.0</v>
      </c>
      <c r="J744" s="2">
        <v>1.0</v>
      </c>
      <c r="K744" s="2">
        <v>7.0</v>
      </c>
      <c r="O744" s="2" t="s">
        <v>766</v>
      </c>
      <c r="P744" s="2" t="s">
        <v>166</v>
      </c>
      <c r="R744" s="2" t="s">
        <v>434</v>
      </c>
      <c r="S744" s="11">
        <v>42192.88402777778</v>
      </c>
    </row>
    <row r="745" ht="12.75" hidden="1" customHeight="1">
      <c r="A745" s="2" t="str">
        <f>IF(VLOOKUP(E745,Sheet4!$A$585:$B$786,2,0)=0,1, )</f>
        <v>1</v>
      </c>
      <c r="B745" s="2" t="str">
        <f t="shared" si="1"/>
        <v/>
      </c>
      <c r="C745" s="2" t="str">
        <f t="shared" si="2"/>
        <v>2000004101-9731</v>
      </c>
      <c r="D745" s="2">
        <v>3.20055763E8</v>
      </c>
      <c r="E745" s="2">
        <v>2.000004101E9</v>
      </c>
      <c r="F745" s="2">
        <v>9731.0</v>
      </c>
      <c r="G745" s="2">
        <v>-1.0</v>
      </c>
      <c r="H745" s="2">
        <v>0.0</v>
      </c>
      <c r="I745" s="2">
        <v>-314000.0</v>
      </c>
      <c r="J745" s="2">
        <v>1.0</v>
      </c>
      <c r="K745" s="2">
        <v>7.0</v>
      </c>
      <c r="O745" s="2" t="s">
        <v>766</v>
      </c>
      <c r="P745" s="2" t="s">
        <v>166</v>
      </c>
      <c r="R745" s="2" t="s">
        <v>434</v>
      </c>
      <c r="S745" s="11">
        <v>42192.88402777778</v>
      </c>
    </row>
    <row r="746" ht="12.75" hidden="1" customHeight="1">
      <c r="A746" s="2" t="str">
        <f>IF(VLOOKUP(E746,Sheet4!$A$585:$B$786,2,0)=0,1, )</f>
        <v>1</v>
      </c>
      <c r="B746" s="2" t="str">
        <f t="shared" si="1"/>
        <v/>
      </c>
      <c r="C746" s="2" t="str">
        <f t="shared" si="2"/>
        <v>2000004101-9731</v>
      </c>
      <c r="D746" s="2">
        <v>3.20055764E8</v>
      </c>
      <c r="E746" s="2">
        <v>2.000004101E9</v>
      </c>
      <c r="F746" s="2">
        <v>9731.0</v>
      </c>
      <c r="G746" s="2">
        <v>-1.0</v>
      </c>
      <c r="H746" s="2">
        <v>0.0</v>
      </c>
      <c r="I746" s="2">
        <v>-314000.0</v>
      </c>
      <c r="J746" s="2">
        <v>1.0</v>
      </c>
      <c r="K746" s="2">
        <v>7.0</v>
      </c>
      <c r="O746" s="2" t="s">
        <v>766</v>
      </c>
      <c r="P746" s="2" t="s">
        <v>166</v>
      </c>
      <c r="R746" s="2" t="s">
        <v>434</v>
      </c>
      <c r="S746" s="11">
        <v>42192.88402777778</v>
      </c>
    </row>
    <row r="747" ht="12.75" hidden="1" customHeight="1">
      <c r="A747" s="2" t="str">
        <f>IF(VLOOKUP(E747,Sheet4!$A$585:$B$786,2,0)=0,1, )</f>
        <v>1</v>
      </c>
      <c r="B747" s="2" t="str">
        <f t="shared" si="1"/>
        <v>1</v>
      </c>
      <c r="C747" s="2" t="str">
        <f t="shared" si="2"/>
        <v>2000004115-8544</v>
      </c>
      <c r="D747" s="2">
        <v>3.20056049E8</v>
      </c>
      <c r="E747" s="2">
        <v>2.000004115E9</v>
      </c>
      <c r="F747" s="2">
        <v>8544.0</v>
      </c>
      <c r="G747" s="2">
        <v>1.0</v>
      </c>
      <c r="H747" s="2">
        <v>0.0</v>
      </c>
      <c r="I747" s="2">
        <v>365000.0</v>
      </c>
      <c r="J747" s="2">
        <v>1.0</v>
      </c>
      <c r="K747" s="2">
        <v>7.0</v>
      </c>
      <c r="O747" s="2" t="s">
        <v>512</v>
      </c>
      <c r="P747" s="2" t="s">
        <v>166</v>
      </c>
      <c r="R747" s="2" t="s">
        <v>434</v>
      </c>
      <c r="S747" s="11">
        <v>42193.675787037035</v>
      </c>
    </row>
    <row r="748" ht="12.75" hidden="1" customHeight="1">
      <c r="A748" s="2" t="str">
        <f>IF(VLOOKUP(E748,Sheet4!$A$585:$B$786,2,0)=0,1, )</f>
        <v>1</v>
      </c>
      <c r="B748" s="2" t="str">
        <f t="shared" si="1"/>
        <v/>
      </c>
      <c r="C748" s="2" t="str">
        <f t="shared" si="2"/>
        <v>2000004115-8544</v>
      </c>
      <c r="D748" s="2">
        <v>3.2005605E8</v>
      </c>
      <c r="E748" s="2">
        <v>2.000004115E9</v>
      </c>
      <c r="F748" s="2">
        <v>8544.0</v>
      </c>
      <c r="G748" s="2">
        <v>1.0</v>
      </c>
      <c r="H748" s="2">
        <v>0.0</v>
      </c>
      <c r="I748" s="2">
        <v>365000.0</v>
      </c>
      <c r="J748" s="2">
        <v>1.0</v>
      </c>
      <c r="K748" s="2">
        <v>7.0</v>
      </c>
      <c r="O748" s="2" t="s">
        <v>512</v>
      </c>
      <c r="P748" s="2" t="s">
        <v>166</v>
      </c>
      <c r="R748" s="2" t="s">
        <v>434</v>
      </c>
      <c r="S748" s="11">
        <v>42193.675787037035</v>
      </c>
    </row>
    <row r="749" ht="12.75" hidden="1" customHeight="1">
      <c r="A749" s="2" t="str">
        <f>IF(VLOOKUP(E749,Sheet4!$A$585:$B$786,2,0)=0,1, )</f>
        <v>1</v>
      </c>
      <c r="B749" s="2" t="str">
        <f t="shared" si="1"/>
        <v>1</v>
      </c>
      <c r="C749" s="2" t="str">
        <f t="shared" si="2"/>
        <v>2000004115-8986</v>
      </c>
      <c r="D749" s="2">
        <v>3.20056047E8</v>
      </c>
      <c r="E749" s="2">
        <v>2.000004115E9</v>
      </c>
      <c r="F749" s="2">
        <v>8986.0</v>
      </c>
      <c r="G749" s="2">
        <v>1.0</v>
      </c>
      <c r="H749" s="2">
        <v>0.0</v>
      </c>
      <c r="I749" s="2">
        <v>305000.0</v>
      </c>
      <c r="J749" s="2">
        <v>1.0</v>
      </c>
      <c r="K749" s="2">
        <v>7.0</v>
      </c>
      <c r="O749" s="2" t="s">
        <v>732</v>
      </c>
      <c r="P749" s="2" t="s">
        <v>166</v>
      </c>
      <c r="R749" s="2" t="s">
        <v>434</v>
      </c>
      <c r="S749" s="11">
        <v>42193.675775462965</v>
      </c>
    </row>
    <row r="750" ht="12.75" hidden="1" customHeight="1">
      <c r="A750" s="2" t="str">
        <f>IF(VLOOKUP(E750,Sheet4!$A$585:$B$786,2,0)=0,1, )</f>
        <v>1</v>
      </c>
      <c r="B750" s="2" t="str">
        <f t="shared" si="1"/>
        <v/>
      </c>
      <c r="C750" s="2" t="str">
        <f t="shared" si="2"/>
        <v>2000004115-8986</v>
      </c>
      <c r="D750" s="2">
        <v>3.20056048E8</v>
      </c>
      <c r="E750" s="2">
        <v>2.000004115E9</v>
      </c>
      <c r="F750" s="2">
        <v>8986.0</v>
      </c>
      <c r="G750" s="2">
        <v>1.0</v>
      </c>
      <c r="H750" s="2">
        <v>0.0</v>
      </c>
      <c r="I750" s="2">
        <v>305000.0</v>
      </c>
      <c r="J750" s="2">
        <v>1.0</v>
      </c>
      <c r="K750" s="2">
        <v>7.0</v>
      </c>
      <c r="O750" s="2" t="s">
        <v>732</v>
      </c>
      <c r="P750" s="2" t="s">
        <v>166</v>
      </c>
      <c r="R750" s="2" t="s">
        <v>434</v>
      </c>
      <c r="S750" s="11">
        <v>42193.675775462965</v>
      </c>
    </row>
    <row r="751" ht="12.75" hidden="1" customHeight="1">
      <c r="A751" s="2" t="str">
        <f>IF(VLOOKUP(E751,Sheet4!$A$585:$B$786,2,0)=0,1, )</f>
        <v>1</v>
      </c>
      <c r="B751" s="2" t="str">
        <f t="shared" si="1"/>
        <v>1</v>
      </c>
      <c r="C751" s="2" t="str">
        <f t="shared" si="2"/>
        <v>2000004119-6391</v>
      </c>
      <c r="D751" s="2">
        <v>3.20056706E8</v>
      </c>
      <c r="E751" s="2">
        <v>2.000004119E9</v>
      </c>
      <c r="F751" s="2">
        <v>6391.0</v>
      </c>
      <c r="G751" s="2">
        <v>2.0</v>
      </c>
      <c r="H751" s="2">
        <v>0.0</v>
      </c>
      <c r="I751" s="2">
        <v>120000.0</v>
      </c>
      <c r="J751" s="2">
        <v>1.0</v>
      </c>
      <c r="K751" s="2">
        <v>7.0</v>
      </c>
      <c r="O751" s="2" t="s">
        <v>770</v>
      </c>
      <c r="P751" s="2" t="s">
        <v>166</v>
      </c>
      <c r="R751" s="2" t="s">
        <v>434</v>
      </c>
      <c r="S751" s="11">
        <v>42193.71364583333</v>
      </c>
    </row>
    <row r="752" ht="12.75" hidden="1" customHeight="1">
      <c r="A752" s="2" t="str">
        <f>IF(VLOOKUP(E752,Sheet4!$A$585:$B$786,2,0)=0,1, )</f>
        <v>1</v>
      </c>
      <c r="B752" s="2" t="str">
        <f t="shared" si="1"/>
        <v/>
      </c>
      <c r="C752" s="2" t="str">
        <f t="shared" si="2"/>
        <v>2000004119-6391</v>
      </c>
      <c r="D752" s="2">
        <v>3.20056705E8</v>
      </c>
      <c r="E752" s="2">
        <v>2.000004119E9</v>
      </c>
      <c r="F752" s="2">
        <v>6391.0</v>
      </c>
      <c r="G752" s="2">
        <v>2.0</v>
      </c>
      <c r="H752" s="2">
        <v>0.0</v>
      </c>
      <c r="I752" s="2">
        <v>120000.0</v>
      </c>
      <c r="J752" s="2">
        <v>1.0</v>
      </c>
      <c r="K752" s="2">
        <v>7.0</v>
      </c>
      <c r="O752" s="2" t="s">
        <v>770</v>
      </c>
      <c r="P752" s="2" t="s">
        <v>166</v>
      </c>
      <c r="R752" s="2" t="s">
        <v>434</v>
      </c>
      <c r="S752" s="11">
        <v>42193.71364583333</v>
      </c>
    </row>
    <row r="753" ht="12.75" hidden="1" customHeight="1">
      <c r="A753" s="2" t="str">
        <f>IF(VLOOKUP(E753,Sheet4!$A$585:$B$786,2,0)=0,1, )</f>
        <v>1</v>
      </c>
      <c r="B753" s="2" t="str">
        <f t="shared" si="1"/>
        <v>1</v>
      </c>
      <c r="C753" s="2" t="str">
        <f t="shared" si="2"/>
        <v>2000004124-8518</v>
      </c>
      <c r="D753" s="2">
        <v>3.20056805E8</v>
      </c>
      <c r="E753" s="2">
        <v>2.000004124E9</v>
      </c>
      <c r="F753" s="2">
        <v>8518.0</v>
      </c>
      <c r="G753" s="2">
        <v>1.0</v>
      </c>
      <c r="H753" s="2">
        <v>0.0</v>
      </c>
      <c r="I753" s="2">
        <v>335000.0</v>
      </c>
      <c r="J753" s="2">
        <v>1.0</v>
      </c>
      <c r="K753" s="2">
        <v>7.0</v>
      </c>
      <c r="O753" s="2" t="s">
        <v>506</v>
      </c>
      <c r="P753" s="2" t="s">
        <v>166</v>
      </c>
      <c r="R753" s="2" t="s">
        <v>434</v>
      </c>
      <c r="S753" s="11">
        <v>42193.77446759259</v>
      </c>
    </row>
    <row r="754" ht="12.75" hidden="1" customHeight="1">
      <c r="A754" s="2" t="str">
        <f>IF(VLOOKUP(E754,Sheet4!$A$585:$B$786,2,0)=0,1, )</f>
        <v>1</v>
      </c>
      <c r="B754" s="2" t="str">
        <f t="shared" si="1"/>
        <v/>
      </c>
      <c r="C754" s="2" t="str">
        <f t="shared" si="2"/>
        <v>2000004124-8518</v>
      </c>
      <c r="D754" s="2">
        <v>3.20056806E8</v>
      </c>
      <c r="E754" s="2">
        <v>2.000004124E9</v>
      </c>
      <c r="F754" s="2">
        <v>8518.0</v>
      </c>
      <c r="G754" s="2">
        <v>1.0</v>
      </c>
      <c r="H754" s="2">
        <v>0.0</v>
      </c>
      <c r="I754" s="2">
        <v>335000.0</v>
      </c>
      <c r="J754" s="2">
        <v>1.0</v>
      </c>
      <c r="K754" s="2">
        <v>7.0</v>
      </c>
      <c r="O754" s="2" t="s">
        <v>506</v>
      </c>
      <c r="P754" s="2" t="s">
        <v>166</v>
      </c>
      <c r="R754" s="2" t="s">
        <v>434</v>
      </c>
      <c r="S754" s="11">
        <v>42193.77446759259</v>
      </c>
    </row>
    <row r="755" ht="12.75" hidden="1" customHeight="1">
      <c r="A755" s="2" t="str">
        <f>IF(VLOOKUP(E755,Sheet4!$A$585:$B$786,2,0)=0,1, )</f>
        <v>1</v>
      </c>
      <c r="B755" s="2" t="str">
        <f t="shared" si="1"/>
        <v>1</v>
      </c>
      <c r="C755" s="2" t="str">
        <f t="shared" si="2"/>
        <v>2000004124-8519</v>
      </c>
      <c r="D755" s="2">
        <v>3.20056804E8</v>
      </c>
      <c r="E755" s="2">
        <v>2.000004124E9</v>
      </c>
      <c r="F755" s="2">
        <v>8519.0</v>
      </c>
      <c r="G755" s="2">
        <v>-1.0</v>
      </c>
      <c r="H755" s="2">
        <v>0.0</v>
      </c>
      <c r="I755" s="2">
        <v>-395000.0</v>
      </c>
      <c r="J755" s="2">
        <v>1.0</v>
      </c>
      <c r="K755" s="2">
        <v>7.0</v>
      </c>
      <c r="O755" s="2" t="s">
        <v>508</v>
      </c>
      <c r="P755" s="2" t="s">
        <v>166</v>
      </c>
      <c r="R755" s="2" t="s">
        <v>434</v>
      </c>
      <c r="S755" s="11">
        <v>42193.77446759259</v>
      </c>
    </row>
    <row r="756" ht="12.75" hidden="1" customHeight="1">
      <c r="A756" s="2" t="str">
        <f>IF(VLOOKUP(E756,Sheet4!$A$585:$B$786,2,0)=0,1, )</f>
        <v>1</v>
      </c>
      <c r="B756" s="2" t="str">
        <f t="shared" si="1"/>
        <v>1</v>
      </c>
      <c r="C756" s="2" t="str">
        <f t="shared" si="2"/>
        <v>2000004129-65</v>
      </c>
      <c r="D756" s="2">
        <v>3.2005687E8</v>
      </c>
      <c r="E756" s="2">
        <v>2.000004129E9</v>
      </c>
      <c r="F756" s="2">
        <v>65.0</v>
      </c>
      <c r="G756" s="2">
        <v>1.0</v>
      </c>
      <c r="H756" s="2">
        <v>0.0</v>
      </c>
      <c r="I756" s="2">
        <v>220000.0</v>
      </c>
      <c r="J756" s="2">
        <v>1.0</v>
      </c>
      <c r="K756" s="2">
        <v>7.0</v>
      </c>
      <c r="O756" s="2" t="s">
        <v>474</v>
      </c>
      <c r="P756" s="2" t="s">
        <v>166</v>
      </c>
      <c r="R756" s="2" t="s">
        <v>434</v>
      </c>
      <c r="S756" s="11">
        <v>42193.849953703706</v>
      </c>
    </row>
    <row r="757" ht="12.75" hidden="1" customHeight="1">
      <c r="A757" s="2" t="str">
        <f>IF(VLOOKUP(E757,Sheet4!$A$585:$B$786,2,0)=0,1, )</f>
        <v>1</v>
      </c>
      <c r="B757" s="2" t="str">
        <f t="shared" si="1"/>
        <v/>
      </c>
      <c r="C757" s="2" t="str">
        <f t="shared" si="2"/>
        <v>2000004129-65</v>
      </c>
      <c r="D757" s="2">
        <v>3.20056871E8</v>
      </c>
      <c r="E757" s="2">
        <v>2.000004129E9</v>
      </c>
      <c r="F757" s="2">
        <v>65.0</v>
      </c>
      <c r="G757" s="2">
        <v>1.0</v>
      </c>
      <c r="H757" s="2">
        <v>0.0</v>
      </c>
      <c r="I757" s="2">
        <v>220000.0</v>
      </c>
      <c r="J757" s="2">
        <v>1.0</v>
      </c>
      <c r="K757" s="2">
        <v>7.0</v>
      </c>
      <c r="O757" s="2" t="s">
        <v>474</v>
      </c>
      <c r="P757" s="2" t="s">
        <v>166</v>
      </c>
      <c r="R757" s="2" t="s">
        <v>434</v>
      </c>
      <c r="S757" s="11">
        <v>42193.849953703706</v>
      </c>
    </row>
    <row r="758" ht="12.75" hidden="1" customHeight="1">
      <c r="A758" s="2" t="str">
        <f>IF(VLOOKUP(E758,Sheet4!$A$585:$B$786,2,0)=0,1, )</f>
        <v>1</v>
      </c>
      <c r="B758" s="2" t="str">
        <f t="shared" si="1"/>
        <v>1</v>
      </c>
      <c r="C758" s="2" t="str">
        <f t="shared" si="2"/>
        <v>2000004130-4985</v>
      </c>
      <c r="D758" s="2">
        <v>3.20056876E8</v>
      </c>
      <c r="E758" s="2">
        <v>2.00000413E9</v>
      </c>
      <c r="F758" s="2">
        <v>4985.0</v>
      </c>
      <c r="G758" s="2">
        <v>2.0</v>
      </c>
      <c r="H758" s="2">
        <v>0.0</v>
      </c>
      <c r="I758" s="2">
        <v>250000.0</v>
      </c>
      <c r="J758" s="2">
        <v>1.0</v>
      </c>
      <c r="K758" s="2">
        <v>7.0</v>
      </c>
      <c r="O758" s="2" t="s">
        <v>775</v>
      </c>
      <c r="P758" s="2" t="s">
        <v>166</v>
      </c>
      <c r="R758" s="2" t="s">
        <v>434</v>
      </c>
      <c r="S758" s="11">
        <v>42193.85108796296</v>
      </c>
    </row>
    <row r="759" ht="12.75" hidden="1" customHeight="1">
      <c r="A759" s="2" t="str">
        <f>IF(VLOOKUP(E759,Sheet4!$A$585:$B$786,2,0)=0,1, )</f>
        <v>1</v>
      </c>
      <c r="B759" s="2" t="str">
        <f t="shared" si="1"/>
        <v/>
      </c>
      <c r="C759" s="2" t="str">
        <f t="shared" si="2"/>
        <v>2000004130-4985</v>
      </c>
      <c r="D759" s="2">
        <v>3.20056875E8</v>
      </c>
      <c r="E759" s="2">
        <v>2.00000413E9</v>
      </c>
      <c r="F759" s="2">
        <v>4985.0</v>
      </c>
      <c r="G759" s="2">
        <v>2.0</v>
      </c>
      <c r="H759" s="2">
        <v>0.0</v>
      </c>
      <c r="I759" s="2">
        <v>250000.0</v>
      </c>
      <c r="J759" s="2">
        <v>1.0</v>
      </c>
      <c r="K759" s="2">
        <v>7.0</v>
      </c>
      <c r="O759" s="2" t="s">
        <v>775</v>
      </c>
      <c r="P759" s="2" t="s">
        <v>166</v>
      </c>
      <c r="R759" s="2" t="s">
        <v>434</v>
      </c>
      <c r="S759" s="11">
        <v>42193.85108796296</v>
      </c>
    </row>
    <row r="760" ht="12.75" hidden="1" customHeight="1">
      <c r="A760" s="2" t="str">
        <f>IF(VLOOKUP(E760,Sheet4!$A$585:$B$786,2,0)=0,1, )</f>
        <v>1</v>
      </c>
      <c r="B760" s="2" t="str">
        <f t="shared" si="1"/>
        <v/>
      </c>
      <c r="C760" s="2" t="str">
        <f t="shared" si="2"/>
        <v>2000004130-4985</v>
      </c>
      <c r="D760" s="2">
        <v>3.20056874E8</v>
      </c>
      <c r="E760" s="2">
        <v>2.00000413E9</v>
      </c>
      <c r="F760" s="2">
        <v>4985.0</v>
      </c>
      <c r="G760" s="2">
        <v>2.0</v>
      </c>
      <c r="H760" s="2">
        <v>0.0</v>
      </c>
      <c r="I760" s="2">
        <v>250000.0</v>
      </c>
      <c r="J760" s="2">
        <v>1.0</v>
      </c>
      <c r="K760" s="2">
        <v>7.0</v>
      </c>
      <c r="O760" s="2" t="s">
        <v>775</v>
      </c>
      <c r="P760" s="2" t="s">
        <v>166</v>
      </c>
      <c r="R760" s="2" t="s">
        <v>434</v>
      </c>
      <c r="S760" s="11">
        <v>42193.85108796296</v>
      </c>
    </row>
    <row r="761" ht="12.75" hidden="1" customHeight="1">
      <c r="A761" s="2" t="str">
        <f>IF(VLOOKUP(E761,Sheet4!$A$585:$B$786,2,0)=0,1, )</f>
        <v>1</v>
      </c>
      <c r="B761" s="2" t="str">
        <f t="shared" si="1"/>
        <v/>
      </c>
      <c r="C761" s="2" t="str">
        <f t="shared" si="2"/>
        <v>2000004130-4985</v>
      </c>
      <c r="D761" s="2">
        <v>3.20056873E8</v>
      </c>
      <c r="E761" s="2">
        <v>2.00000413E9</v>
      </c>
      <c r="F761" s="2">
        <v>4985.0</v>
      </c>
      <c r="G761" s="2">
        <v>2.0</v>
      </c>
      <c r="H761" s="2">
        <v>0.0</v>
      </c>
      <c r="I761" s="2">
        <v>250000.0</v>
      </c>
      <c r="J761" s="2">
        <v>1.0</v>
      </c>
      <c r="K761" s="2">
        <v>7.0</v>
      </c>
      <c r="O761" s="2" t="s">
        <v>775</v>
      </c>
      <c r="P761" s="2" t="s">
        <v>166</v>
      </c>
      <c r="R761" s="2" t="s">
        <v>434</v>
      </c>
      <c r="S761" s="11">
        <v>42193.85107638889</v>
      </c>
    </row>
    <row r="762" ht="12.75" hidden="1" customHeight="1">
      <c r="A762" s="2" t="str">
        <f>IF(VLOOKUP(E762,Sheet4!$A$585:$B$786,2,0)=0,1, )</f>
        <v>1</v>
      </c>
      <c r="B762" s="2" t="str">
        <f t="shared" si="1"/>
        <v>1</v>
      </c>
      <c r="C762" s="2" t="str">
        <f t="shared" si="2"/>
        <v>2000004132-5399</v>
      </c>
      <c r="D762" s="2">
        <v>3.20056892E8</v>
      </c>
      <c r="E762" s="2">
        <v>2.000004132E9</v>
      </c>
      <c r="F762" s="2">
        <v>5399.0</v>
      </c>
      <c r="G762" s="2">
        <v>1.0</v>
      </c>
      <c r="H762" s="2">
        <v>0.0</v>
      </c>
      <c r="I762" s="2">
        <v>335000.0</v>
      </c>
      <c r="J762" s="2">
        <v>1.0</v>
      </c>
      <c r="K762" s="2">
        <v>7.0</v>
      </c>
      <c r="O762" s="2" t="s">
        <v>169</v>
      </c>
      <c r="P762" s="2" t="s">
        <v>166</v>
      </c>
      <c r="R762" s="2" t="s">
        <v>434</v>
      </c>
      <c r="S762" s="11">
        <v>42193.86241898148</v>
      </c>
    </row>
    <row r="763" ht="12.75" hidden="1" customHeight="1">
      <c r="A763" s="2" t="str">
        <f>IF(VLOOKUP(E763,Sheet4!$A$585:$B$786,2,0)=0,1, )</f>
        <v>1</v>
      </c>
      <c r="B763" s="2" t="str">
        <f t="shared" si="1"/>
        <v/>
      </c>
      <c r="C763" s="2" t="str">
        <f t="shared" si="2"/>
        <v>2000004132-5399</v>
      </c>
      <c r="D763" s="2">
        <v>3.20056893E8</v>
      </c>
      <c r="E763" s="2">
        <v>2.000004132E9</v>
      </c>
      <c r="F763" s="2">
        <v>5399.0</v>
      </c>
      <c r="G763" s="2">
        <v>1.0</v>
      </c>
      <c r="H763" s="2">
        <v>0.0</v>
      </c>
      <c r="I763" s="2">
        <v>335000.0</v>
      </c>
      <c r="J763" s="2">
        <v>1.0</v>
      </c>
      <c r="K763" s="2">
        <v>7.0</v>
      </c>
      <c r="O763" s="2" t="s">
        <v>169</v>
      </c>
      <c r="P763" s="2" t="s">
        <v>166</v>
      </c>
      <c r="R763" s="2" t="s">
        <v>434</v>
      </c>
      <c r="S763" s="11">
        <v>42193.86241898148</v>
      </c>
    </row>
    <row r="764" ht="12.75" hidden="1" customHeight="1">
      <c r="A764" s="2" t="str">
        <f>IF(VLOOKUP(E764,Sheet4!$A$585:$B$786,2,0)=0,1, )</f>
        <v>1</v>
      </c>
      <c r="B764" s="2" t="str">
        <f t="shared" si="1"/>
        <v>1</v>
      </c>
      <c r="C764" s="2" t="str">
        <f t="shared" si="2"/>
        <v>2000004132-9733</v>
      </c>
      <c r="D764" s="2">
        <v>3.2005689E8</v>
      </c>
      <c r="E764" s="2">
        <v>2.000004132E9</v>
      </c>
      <c r="F764" s="2">
        <v>9733.0</v>
      </c>
      <c r="G764" s="2">
        <v>1.0</v>
      </c>
      <c r="H764" s="2">
        <v>0.0</v>
      </c>
      <c r="I764" s="2">
        <v>343000.0</v>
      </c>
      <c r="J764" s="2">
        <v>1.0</v>
      </c>
      <c r="K764" s="2">
        <v>7.0</v>
      </c>
      <c r="O764" s="2" t="s">
        <v>456</v>
      </c>
      <c r="P764" s="2" t="s">
        <v>166</v>
      </c>
      <c r="R764" s="2" t="s">
        <v>434</v>
      </c>
      <c r="S764" s="11">
        <v>42193.86241898148</v>
      </c>
    </row>
    <row r="765" ht="12.75" hidden="1" customHeight="1">
      <c r="A765" s="2" t="str">
        <f>IF(VLOOKUP(E765,Sheet4!$A$585:$B$786,2,0)=0,1, )</f>
        <v>1</v>
      </c>
      <c r="B765" s="2" t="str">
        <f t="shared" si="1"/>
        <v/>
      </c>
      <c r="C765" s="2" t="str">
        <f t="shared" si="2"/>
        <v>2000004132-9733</v>
      </c>
      <c r="D765" s="2">
        <v>3.20056891E8</v>
      </c>
      <c r="E765" s="2">
        <v>2.000004132E9</v>
      </c>
      <c r="F765" s="2">
        <v>9733.0</v>
      </c>
      <c r="G765" s="2">
        <v>1.0</v>
      </c>
      <c r="H765" s="2">
        <v>0.0</v>
      </c>
      <c r="I765" s="2">
        <v>343000.0</v>
      </c>
      <c r="J765" s="2">
        <v>1.0</v>
      </c>
      <c r="K765" s="2">
        <v>7.0</v>
      </c>
      <c r="O765" s="2" t="s">
        <v>456</v>
      </c>
      <c r="P765" s="2" t="s">
        <v>166</v>
      </c>
      <c r="R765" s="2" t="s">
        <v>434</v>
      </c>
      <c r="S765" s="11">
        <v>42193.86241898148</v>
      </c>
    </row>
    <row r="766" ht="12.75" hidden="1" customHeight="1">
      <c r="A766" s="2" t="str">
        <f>IF(VLOOKUP(E766,Sheet4!$A$585:$B$786,2,0)=0,1, )</f>
        <v>1</v>
      </c>
      <c r="B766" s="2" t="str">
        <f t="shared" si="1"/>
        <v>1</v>
      </c>
      <c r="C766" s="2" t="str">
        <f t="shared" si="2"/>
        <v>2000004132-15120</v>
      </c>
      <c r="D766" s="2">
        <v>3.20056889E8</v>
      </c>
      <c r="E766" s="2">
        <v>2.000004132E9</v>
      </c>
      <c r="F766" s="2">
        <v>15120.0</v>
      </c>
      <c r="G766" s="2">
        <v>1.0</v>
      </c>
      <c r="H766" s="2">
        <v>0.0</v>
      </c>
      <c r="I766" s="2">
        <v>530000.0</v>
      </c>
      <c r="J766" s="2">
        <v>1.0</v>
      </c>
      <c r="K766" s="2">
        <v>7.0</v>
      </c>
      <c r="O766" s="2" t="s">
        <v>470</v>
      </c>
      <c r="P766" s="2" t="s">
        <v>166</v>
      </c>
      <c r="R766" s="2" t="s">
        <v>434</v>
      </c>
      <c r="S766" s="11">
        <v>42193.86241898148</v>
      </c>
    </row>
    <row r="767" ht="12.75" hidden="1" customHeight="1">
      <c r="A767" s="2" t="str">
        <f>IF(VLOOKUP(E767,Sheet4!$A$585:$B$786,2,0)=0,1, )</f>
        <v>1</v>
      </c>
      <c r="B767" s="2" t="str">
        <f t="shared" si="1"/>
        <v>1</v>
      </c>
      <c r="C767" s="2" t="str">
        <f t="shared" si="2"/>
        <v>2000004133-8518</v>
      </c>
      <c r="D767" s="2">
        <v>3.20056905E8</v>
      </c>
      <c r="E767" s="2">
        <v>2.000004133E9</v>
      </c>
      <c r="F767" s="2">
        <v>8518.0</v>
      </c>
      <c r="G767" s="2">
        <v>1.0</v>
      </c>
      <c r="H767" s="2">
        <v>0.0</v>
      </c>
      <c r="I767" s="2">
        <v>335000.0</v>
      </c>
      <c r="J767" s="2">
        <v>1.0</v>
      </c>
      <c r="K767" s="2">
        <v>7.0</v>
      </c>
      <c r="O767" s="2" t="s">
        <v>506</v>
      </c>
      <c r="P767" s="2" t="s">
        <v>166</v>
      </c>
      <c r="R767" s="2" t="s">
        <v>434</v>
      </c>
      <c r="S767" s="11">
        <v>42193.870104166665</v>
      </c>
    </row>
    <row r="768" ht="12.75" hidden="1" customHeight="1">
      <c r="A768" s="2" t="str">
        <f>IF(VLOOKUP(E768,Sheet4!$A$585:$B$786,2,0)=0,1, )</f>
        <v>1</v>
      </c>
      <c r="B768" s="2" t="str">
        <f t="shared" si="1"/>
        <v/>
      </c>
      <c r="C768" s="2" t="str">
        <f t="shared" si="2"/>
        <v>2000004133-8518</v>
      </c>
      <c r="D768" s="2">
        <v>3.20056904E8</v>
      </c>
      <c r="E768" s="2">
        <v>2.000004133E9</v>
      </c>
      <c r="F768" s="2">
        <v>8518.0</v>
      </c>
      <c r="G768" s="2">
        <v>1.0</v>
      </c>
      <c r="H768" s="2">
        <v>0.0</v>
      </c>
      <c r="I768" s="2">
        <v>335000.0</v>
      </c>
      <c r="J768" s="2">
        <v>1.0</v>
      </c>
      <c r="K768" s="2">
        <v>7.0</v>
      </c>
      <c r="O768" s="2" t="s">
        <v>506</v>
      </c>
      <c r="P768" s="2" t="s">
        <v>166</v>
      </c>
      <c r="R768" s="2" t="s">
        <v>434</v>
      </c>
      <c r="S768" s="11">
        <v>42193.870104166665</v>
      </c>
    </row>
    <row r="769" ht="12.75" hidden="1" customHeight="1">
      <c r="A769" s="2" t="str">
        <f>IF(VLOOKUP(E769,Sheet4!$A$585:$B$786,2,0)=0,1, )</f>
        <v>1</v>
      </c>
      <c r="B769" s="2" t="str">
        <f t="shared" si="1"/>
        <v>1</v>
      </c>
      <c r="C769" s="2" t="str">
        <f t="shared" si="2"/>
        <v>2000004133-8599</v>
      </c>
      <c r="D769" s="2">
        <v>3.20056903E8</v>
      </c>
      <c r="E769" s="2">
        <v>2.000004133E9</v>
      </c>
      <c r="F769" s="2">
        <v>8599.0</v>
      </c>
      <c r="G769" s="2">
        <v>1.0</v>
      </c>
      <c r="H769" s="2">
        <v>0.0</v>
      </c>
      <c r="I769" s="2">
        <v>450000.0</v>
      </c>
      <c r="J769" s="2">
        <v>1.0</v>
      </c>
      <c r="K769" s="2">
        <v>7.0</v>
      </c>
      <c r="O769" s="2" t="s">
        <v>527</v>
      </c>
      <c r="P769" s="2" t="s">
        <v>166</v>
      </c>
      <c r="R769" s="2" t="s">
        <v>434</v>
      </c>
      <c r="S769" s="11">
        <v>42193.870104166665</v>
      </c>
    </row>
    <row r="770" ht="12.75" hidden="1" customHeight="1">
      <c r="A770" s="2" t="str">
        <f>IF(VLOOKUP(E770,Sheet4!$A$585:$B$786,2,0)=0,1, )</f>
        <v>1</v>
      </c>
      <c r="B770" s="2" t="str">
        <f t="shared" si="1"/>
        <v/>
      </c>
      <c r="C770" s="2" t="str">
        <f t="shared" si="2"/>
        <v>2000004133-8599</v>
      </c>
      <c r="D770" s="2">
        <v>3.20056902E8</v>
      </c>
      <c r="E770" s="2">
        <v>2.000004133E9</v>
      </c>
      <c r="F770" s="2">
        <v>8599.0</v>
      </c>
      <c r="G770" s="2">
        <v>1.0</v>
      </c>
      <c r="H770" s="2">
        <v>0.0</v>
      </c>
      <c r="I770" s="2">
        <v>450000.0</v>
      </c>
      <c r="J770" s="2">
        <v>1.0</v>
      </c>
      <c r="K770" s="2">
        <v>7.0</v>
      </c>
      <c r="O770" s="2" t="s">
        <v>527</v>
      </c>
      <c r="P770" s="2" t="s">
        <v>166</v>
      </c>
      <c r="R770" s="2" t="s">
        <v>434</v>
      </c>
      <c r="S770" s="11">
        <v>42193.870092592595</v>
      </c>
    </row>
    <row r="771" ht="12.75" hidden="1" customHeight="1">
      <c r="A771" s="2" t="str">
        <f>IF(VLOOKUP(E771,Sheet4!$A$585:$B$786,2,0)=0,1, )</f>
        <v>1</v>
      </c>
      <c r="B771" s="2" t="str">
        <f t="shared" si="1"/>
        <v>1</v>
      </c>
      <c r="C771" s="2" t="str">
        <f t="shared" si="2"/>
        <v>2000004136-6409</v>
      </c>
      <c r="D771" s="2">
        <v>3.20056913E8</v>
      </c>
      <c r="E771" s="2">
        <v>2.000004136E9</v>
      </c>
      <c r="F771" s="2">
        <v>6409.0</v>
      </c>
      <c r="G771" s="2">
        <v>1.0</v>
      </c>
      <c r="H771" s="2">
        <v>0.0</v>
      </c>
      <c r="I771" s="2">
        <v>198000.0</v>
      </c>
      <c r="J771" s="2">
        <v>1.0</v>
      </c>
      <c r="K771" s="2">
        <v>7.0</v>
      </c>
      <c r="O771" s="2" t="s">
        <v>782</v>
      </c>
      <c r="P771" s="2" t="s">
        <v>166</v>
      </c>
      <c r="R771" s="2" t="s">
        <v>434</v>
      </c>
      <c r="S771" s="11">
        <v>42193.87756944444</v>
      </c>
    </row>
    <row r="772" ht="12.75" hidden="1" customHeight="1">
      <c r="A772" s="2" t="str">
        <f>IF(VLOOKUP(E772,Sheet4!$A$585:$B$786,2,0)=0,1, )</f>
        <v>1</v>
      </c>
      <c r="B772" s="2" t="str">
        <f t="shared" si="1"/>
        <v/>
      </c>
      <c r="C772" s="2" t="str">
        <f t="shared" si="2"/>
        <v>2000004136-6409</v>
      </c>
      <c r="D772" s="2">
        <v>3.20056914E8</v>
      </c>
      <c r="E772" s="2">
        <v>2.000004136E9</v>
      </c>
      <c r="F772" s="2">
        <v>6409.0</v>
      </c>
      <c r="G772" s="2">
        <v>1.0</v>
      </c>
      <c r="H772" s="2">
        <v>0.0</v>
      </c>
      <c r="I772" s="2">
        <v>198000.0</v>
      </c>
      <c r="J772" s="2">
        <v>1.0</v>
      </c>
      <c r="K772" s="2">
        <v>7.0</v>
      </c>
      <c r="O772" s="2" t="s">
        <v>782</v>
      </c>
      <c r="P772" s="2" t="s">
        <v>166</v>
      </c>
      <c r="R772" s="2" t="s">
        <v>434</v>
      </c>
      <c r="S772" s="11">
        <v>42193.877592592595</v>
      </c>
    </row>
    <row r="773" ht="12.75" hidden="1" customHeight="1">
      <c r="A773" s="2" t="str">
        <f>IF(VLOOKUP(E773,Sheet4!$A$585:$B$786,2,0)=0,1, )</f>
        <v>1</v>
      </c>
      <c r="B773" s="2" t="str">
        <f t="shared" si="1"/>
        <v/>
      </c>
      <c r="C773" s="2" t="str">
        <f t="shared" si="2"/>
        <v>2000004136-6409</v>
      </c>
      <c r="D773" s="2">
        <v>3.20056915E8</v>
      </c>
      <c r="E773" s="2">
        <v>2.000004136E9</v>
      </c>
      <c r="F773" s="2">
        <v>6409.0</v>
      </c>
      <c r="G773" s="2">
        <v>1.0</v>
      </c>
      <c r="H773" s="2">
        <v>0.0</v>
      </c>
      <c r="I773" s="2">
        <v>198000.0</v>
      </c>
      <c r="J773" s="2">
        <v>1.0</v>
      </c>
      <c r="K773" s="2">
        <v>7.0</v>
      </c>
      <c r="O773" s="2" t="s">
        <v>782</v>
      </c>
      <c r="P773" s="2" t="s">
        <v>166</v>
      </c>
      <c r="R773" s="2" t="s">
        <v>434</v>
      </c>
      <c r="S773" s="11">
        <v>42193.877592592595</v>
      </c>
    </row>
    <row r="774" ht="12.75" hidden="1" customHeight="1">
      <c r="A774" s="2" t="str">
        <f>IF(VLOOKUP(E774,Sheet4!$A$585:$B$786,2,0)=0,1, )</f>
        <v>1</v>
      </c>
      <c r="B774" s="2" t="str">
        <f t="shared" si="1"/>
        <v/>
      </c>
      <c r="C774" s="2" t="str">
        <f t="shared" si="2"/>
        <v>2000004136-6409</v>
      </c>
      <c r="D774" s="2">
        <v>3.20056916E8</v>
      </c>
      <c r="E774" s="2">
        <v>2.000004136E9</v>
      </c>
      <c r="F774" s="2">
        <v>6409.0</v>
      </c>
      <c r="G774" s="2">
        <v>1.0</v>
      </c>
      <c r="H774" s="2">
        <v>0.0</v>
      </c>
      <c r="I774" s="2">
        <v>198000.0</v>
      </c>
      <c r="J774" s="2">
        <v>1.0</v>
      </c>
      <c r="K774" s="2">
        <v>7.0</v>
      </c>
      <c r="O774" s="2" t="s">
        <v>782</v>
      </c>
      <c r="P774" s="2" t="s">
        <v>166</v>
      </c>
      <c r="R774" s="2" t="s">
        <v>434</v>
      </c>
      <c r="S774" s="11">
        <v>42193.877592592595</v>
      </c>
    </row>
    <row r="775" ht="12.75" hidden="1" customHeight="1">
      <c r="A775" s="2" t="str">
        <f>IF(VLOOKUP(E775,Sheet4!$A$585:$B$786,2,0)=0,1, )</f>
        <v>1</v>
      </c>
      <c r="B775" s="2" t="str">
        <f t="shared" si="1"/>
        <v/>
      </c>
      <c r="C775" s="2" t="str">
        <f t="shared" si="2"/>
        <v>2000004136-6409</v>
      </c>
      <c r="D775" s="2">
        <v>3.20056917E8</v>
      </c>
      <c r="E775" s="2">
        <v>2.000004136E9</v>
      </c>
      <c r="F775" s="2">
        <v>6409.0</v>
      </c>
      <c r="G775" s="2">
        <v>1.0</v>
      </c>
      <c r="H775" s="2">
        <v>0.0</v>
      </c>
      <c r="I775" s="2">
        <v>198000.0</v>
      </c>
      <c r="J775" s="2">
        <v>1.0</v>
      </c>
      <c r="K775" s="2">
        <v>7.0</v>
      </c>
      <c r="O775" s="2" t="s">
        <v>782</v>
      </c>
      <c r="P775" s="2" t="s">
        <v>166</v>
      </c>
      <c r="R775" s="2" t="s">
        <v>434</v>
      </c>
      <c r="S775" s="11">
        <v>42193.877592592595</v>
      </c>
    </row>
    <row r="776" ht="12.75" hidden="1" customHeight="1">
      <c r="A776" s="2" t="str">
        <f>IF(VLOOKUP(E776,Sheet4!$A$585:$B$786,2,0)=0,1, )</f>
        <v>1</v>
      </c>
      <c r="B776" s="2" t="str">
        <f t="shared" si="1"/>
        <v>1</v>
      </c>
      <c r="C776" s="2" t="str">
        <f t="shared" si="2"/>
        <v>2000004137-8519</v>
      </c>
      <c r="D776" s="2">
        <v>3.20056929E8</v>
      </c>
      <c r="E776" s="2">
        <v>2.000004137E9</v>
      </c>
      <c r="F776" s="2">
        <v>8519.0</v>
      </c>
      <c r="G776" s="2">
        <v>1.0</v>
      </c>
      <c r="H776" s="2">
        <v>0.0</v>
      </c>
      <c r="I776" s="2">
        <v>395000.0</v>
      </c>
      <c r="J776" s="2">
        <v>1.0</v>
      </c>
      <c r="K776" s="2">
        <v>7.0</v>
      </c>
      <c r="O776" s="2" t="s">
        <v>508</v>
      </c>
      <c r="P776" s="2" t="s">
        <v>166</v>
      </c>
      <c r="R776" s="2" t="s">
        <v>434</v>
      </c>
      <c r="S776" s="11">
        <v>42193.880277777775</v>
      </c>
    </row>
    <row r="777" ht="12.75" hidden="1" customHeight="1">
      <c r="A777" s="2" t="str">
        <f>IF(VLOOKUP(E777,Sheet4!$A$585:$B$786,2,0)=0,1, )</f>
        <v>1</v>
      </c>
      <c r="B777" s="2" t="str">
        <f t="shared" si="1"/>
        <v/>
      </c>
      <c r="C777" s="2" t="str">
        <f t="shared" si="2"/>
        <v>2000004137-8519</v>
      </c>
      <c r="D777" s="2">
        <v>3.20056928E8</v>
      </c>
      <c r="E777" s="2">
        <v>2.000004137E9</v>
      </c>
      <c r="F777" s="2">
        <v>8519.0</v>
      </c>
      <c r="G777" s="2">
        <v>1.0</v>
      </c>
      <c r="H777" s="2">
        <v>0.0</v>
      </c>
      <c r="I777" s="2">
        <v>395000.0</v>
      </c>
      <c r="J777" s="2">
        <v>1.0</v>
      </c>
      <c r="K777" s="2">
        <v>7.0</v>
      </c>
      <c r="O777" s="2" t="s">
        <v>508</v>
      </c>
      <c r="P777" s="2" t="s">
        <v>166</v>
      </c>
      <c r="R777" s="2" t="s">
        <v>434</v>
      </c>
      <c r="S777" s="11">
        <v>42193.880277777775</v>
      </c>
    </row>
    <row r="778" ht="12.75" hidden="1" customHeight="1">
      <c r="A778" s="2" t="str">
        <f>IF(VLOOKUP(E778,Sheet4!$A$585:$B$786,2,0)=0,1, )</f>
        <v>1</v>
      </c>
      <c r="B778" s="2" t="str">
        <f t="shared" si="1"/>
        <v>1</v>
      </c>
      <c r="C778" s="2" t="str">
        <f t="shared" si="2"/>
        <v>2000004137-8520</v>
      </c>
      <c r="D778" s="2">
        <v>3.20056927E8</v>
      </c>
      <c r="E778" s="2">
        <v>2.000004137E9</v>
      </c>
      <c r="F778" s="2">
        <v>8520.0</v>
      </c>
      <c r="G778" s="2">
        <v>0.0</v>
      </c>
      <c r="H778" s="2">
        <v>0.0</v>
      </c>
      <c r="I778" s="2">
        <v>0.0</v>
      </c>
      <c r="J778" s="2">
        <v>1.0</v>
      </c>
      <c r="K778" s="2">
        <v>7.0</v>
      </c>
      <c r="O778" s="2" t="s">
        <v>552</v>
      </c>
      <c r="P778" s="2" t="s">
        <v>166</v>
      </c>
      <c r="R778" s="2" t="s">
        <v>434</v>
      </c>
      <c r="S778" s="11">
        <v>42193.880277777775</v>
      </c>
    </row>
    <row r="779" ht="12.75" hidden="1" customHeight="1">
      <c r="A779" s="2" t="str">
        <f>IF(VLOOKUP(E779,Sheet4!$A$585:$B$786,2,0)=0,1, )</f>
        <v>1</v>
      </c>
      <c r="B779" s="2" t="str">
        <f t="shared" si="1"/>
        <v/>
      </c>
      <c r="C779" s="2" t="str">
        <f t="shared" si="2"/>
        <v>2000004137-8520</v>
      </c>
      <c r="D779" s="2">
        <v>3.20056926E8</v>
      </c>
      <c r="E779" s="2">
        <v>2.000004137E9</v>
      </c>
      <c r="F779" s="2">
        <v>8520.0</v>
      </c>
      <c r="G779" s="2">
        <v>0.0</v>
      </c>
      <c r="H779" s="2">
        <v>0.0</v>
      </c>
      <c r="I779" s="2">
        <v>0.0</v>
      </c>
      <c r="J779" s="2">
        <v>1.0</v>
      </c>
      <c r="K779" s="2">
        <v>7.0</v>
      </c>
      <c r="O779" s="2" t="s">
        <v>552</v>
      </c>
      <c r="P779" s="2" t="s">
        <v>166</v>
      </c>
      <c r="R779" s="2" t="s">
        <v>434</v>
      </c>
      <c r="S779" s="11">
        <v>42193.880277777775</v>
      </c>
    </row>
    <row r="780" ht="12.75" hidden="1" customHeight="1">
      <c r="A780" s="2" t="str">
        <f>IF(VLOOKUP(E780,Sheet4!$A$585:$B$786,2,0)=0,1, )</f>
        <v>1</v>
      </c>
      <c r="B780" s="2" t="str">
        <f t="shared" si="1"/>
        <v>1</v>
      </c>
      <c r="C780" s="2" t="str">
        <f t="shared" si="2"/>
        <v>2000004160-8519</v>
      </c>
      <c r="D780" s="2">
        <v>3.20057667E8</v>
      </c>
      <c r="E780" s="2">
        <v>2.00000416E9</v>
      </c>
      <c r="F780" s="2">
        <v>8519.0</v>
      </c>
      <c r="G780" s="2">
        <v>1.0</v>
      </c>
      <c r="H780" s="2">
        <v>0.0</v>
      </c>
      <c r="I780" s="2">
        <v>395000.0</v>
      </c>
      <c r="J780" s="2">
        <v>1.0</v>
      </c>
      <c r="K780" s="2">
        <v>7.0</v>
      </c>
      <c r="O780" s="2" t="s">
        <v>508</v>
      </c>
      <c r="P780" s="2" t="s">
        <v>166</v>
      </c>
      <c r="R780" s="2" t="s">
        <v>434</v>
      </c>
      <c r="S780" s="11">
        <v>42194.639872685184</v>
      </c>
    </row>
    <row r="781" ht="12.75" hidden="1" customHeight="1">
      <c r="A781" s="2" t="str">
        <f>IF(VLOOKUP(E781,Sheet4!$A$585:$B$786,2,0)=0,1, )</f>
        <v>1</v>
      </c>
      <c r="B781" s="2" t="str">
        <f t="shared" si="1"/>
        <v/>
      </c>
      <c r="C781" s="2" t="str">
        <f t="shared" si="2"/>
        <v>2000004160-8519</v>
      </c>
      <c r="D781" s="2">
        <v>3.20057668E8</v>
      </c>
      <c r="E781" s="2">
        <v>2.00000416E9</v>
      </c>
      <c r="F781" s="2">
        <v>8519.0</v>
      </c>
      <c r="G781" s="2">
        <v>1.0</v>
      </c>
      <c r="H781" s="2">
        <v>0.0</v>
      </c>
      <c r="I781" s="2">
        <v>395000.0</v>
      </c>
      <c r="J781" s="2">
        <v>1.0</v>
      </c>
      <c r="K781" s="2">
        <v>7.0</v>
      </c>
      <c r="O781" s="2" t="s">
        <v>508</v>
      </c>
      <c r="P781" s="2" t="s">
        <v>166</v>
      </c>
      <c r="R781" s="2" t="s">
        <v>434</v>
      </c>
      <c r="S781" s="11">
        <v>42194.639872685184</v>
      </c>
    </row>
    <row r="782" ht="12.75" hidden="1" customHeight="1">
      <c r="A782" s="2" t="str">
        <f>IF(VLOOKUP(E782,Sheet4!$A$585:$B$786,2,0)=0,1, )</f>
        <v>1</v>
      </c>
      <c r="B782" s="2" t="str">
        <f t="shared" si="1"/>
        <v>1</v>
      </c>
      <c r="C782" s="2" t="str">
        <f t="shared" si="2"/>
        <v>2000004164-8544</v>
      </c>
      <c r="D782" s="2">
        <v>3.20057738E8</v>
      </c>
      <c r="E782" s="2">
        <v>2.000004164E9</v>
      </c>
      <c r="F782" s="2">
        <v>8544.0</v>
      </c>
      <c r="G782" s="2">
        <v>1.0</v>
      </c>
      <c r="H782" s="2">
        <v>0.0</v>
      </c>
      <c r="I782" s="2">
        <v>365000.0</v>
      </c>
      <c r="J782" s="2">
        <v>1.0</v>
      </c>
      <c r="K782" s="2">
        <v>7.0</v>
      </c>
      <c r="O782" s="2" t="s">
        <v>512</v>
      </c>
      <c r="P782" s="2" t="s">
        <v>166</v>
      </c>
      <c r="R782" s="2" t="s">
        <v>434</v>
      </c>
      <c r="S782" s="11">
        <v>42194.724583333336</v>
      </c>
    </row>
    <row r="783" ht="12.75" hidden="1" customHeight="1">
      <c r="A783" s="2" t="str">
        <f>IF(VLOOKUP(E783,Sheet4!$A$585:$B$786,2,0)=0,1, )</f>
        <v>1</v>
      </c>
      <c r="B783" s="2" t="str">
        <f t="shared" si="1"/>
        <v/>
      </c>
      <c r="C783" s="2" t="str">
        <f t="shared" si="2"/>
        <v>2000004164-8544</v>
      </c>
      <c r="D783" s="2">
        <v>3.20057737E8</v>
      </c>
      <c r="E783" s="2">
        <v>2.000004164E9</v>
      </c>
      <c r="F783" s="2">
        <v>8544.0</v>
      </c>
      <c r="G783" s="2">
        <v>1.0</v>
      </c>
      <c r="H783" s="2">
        <v>0.0</v>
      </c>
      <c r="I783" s="2">
        <v>365000.0</v>
      </c>
      <c r="J783" s="2">
        <v>1.0</v>
      </c>
      <c r="K783" s="2">
        <v>7.0</v>
      </c>
      <c r="O783" s="2" t="s">
        <v>512</v>
      </c>
      <c r="P783" s="2" t="s">
        <v>166</v>
      </c>
      <c r="R783" s="2" t="s">
        <v>434</v>
      </c>
      <c r="S783" s="11">
        <v>42194.724583333336</v>
      </c>
    </row>
    <row r="784" ht="12.75" hidden="1" customHeight="1">
      <c r="A784" s="2" t="str">
        <f>IF(VLOOKUP(E784,Sheet4!$A$585:$B$786,2,0)=0,1, )</f>
        <v>1</v>
      </c>
      <c r="B784" s="2" t="str">
        <f t="shared" si="1"/>
        <v/>
      </c>
      <c r="C784" s="2" t="str">
        <f t="shared" si="2"/>
        <v>2000004164-8544</v>
      </c>
      <c r="D784" s="2">
        <v>3.20057736E8</v>
      </c>
      <c r="E784" s="2">
        <v>2.000004164E9</v>
      </c>
      <c r="F784" s="2">
        <v>8544.0</v>
      </c>
      <c r="G784" s="2">
        <v>1.0</v>
      </c>
      <c r="H784" s="2">
        <v>0.0</v>
      </c>
      <c r="I784" s="2">
        <v>365000.0</v>
      </c>
      <c r="J784" s="2">
        <v>1.0</v>
      </c>
      <c r="K784" s="2">
        <v>7.0</v>
      </c>
      <c r="O784" s="2" t="s">
        <v>512</v>
      </c>
      <c r="P784" s="2" t="s">
        <v>166</v>
      </c>
      <c r="R784" s="2" t="s">
        <v>434</v>
      </c>
      <c r="S784" s="11">
        <v>42194.724583333336</v>
      </c>
    </row>
    <row r="785" ht="12.75" hidden="1" customHeight="1">
      <c r="A785" s="2" t="str">
        <f>IF(VLOOKUP(E785,Sheet4!$A$585:$B$786,2,0)=0,1, )</f>
        <v>1</v>
      </c>
      <c r="B785" s="2" t="str">
        <f t="shared" si="1"/>
        <v/>
      </c>
      <c r="C785" s="2" t="str">
        <f t="shared" si="2"/>
        <v>2000004164-8544</v>
      </c>
      <c r="D785" s="2">
        <v>3.20057735E8</v>
      </c>
      <c r="E785" s="2">
        <v>2.000004164E9</v>
      </c>
      <c r="F785" s="2">
        <v>8544.0</v>
      </c>
      <c r="G785" s="2">
        <v>1.0</v>
      </c>
      <c r="H785" s="2">
        <v>0.0</v>
      </c>
      <c r="I785" s="2">
        <v>365000.0</v>
      </c>
      <c r="J785" s="2">
        <v>1.0</v>
      </c>
      <c r="K785" s="2">
        <v>7.0</v>
      </c>
      <c r="O785" s="2" t="s">
        <v>512</v>
      </c>
      <c r="P785" s="2" t="s">
        <v>166</v>
      </c>
      <c r="R785" s="2" t="s">
        <v>434</v>
      </c>
      <c r="S785" s="11">
        <v>42194.724583333336</v>
      </c>
    </row>
    <row r="786" ht="12.75" hidden="1" customHeight="1">
      <c r="A786" s="2" t="str">
        <f>IF(VLOOKUP(E786,Sheet4!$A$585:$B$786,2,0)=0,1, )</f>
        <v>1</v>
      </c>
      <c r="B786" s="2" t="str">
        <f t="shared" si="1"/>
        <v>1</v>
      </c>
      <c r="C786" s="2" t="str">
        <f t="shared" si="2"/>
        <v>2000004164-8569</v>
      </c>
      <c r="D786" s="2">
        <v>3.20057742E8</v>
      </c>
      <c r="E786" s="2">
        <v>2.000004164E9</v>
      </c>
      <c r="F786" s="2">
        <v>8569.0</v>
      </c>
      <c r="G786" s="2">
        <v>1.0</v>
      </c>
      <c r="H786" s="2">
        <v>0.0</v>
      </c>
      <c r="I786" s="2">
        <v>255000.0</v>
      </c>
      <c r="J786" s="2">
        <v>1.0</v>
      </c>
      <c r="K786" s="2">
        <v>7.0</v>
      </c>
      <c r="O786" s="2" t="s">
        <v>736</v>
      </c>
      <c r="P786" s="2" t="s">
        <v>166</v>
      </c>
      <c r="R786" s="2" t="s">
        <v>434</v>
      </c>
      <c r="S786" s="11">
        <v>42194.724583333336</v>
      </c>
    </row>
    <row r="787" ht="12.75" hidden="1" customHeight="1">
      <c r="A787" s="2" t="str">
        <f>IF(VLOOKUP(E787,Sheet4!$A$585:$B$786,2,0)=0,1, )</f>
        <v>1</v>
      </c>
      <c r="B787" s="2" t="str">
        <f t="shared" si="1"/>
        <v/>
      </c>
      <c r="C787" s="2" t="str">
        <f t="shared" si="2"/>
        <v>2000004164-8569</v>
      </c>
      <c r="D787" s="2">
        <v>3.20057741E8</v>
      </c>
      <c r="E787" s="2">
        <v>2.000004164E9</v>
      </c>
      <c r="F787" s="2">
        <v>8569.0</v>
      </c>
      <c r="G787" s="2">
        <v>1.0</v>
      </c>
      <c r="H787" s="2">
        <v>0.0</v>
      </c>
      <c r="I787" s="2">
        <v>255000.0</v>
      </c>
      <c r="J787" s="2">
        <v>1.0</v>
      </c>
      <c r="K787" s="2">
        <v>7.0</v>
      </c>
      <c r="O787" s="2" t="s">
        <v>736</v>
      </c>
      <c r="P787" s="2" t="s">
        <v>166</v>
      </c>
      <c r="R787" s="2" t="s">
        <v>434</v>
      </c>
      <c r="S787" s="11">
        <v>42194.724583333336</v>
      </c>
    </row>
    <row r="788" ht="12.75" hidden="1" customHeight="1">
      <c r="A788" s="2" t="str">
        <f>IF(VLOOKUP(E788,Sheet4!$A$585:$B$786,2,0)=0,1, )</f>
        <v>1</v>
      </c>
      <c r="B788" s="2" t="str">
        <f t="shared" si="1"/>
        <v/>
      </c>
      <c r="C788" s="2" t="str">
        <f t="shared" si="2"/>
        <v>2000004164-8569</v>
      </c>
      <c r="D788" s="2">
        <v>3.2005774E8</v>
      </c>
      <c r="E788" s="2">
        <v>2.000004164E9</v>
      </c>
      <c r="F788" s="2">
        <v>8569.0</v>
      </c>
      <c r="G788" s="2">
        <v>1.0</v>
      </c>
      <c r="H788" s="2">
        <v>0.0</v>
      </c>
      <c r="I788" s="2">
        <v>255000.0</v>
      </c>
      <c r="J788" s="2">
        <v>1.0</v>
      </c>
      <c r="K788" s="2">
        <v>7.0</v>
      </c>
      <c r="O788" s="2" t="s">
        <v>736</v>
      </c>
      <c r="P788" s="2" t="s">
        <v>166</v>
      </c>
      <c r="R788" s="2" t="s">
        <v>434</v>
      </c>
      <c r="S788" s="11">
        <v>42194.724583333336</v>
      </c>
    </row>
    <row r="789" ht="12.75" hidden="1" customHeight="1">
      <c r="A789" s="2" t="str">
        <f>IF(VLOOKUP(E789,Sheet4!$A$585:$B$786,2,0)=0,1, )</f>
        <v>1</v>
      </c>
      <c r="B789" s="2" t="str">
        <f t="shared" si="1"/>
        <v/>
      </c>
      <c r="C789" s="2" t="str">
        <f t="shared" si="2"/>
        <v>2000004164-8569</v>
      </c>
      <c r="D789" s="2">
        <v>3.20057739E8</v>
      </c>
      <c r="E789" s="2">
        <v>2.000004164E9</v>
      </c>
      <c r="F789" s="2">
        <v>8569.0</v>
      </c>
      <c r="G789" s="2">
        <v>1.0</v>
      </c>
      <c r="H789" s="2">
        <v>0.0</v>
      </c>
      <c r="I789" s="2">
        <v>255000.0</v>
      </c>
      <c r="J789" s="2">
        <v>1.0</v>
      </c>
      <c r="K789" s="2">
        <v>7.0</v>
      </c>
      <c r="O789" s="2" t="s">
        <v>736</v>
      </c>
      <c r="P789" s="2" t="s">
        <v>166</v>
      </c>
      <c r="R789" s="2" t="s">
        <v>434</v>
      </c>
      <c r="S789" s="11">
        <v>42194.724583333336</v>
      </c>
    </row>
    <row r="790" ht="12.75" hidden="1" customHeight="1">
      <c r="A790" s="2" t="str">
        <f>IF(VLOOKUP(E790,Sheet4!$A$585:$B$786,2,0)=0,1, )</f>
        <v>1</v>
      </c>
      <c r="B790" s="2" t="str">
        <f t="shared" si="1"/>
        <v>1</v>
      </c>
      <c r="C790" s="2" t="str">
        <f t="shared" si="2"/>
        <v>2000004166-65</v>
      </c>
      <c r="D790" s="2">
        <v>3.20057768E8</v>
      </c>
      <c r="E790" s="2">
        <v>2.000004166E9</v>
      </c>
      <c r="F790" s="2">
        <v>65.0</v>
      </c>
      <c r="G790" s="2">
        <v>1.0</v>
      </c>
      <c r="H790" s="2">
        <v>0.0</v>
      </c>
      <c r="I790" s="2">
        <v>220000.0</v>
      </c>
      <c r="J790" s="2">
        <v>1.0</v>
      </c>
      <c r="K790" s="2">
        <v>7.0</v>
      </c>
      <c r="O790" s="2" t="s">
        <v>474</v>
      </c>
      <c r="P790" s="2" t="s">
        <v>166</v>
      </c>
      <c r="R790" s="2" t="s">
        <v>434</v>
      </c>
      <c r="S790" s="11">
        <v>42194.749444444446</v>
      </c>
    </row>
    <row r="791" ht="12.75" hidden="1" customHeight="1">
      <c r="A791" s="2" t="str">
        <f>IF(VLOOKUP(E791,Sheet4!$A$585:$B$786,2,0)=0,1, )</f>
        <v>1</v>
      </c>
      <c r="B791" s="2" t="str">
        <f t="shared" si="1"/>
        <v/>
      </c>
      <c r="C791" s="2" t="str">
        <f t="shared" si="2"/>
        <v>2000004166-65</v>
      </c>
      <c r="D791" s="2">
        <v>3.20057769E8</v>
      </c>
      <c r="E791" s="2">
        <v>2.000004166E9</v>
      </c>
      <c r="F791" s="2">
        <v>65.0</v>
      </c>
      <c r="G791" s="2">
        <v>1.0</v>
      </c>
      <c r="H791" s="2">
        <v>0.0</v>
      </c>
      <c r="I791" s="2">
        <v>220000.0</v>
      </c>
      <c r="J791" s="2">
        <v>1.0</v>
      </c>
      <c r="K791" s="2">
        <v>7.0</v>
      </c>
      <c r="O791" s="2" t="s">
        <v>474</v>
      </c>
      <c r="P791" s="2" t="s">
        <v>166</v>
      </c>
      <c r="R791" s="2" t="s">
        <v>434</v>
      </c>
      <c r="S791" s="11">
        <v>42194.749444444446</v>
      </c>
    </row>
    <row r="792" ht="12.75" hidden="1" customHeight="1">
      <c r="A792" s="2" t="str">
        <f>IF(VLOOKUP(E792,Sheet4!$A$585:$B$786,2,0)=0,1, )</f>
        <v>1</v>
      </c>
      <c r="B792" s="2" t="str">
        <f t="shared" si="1"/>
        <v>1</v>
      </c>
      <c r="C792" s="2" t="str">
        <f t="shared" si="2"/>
        <v>2000004172-8629</v>
      </c>
      <c r="D792" s="2">
        <v>3.20057823E8</v>
      </c>
      <c r="E792" s="2">
        <v>2.000004172E9</v>
      </c>
      <c r="F792" s="2">
        <v>8629.0</v>
      </c>
      <c r="G792" s="2">
        <v>1.0</v>
      </c>
      <c r="H792" s="2">
        <v>0.0</v>
      </c>
      <c r="I792" s="2">
        <v>655000.0</v>
      </c>
      <c r="J792" s="2">
        <v>1.0</v>
      </c>
      <c r="K792" s="2">
        <v>7.0</v>
      </c>
      <c r="O792" s="2" t="s">
        <v>631</v>
      </c>
      <c r="P792" s="2" t="s">
        <v>166</v>
      </c>
      <c r="R792" s="2" t="s">
        <v>434</v>
      </c>
      <c r="S792" s="11">
        <v>42194.79537037037</v>
      </c>
    </row>
    <row r="793" ht="12.75" hidden="1" customHeight="1">
      <c r="A793" s="2" t="str">
        <f>IF(VLOOKUP(E793,Sheet4!$A$585:$B$786,2,0)=0,1, )</f>
        <v>1</v>
      </c>
      <c r="B793" s="2" t="str">
        <f t="shared" si="1"/>
        <v/>
      </c>
      <c r="C793" s="2" t="str">
        <f t="shared" si="2"/>
        <v>2000004172-8629</v>
      </c>
      <c r="D793" s="2">
        <v>3.20057822E8</v>
      </c>
      <c r="E793" s="2">
        <v>2.000004172E9</v>
      </c>
      <c r="F793" s="2">
        <v>8629.0</v>
      </c>
      <c r="G793" s="2">
        <v>1.0</v>
      </c>
      <c r="H793" s="2">
        <v>0.0</v>
      </c>
      <c r="I793" s="2">
        <v>655000.0</v>
      </c>
      <c r="J793" s="2">
        <v>1.0</v>
      </c>
      <c r="K793" s="2">
        <v>7.0</v>
      </c>
      <c r="O793" s="2" t="s">
        <v>631</v>
      </c>
      <c r="P793" s="2" t="s">
        <v>166</v>
      </c>
      <c r="R793" s="2" t="s">
        <v>434</v>
      </c>
      <c r="S793" s="11">
        <v>42194.79537037037</v>
      </c>
    </row>
    <row r="794" ht="12.75" hidden="1" customHeight="1">
      <c r="A794" s="2" t="str">
        <f>IF(VLOOKUP(E794,Sheet4!$A$585:$B$786,2,0)=0,1, )</f>
        <v>1</v>
      </c>
      <c r="B794" s="2" t="str">
        <f t="shared" si="1"/>
        <v>1</v>
      </c>
      <c r="C794" s="2" t="str">
        <f t="shared" si="2"/>
        <v>2000004172-15119</v>
      </c>
      <c r="D794" s="2">
        <v>3.20057821E8</v>
      </c>
      <c r="E794" s="2">
        <v>2.000004172E9</v>
      </c>
      <c r="F794" s="2">
        <v>15119.0</v>
      </c>
      <c r="G794" s="2">
        <v>1.0</v>
      </c>
      <c r="H794" s="2">
        <v>0.0</v>
      </c>
      <c r="I794" s="2">
        <v>530000.0</v>
      </c>
      <c r="J794" s="2">
        <v>1.0</v>
      </c>
      <c r="K794" s="2">
        <v>7.0</v>
      </c>
      <c r="O794" s="2" t="s">
        <v>470</v>
      </c>
      <c r="P794" s="2" t="s">
        <v>166</v>
      </c>
      <c r="R794" s="2" t="s">
        <v>434</v>
      </c>
      <c r="S794" s="11">
        <v>42194.79537037037</v>
      </c>
    </row>
    <row r="795" ht="12.75" hidden="1" customHeight="1">
      <c r="A795" s="2" t="str">
        <f>IF(VLOOKUP(E795,Sheet4!$A$585:$B$786,2,0)=0,1, )</f>
        <v>1</v>
      </c>
      <c r="B795" s="2" t="str">
        <f t="shared" si="1"/>
        <v/>
      </c>
      <c r="C795" s="2" t="str">
        <f t="shared" si="2"/>
        <v>2000004172-15119</v>
      </c>
      <c r="D795" s="2">
        <v>3.2005782E8</v>
      </c>
      <c r="E795" s="2">
        <v>2.000004172E9</v>
      </c>
      <c r="F795" s="2">
        <v>15119.0</v>
      </c>
      <c r="G795" s="2">
        <v>1.0</v>
      </c>
      <c r="H795" s="2">
        <v>0.0</v>
      </c>
      <c r="I795" s="2">
        <v>530000.0</v>
      </c>
      <c r="J795" s="2">
        <v>1.0</v>
      </c>
      <c r="K795" s="2">
        <v>7.0</v>
      </c>
      <c r="O795" s="2" t="s">
        <v>470</v>
      </c>
      <c r="P795" s="2" t="s">
        <v>166</v>
      </c>
      <c r="R795" s="2" t="s">
        <v>434</v>
      </c>
      <c r="S795" s="11">
        <v>42194.79537037037</v>
      </c>
    </row>
    <row r="796" ht="12.75" hidden="1" customHeight="1">
      <c r="A796" s="2" t="str">
        <f>IF(VLOOKUP(E796,Sheet4!$A$585:$B$786,2,0)=0,1, )</f>
        <v>1</v>
      </c>
      <c r="B796" s="2" t="str">
        <f t="shared" si="1"/>
        <v>1</v>
      </c>
      <c r="C796" s="2" t="str">
        <f t="shared" si="2"/>
        <v>2000004175-3363</v>
      </c>
      <c r="D796" s="2">
        <v>3.20057848E8</v>
      </c>
      <c r="E796" s="2">
        <v>2.000004175E9</v>
      </c>
      <c r="F796" s="2">
        <v>3363.0</v>
      </c>
      <c r="G796" s="2">
        <v>1.0</v>
      </c>
      <c r="H796" s="2">
        <v>0.0</v>
      </c>
      <c r="I796" s="2">
        <v>300000.0</v>
      </c>
      <c r="J796" s="2">
        <v>1.0</v>
      </c>
      <c r="K796" s="2">
        <v>7.0</v>
      </c>
      <c r="O796" s="2" t="s">
        <v>792</v>
      </c>
      <c r="P796" s="2" t="s">
        <v>166</v>
      </c>
      <c r="R796" s="2" t="s">
        <v>434</v>
      </c>
      <c r="S796" s="11">
        <v>42194.84899305556</v>
      </c>
    </row>
    <row r="797" ht="12.75" hidden="1" customHeight="1">
      <c r="A797" s="2" t="str">
        <f>IF(VLOOKUP(E797,Sheet4!$A$585:$B$786,2,0)=0,1, )</f>
        <v>1</v>
      </c>
      <c r="B797" s="2" t="str">
        <f t="shared" si="1"/>
        <v/>
      </c>
      <c r="C797" s="2" t="str">
        <f t="shared" si="2"/>
        <v>2000004175-3363</v>
      </c>
      <c r="D797" s="2">
        <v>3.2005785E8</v>
      </c>
      <c r="E797" s="2">
        <v>2.000004175E9</v>
      </c>
      <c r="F797" s="2">
        <v>3363.0</v>
      </c>
      <c r="G797" s="2">
        <v>1.0</v>
      </c>
      <c r="H797" s="2">
        <v>0.0</v>
      </c>
      <c r="I797" s="2">
        <v>300000.0</v>
      </c>
      <c r="J797" s="2">
        <v>1.0</v>
      </c>
      <c r="K797" s="2">
        <v>7.0</v>
      </c>
      <c r="O797" s="2" t="s">
        <v>792</v>
      </c>
      <c r="P797" s="2" t="s">
        <v>166</v>
      </c>
      <c r="R797" s="2" t="s">
        <v>434</v>
      </c>
      <c r="S797" s="11">
        <v>42194.84899305556</v>
      </c>
    </row>
    <row r="798" ht="12.75" hidden="1" customHeight="1">
      <c r="A798" s="2" t="str">
        <f>IF(VLOOKUP(E798,Sheet4!$A$585:$B$786,2,0)=0,1, )</f>
        <v>1</v>
      </c>
      <c r="B798" s="2" t="str">
        <f t="shared" si="1"/>
        <v/>
      </c>
      <c r="C798" s="2" t="str">
        <f t="shared" si="2"/>
        <v>2000004175-3363</v>
      </c>
      <c r="D798" s="2">
        <v>3.20057849E8</v>
      </c>
      <c r="E798" s="2">
        <v>2.000004175E9</v>
      </c>
      <c r="F798" s="2">
        <v>3363.0</v>
      </c>
      <c r="G798" s="2">
        <v>1.0</v>
      </c>
      <c r="H798" s="2">
        <v>0.0</v>
      </c>
      <c r="I798" s="2">
        <v>300000.0</v>
      </c>
      <c r="J798" s="2">
        <v>1.0</v>
      </c>
      <c r="K798" s="2">
        <v>7.0</v>
      </c>
      <c r="O798" s="2" t="s">
        <v>792</v>
      </c>
      <c r="P798" s="2" t="s">
        <v>166</v>
      </c>
      <c r="R798" s="2" t="s">
        <v>434</v>
      </c>
      <c r="S798" s="11">
        <v>42194.84899305556</v>
      </c>
    </row>
    <row r="799" ht="12.75" hidden="1" customHeight="1">
      <c r="A799" s="2" t="str">
        <f>IF(VLOOKUP(E799,Sheet4!$A$585:$B$786,2,0)=0,1, )</f>
        <v>1</v>
      </c>
      <c r="B799" s="2" t="str">
        <f t="shared" si="1"/>
        <v>1</v>
      </c>
      <c r="C799" s="2" t="str">
        <f t="shared" si="2"/>
        <v>2000004175-5421</v>
      </c>
      <c r="D799" s="2">
        <v>3.20057854E8</v>
      </c>
      <c r="E799" s="2">
        <v>2.000004175E9</v>
      </c>
      <c r="F799" s="2">
        <v>5421.0</v>
      </c>
      <c r="G799" s="2">
        <v>1.0</v>
      </c>
      <c r="H799" s="2">
        <v>0.0</v>
      </c>
      <c r="I799" s="2">
        <v>395000.0</v>
      </c>
      <c r="J799" s="2">
        <v>1.0</v>
      </c>
      <c r="K799" s="2">
        <v>7.0</v>
      </c>
      <c r="O799" s="2" t="s">
        <v>794</v>
      </c>
      <c r="P799" s="2" t="s">
        <v>166</v>
      </c>
      <c r="R799" s="2" t="s">
        <v>434</v>
      </c>
      <c r="S799" s="11">
        <v>42194.84899305556</v>
      </c>
    </row>
    <row r="800" ht="12.75" hidden="1" customHeight="1">
      <c r="A800" s="2" t="str">
        <f>IF(VLOOKUP(E800,Sheet4!$A$585:$B$786,2,0)=0,1, )</f>
        <v>1</v>
      </c>
      <c r="B800" s="2" t="str">
        <f t="shared" si="1"/>
        <v/>
      </c>
      <c r="C800" s="2" t="str">
        <f t="shared" si="2"/>
        <v>2000004175-5421</v>
      </c>
      <c r="D800" s="2">
        <v>3.20057855E8</v>
      </c>
      <c r="E800" s="2">
        <v>2.000004175E9</v>
      </c>
      <c r="F800" s="2">
        <v>5421.0</v>
      </c>
      <c r="G800" s="2">
        <v>1.0</v>
      </c>
      <c r="H800" s="2">
        <v>0.0</v>
      </c>
      <c r="I800" s="2">
        <v>395000.0</v>
      </c>
      <c r="J800" s="2">
        <v>1.0</v>
      </c>
      <c r="K800" s="2">
        <v>7.0</v>
      </c>
      <c r="O800" s="2" t="s">
        <v>794</v>
      </c>
      <c r="P800" s="2" t="s">
        <v>166</v>
      </c>
      <c r="R800" s="2" t="s">
        <v>434</v>
      </c>
      <c r="S800" s="11">
        <v>42194.84899305556</v>
      </c>
    </row>
    <row r="801" ht="12.75" hidden="1" customHeight="1">
      <c r="A801" s="2" t="str">
        <f>IF(VLOOKUP(E801,Sheet4!$A$585:$B$786,2,0)=0,1, )</f>
        <v>1</v>
      </c>
      <c r="B801" s="2" t="str">
        <f t="shared" si="1"/>
        <v/>
      </c>
      <c r="C801" s="2" t="str">
        <f t="shared" si="2"/>
        <v>2000004175-5421</v>
      </c>
      <c r="D801" s="2">
        <v>3.20057856E8</v>
      </c>
      <c r="E801" s="2">
        <v>2.000004175E9</v>
      </c>
      <c r="F801" s="2">
        <v>5421.0</v>
      </c>
      <c r="G801" s="2">
        <v>1.0</v>
      </c>
      <c r="H801" s="2">
        <v>0.0</v>
      </c>
      <c r="I801" s="2">
        <v>395000.0</v>
      </c>
      <c r="J801" s="2">
        <v>1.0</v>
      </c>
      <c r="K801" s="2">
        <v>7.0</v>
      </c>
      <c r="O801" s="2" t="s">
        <v>794</v>
      </c>
      <c r="P801" s="2" t="s">
        <v>166</v>
      </c>
      <c r="R801" s="2" t="s">
        <v>434</v>
      </c>
      <c r="S801" s="11">
        <v>42194.84899305556</v>
      </c>
    </row>
    <row r="802" ht="12.75" hidden="1" customHeight="1">
      <c r="A802" s="2" t="str">
        <f>IF(VLOOKUP(E802,Sheet4!$A$585:$B$786,2,0)=0,1, )</f>
        <v>1</v>
      </c>
      <c r="B802" s="2" t="str">
        <f t="shared" si="1"/>
        <v>1</v>
      </c>
      <c r="C802" s="2" t="str">
        <f t="shared" si="2"/>
        <v>2000004175-6312</v>
      </c>
      <c r="D802" s="2">
        <v>3.20057847E8</v>
      </c>
      <c r="E802" s="2">
        <v>2.000004175E9</v>
      </c>
      <c r="F802" s="2">
        <v>6312.0</v>
      </c>
      <c r="G802" s="2">
        <v>1.0</v>
      </c>
      <c r="H802" s="2">
        <v>0.0</v>
      </c>
      <c r="I802" s="2">
        <v>120000.0</v>
      </c>
      <c r="J802" s="2">
        <v>1.0</v>
      </c>
      <c r="K802" s="2">
        <v>7.0</v>
      </c>
      <c r="O802" s="2" t="s">
        <v>264</v>
      </c>
      <c r="P802" s="2" t="s">
        <v>166</v>
      </c>
      <c r="R802" s="2" t="s">
        <v>434</v>
      </c>
      <c r="S802" s="11">
        <v>42194.84899305556</v>
      </c>
    </row>
    <row r="803" ht="12.75" hidden="1" customHeight="1">
      <c r="A803" s="2" t="str">
        <f>IF(VLOOKUP(E803,Sheet4!$A$585:$B$786,2,0)=0,1, )</f>
        <v>1</v>
      </c>
      <c r="B803" s="2" t="str">
        <f t="shared" si="1"/>
        <v>1</v>
      </c>
      <c r="C803" s="2" t="str">
        <f t="shared" si="2"/>
        <v>2000004175-8569</v>
      </c>
      <c r="D803" s="2">
        <v>3.20057851E8</v>
      </c>
      <c r="E803" s="2">
        <v>2.000004175E9</v>
      </c>
      <c r="F803" s="2">
        <v>8569.0</v>
      </c>
      <c r="G803" s="2">
        <v>1.0</v>
      </c>
      <c r="H803" s="2">
        <v>0.0</v>
      </c>
      <c r="I803" s="2">
        <v>255000.0</v>
      </c>
      <c r="J803" s="2">
        <v>1.0</v>
      </c>
      <c r="K803" s="2">
        <v>7.0</v>
      </c>
      <c r="O803" s="2" t="s">
        <v>736</v>
      </c>
      <c r="P803" s="2" t="s">
        <v>166</v>
      </c>
      <c r="R803" s="2" t="s">
        <v>434</v>
      </c>
      <c r="S803" s="11">
        <v>42194.84899305556</v>
      </c>
    </row>
    <row r="804" ht="12.75" hidden="1" customHeight="1">
      <c r="A804" s="2" t="str">
        <f>IF(VLOOKUP(E804,Sheet4!$A$585:$B$786,2,0)=0,1, )</f>
        <v>1</v>
      </c>
      <c r="B804" s="2" t="str">
        <f t="shared" si="1"/>
        <v/>
      </c>
      <c r="C804" s="2" t="str">
        <f t="shared" si="2"/>
        <v>2000004175-8569</v>
      </c>
      <c r="D804" s="2">
        <v>3.20057852E8</v>
      </c>
      <c r="E804" s="2">
        <v>2.000004175E9</v>
      </c>
      <c r="F804" s="2">
        <v>8569.0</v>
      </c>
      <c r="G804" s="2">
        <v>1.0</v>
      </c>
      <c r="H804" s="2">
        <v>0.0</v>
      </c>
      <c r="I804" s="2">
        <v>255000.0</v>
      </c>
      <c r="J804" s="2">
        <v>1.0</v>
      </c>
      <c r="K804" s="2">
        <v>7.0</v>
      </c>
      <c r="O804" s="2" t="s">
        <v>736</v>
      </c>
      <c r="P804" s="2" t="s">
        <v>166</v>
      </c>
      <c r="R804" s="2" t="s">
        <v>434</v>
      </c>
      <c r="S804" s="11">
        <v>42194.84899305556</v>
      </c>
    </row>
    <row r="805" ht="12.75" hidden="1" customHeight="1">
      <c r="A805" s="2" t="str">
        <f>IF(VLOOKUP(E805,Sheet4!$A$585:$B$786,2,0)=0,1, )</f>
        <v>1</v>
      </c>
      <c r="B805" s="2" t="str">
        <f t="shared" si="1"/>
        <v/>
      </c>
      <c r="C805" s="2" t="str">
        <f t="shared" si="2"/>
        <v>2000004175-8569</v>
      </c>
      <c r="D805" s="2">
        <v>3.20057853E8</v>
      </c>
      <c r="E805" s="2">
        <v>2.000004175E9</v>
      </c>
      <c r="F805" s="2">
        <v>8569.0</v>
      </c>
      <c r="G805" s="2">
        <v>1.0</v>
      </c>
      <c r="H805" s="2">
        <v>0.0</v>
      </c>
      <c r="I805" s="2">
        <v>255000.0</v>
      </c>
      <c r="J805" s="2">
        <v>1.0</v>
      </c>
      <c r="K805" s="2">
        <v>7.0</v>
      </c>
      <c r="O805" s="2" t="s">
        <v>736</v>
      </c>
      <c r="P805" s="2" t="s">
        <v>166</v>
      </c>
      <c r="R805" s="2" t="s">
        <v>434</v>
      </c>
      <c r="S805" s="11">
        <v>42194.84899305556</v>
      </c>
    </row>
    <row r="806" ht="12.75" hidden="1" customHeight="1">
      <c r="A806" s="2" t="str">
        <f>IF(VLOOKUP(E806,Sheet4!$A$585:$B$786,2,0)=0,1, )</f>
        <v>1</v>
      </c>
      <c r="B806" s="2" t="str">
        <f t="shared" si="1"/>
        <v>1</v>
      </c>
      <c r="C806" s="2" t="str">
        <f t="shared" si="2"/>
        <v>2000004205-9735</v>
      </c>
      <c r="D806" s="2">
        <v>3.20058698E8</v>
      </c>
      <c r="E806" s="2">
        <v>2.000004205E9</v>
      </c>
      <c r="F806" s="2">
        <v>9735.0</v>
      </c>
      <c r="G806" s="2">
        <v>1.0</v>
      </c>
      <c r="H806" s="2">
        <v>0.0</v>
      </c>
      <c r="I806" s="2">
        <v>370000.0</v>
      </c>
      <c r="J806" s="2">
        <v>1.0</v>
      </c>
      <c r="K806" s="2">
        <v>7.0</v>
      </c>
      <c r="O806" s="2" t="s">
        <v>798</v>
      </c>
      <c r="P806" s="2" t="s">
        <v>166</v>
      </c>
      <c r="R806" s="2" t="s">
        <v>434</v>
      </c>
      <c r="S806" s="11">
        <v>42195.61311342593</v>
      </c>
    </row>
    <row r="807" ht="12.75" hidden="1" customHeight="1">
      <c r="A807" s="2" t="str">
        <f>IF(VLOOKUP(E807,Sheet4!$A$585:$B$786,2,0)=0,1, )</f>
        <v>1</v>
      </c>
      <c r="B807" s="2" t="str">
        <f t="shared" si="1"/>
        <v/>
      </c>
      <c r="C807" s="2" t="str">
        <f t="shared" si="2"/>
        <v>2000004205-9735</v>
      </c>
      <c r="D807" s="2">
        <v>3.20058697E8</v>
      </c>
      <c r="E807" s="2">
        <v>2.000004205E9</v>
      </c>
      <c r="F807" s="2">
        <v>9735.0</v>
      </c>
      <c r="G807" s="2">
        <v>1.0</v>
      </c>
      <c r="H807" s="2">
        <v>0.0</v>
      </c>
      <c r="I807" s="2">
        <v>370000.0</v>
      </c>
      <c r="J807" s="2">
        <v>1.0</v>
      </c>
      <c r="K807" s="2">
        <v>7.0</v>
      </c>
      <c r="O807" s="2" t="s">
        <v>798</v>
      </c>
      <c r="P807" s="2" t="s">
        <v>166</v>
      </c>
      <c r="R807" s="2" t="s">
        <v>434</v>
      </c>
      <c r="S807" s="11">
        <v>42195.61311342593</v>
      </c>
    </row>
    <row r="808" ht="12.75" hidden="1" customHeight="1">
      <c r="A808" s="2" t="str">
        <f>IF(VLOOKUP(E808,Sheet4!$A$585:$B$786,2,0)=0,1, )</f>
        <v>1</v>
      </c>
      <c r="B808" s="2" t="str">
        <f t="shared" si="1"/>
        <v>1</v>
      </c>
      <c r="C808" s="2" t="str">
        <f t="shared" si="2"/>
        <v>2000004208-8512</v>
      </c>
      <c r="D808" s="2">
        <v>3.20058708E8</v>
      </c>
      <c r="E808" s="2">
        <v>2.000004208E9</v>
      </c>
      <c r="F808" s="2">
        <v>8512.0</v>
      </c>
      <c r="G808" s="2">
        <v>1.0</v>
      </c>
      <c r="H808" s="2">
        <v>0.0</v>
      </c>
      <c r="I808" s="2">
        <v>495000.0</v>
      </c>
      <c r="J808" s="2">
        <v>1.0</v>
      </c>
      <c r="K808" s="2">
        <v>7.0</v>
      </c>
      <c r="O808" s="2" t="s">
        <v>594</v>
      </c>
      <c r="P808" s="2" t="s">
        <v>166</v>
      </c>
      <c r="R808" s="2" t="s">
        <v>434</v>
      </c>
      <c r="S808" s="11">
        <v>42195.628275462965</v>
      </c>
    </row>
    <row r="809" ht="12.75" hidden="1" customHeight="1">
      <c r="A809" s="2" t="str">
        <f>IF(VLOOKUP(E809,Sheet4!$A$585:$B$786,2,0)=0,1, )</f>
        <v>1</v>
      </c>
      <c r="B809" s="2" t="str">
        <f t="shared" si="1"/>
        <v/>
      </c>
      <c r="C809" s="2" t="str">
        <f t="shared" si="2"/>
        <v>2000004208-8512</v>
      </c>
      <c r="D809" s="2">
        <v>3.20058709E8</v>
      </c>
      <c r="E809" s="2">
        <v>2.000004208E9</v>
      </c>
      <c r="F809" s="2">
        <v>8512.0</v>
      </c>
      <c r="G809" s="2">
        <v>1.0</v>
      </c>
      <c r="H809" s="2">
        <v>0.0</v>
      </c>
      <c r="I809" s="2">
        <v>495000.0</v>
      </c>
      <c r="J809" s="2">
        <v>1.0</v>
      </c>
      <c r="K809" s="2">
        <v>7.0</v>
      </c>
      <c r="O809" s="2" t="s">
        <v>594</v>
      </c>
      <c r="P809" s="2" t="s">
        <v>166</v>
      </c>
      <c r="R809" s="2" t="s">
        <v>434</v>
      </c>
      <c r="S809" s="11">
        <v>42195.628275462965</v>
      </c>
    </row>
    <row r="810" ht="12.75" hidden="1" customHeight="1">
      <c r="A810" s="2" t="str">
        <f>IF(VLOOKUP(E810,Sheet4!$A$585:$B$786,2,0)=0,1, )</f>
        <v>1</v>
      </c>
      <c r="B810" s="2" t="str">
        <f t="shared" si="1"/>
        <v>1</v>
      </c>
      <c r="C810" s="2" t="str">
        <f t="shared" si="2"/>
        <v>2000004208-8516</v>
      </c>
      <c r="D810" s="2">
        <v>3.2005871E8</v>
      </c>
      <c r="E810" s="2">
        <v>2.000004208E9</v>
      </c>
      <c r="F810" s="2">
        <v>8516.0</v>
      </c>
      <c r="G810" s="2">
        <v>1.0</v>
      </c>
      <c r="H810" s="2">
        <v>0.0</v>
      </c>
      <c r="I810" s="2">
        <v>675000.0</v>
      </c>
      <c r="J810" s="2">
        <v>1.0</v>
      </c>
      <c r="K810" s="2">
        <v>7.0</v>
      </c>
      <c r="O810" s="2" t="s">
        <v>599</v>
      </c>
      <c r="P810" s="2" t="s">
        <v>166</v>
      </c>
      <c r="R810" s="2" t="s">
        <v>434</v>
      </c>
      <c r="S810" s="11">
        <v>42195.628275462965</v>
      </c>
    </row>
    <row r="811" ht="12.75" hidden="1" customHeight="1">
      <c r="A811" s="2" t="str">
        <f>IF(VLOOKUP(E811,Sheet4!$A$585:$B$786,2,0)=0,1, )</f>
        <v>1</v>
      </c>
      <c r="B811" s="2" t="str">
        <f t="shared" si="1"/>
        <v/>
      </c>
      <c r="C811" s="2" t="str">
        <f t="shared" si="2"/>
        <v>2000004208-8516</v>
      </c>
      <c r="D811" s="2">
        <v>3.20058711E8</v>
      </c>
      <c r="E811" s="2">
        <v>2.000004208E9</v>
      </c>
      <c r="F811" s="2">
        <v>8516.0</v>
      </c>
      <c r="G811" s="2">
        <v>1.0</v>
      </c>
      <c r="H811" s="2">
        <v>0.0</v>
      </c>
      <c r="I811" s="2">
        <v>675000.0</v>
      </c>
      <c r="J811" s="2">
        <v>1.0</v>
      </c>
      <c r="K811" s="2">
        <v>7.0</v>
      </c>
      <c r="O811" s="2" t="s">
        <v>599</v>
      </c>
      <c r="P811" s="2" t="s">
        <v>166</v>
      </c>
      <c r="R811" s="2" t="s">
        <v>434</v>
      </c>
      <c r="S811" s="11">
        <v>42195.628275462965</v>
      </c>
    </row>
    <row r="812" ht="12.75" hidden="1" customHeight="1">
      <c r="A812" s="2" t="str">
        <f>IF(VLOOKUP(E812,Sheet4!$A$585:$B$786,2,0)=0,1, )</f>
        <v>1</v>
      </c>
      <c r="B812" s="2" t="str">
        <f t="shared" si="1"/>
        <v>1</v>
      </c>
      <c r="C812" s="2" t="str">
        <f t="shared" si="2"/>
        <v>2000004209-980</v>
      </c>
      <c r="D812" s="2">
        <v>3.20058733E8</v>
      </c>
      <c r="E812" s="2">
        <v>2.000004209E9</v>
      </c>
      <c r="F812" s="2">
        <v>980.0</v>
      </c>
      <c r="G812" s="2">
        <v>2.0</v>
      </c>
      <c r="H812" s="2">
        <v>0.0</v>
      </c>
      <c r="I812" s="2">
        <v>1100000.0</v>
      </c>
      <c r="J812" s="2">
        <v>1.0</v>
      </c>
      <c r="K812" s="2">
        <v>7.0</v>
      </c>
      <c r="O812" s="2" t="s">
        <v>802</v>
      </c>
      <c r="P812" s="2" t="s">
        <v>166</v>
      </c>
      <c r="R812" s="2" t="s">
        <v>434</v>
      </c>
      <c r="S812" s="11">
        <v>42195.649675925924</v>
      </c>
    </row>
    <row r="813" ht="12.75" hidden="1" customHeight="1">
      <c r="A813" s="2" t="str">
        <f>IF(VLOOKUP(E813,Sheet4!$A$585:$B$786,2,0)=0,1, )</f>
        <v>1</v>
      </c>
      <c r="B813" s="2" t="str">
        <f t="shared" si="1"/>
        <v/>
      </c>
      <c r="C813" s="2" t="str">
        <f t="shared" si="2"/>
        <v>2000004209-980</v>
      </c>
      <c r="D813" s="2">
        <v>3.20058734E8</v>
      </c>
      <c r="E813" s="2">
        <v>2.000004209E9</v>
      </c>
      <c r="F813" s="2">
        <v>980.0</v>
      </c>
      <c r="G813" s="2">
        <v>2.0</v>
      </c>
      <c r="H813" s="2">
        <v>0.0</v>
      </c>
      <c r="I813" s="2">
        <v>1100000.0</v>
      </c>
      <c r="J813" s="2">
        <v>1.0</v>
      </c>
      <c r="K813" s="2">
        <v>7.0</v>
      </c>
      <c r="O813" s="2" t="s">
        <v>802</v>
      </c>
      <c r="P813" s="2" t="s">
        <v>166</v>
      </c>
      <c r="R813" s="2" t="s">
        <v>434</v>
      </c>
      <c r="S813" s="11">
        <v>42195.649675925924</v>
      </c>
    </row>
    <row r="814" ht="12.75" hidden="1" customHeight="1">
      <c r="A814" s="2" t="str">
        <f>IF(VLOOKUP(E814,Sheet4!$A$585:$B$786,2,0)=0,1, )</f>
        <v>1</v>
      </c>
      <c r="B814" s="2" t="str">
        <f t="shared" si="1"/>
        <v>1</v>
      </c>
      <c r="C814" s="2" t="str">
        <f t="shared" si="2"/>
        <v>2000004209-13934</v>
      </c>
      <c r="D814" s="2">
        <v>3.20058732E8</v>
      </c>
      <c r="E814" s="2">
        <v>2.000004209E9</v>
      </c>
      <c r="F814" s="2">
        <v>13934.0</v>
      </c>
      <c r="G814" s="2">
        <v>2.0</v>
      </c>
      <c r="H814" s="2">
        <v>117000.0</v>
      </c>
      <c r="I814" s="2">
        <v>1170000.0</v>
      </c>
      <c r="J814" s="2">
        <v>1.0</v>
      </c>
      <c r="K814" s="2">
        <v>7.0</v>
      </c>
      <c r="O814" s="2" t="s">
        <v>804</v>
      </c>
      <c r="P814" s="2" t="s">
        <v>166</v>
      </c>
      <c r="R814" s="2" t="s">
        <v>434</v>
      </c>
      <c r="S814" s="11">
        <v>42195.649675925924</v>
      </c>
    </row>
    <row r="815" ht="12.75" hidden="1" customHeight="1">
      <c r="A815" s="2" t="str">
        <f>IF(VLOOKUP(E815,Sheet4!$A$585:$B$786,2,0)=0,1, )</f>
        <v>1</v>
      </c>
      <c r="B815" s="2" t="str">
        <f t="shared" si="1"/>
        <v>1</v>
      </c>
      <c r="C815" s="2" t="str">
        <f t="shared" si="2"/>
        <v>2000004210-8512</v>
      </c>
      <c r="D815" s="2">
        <v>3.2005874E8</v>
      </c>
      <c r="E815" s="2">
        <v>2.00000421E9</v>
      </c>
      <c r="F815" s="2">
        <v>8512.0</v>
      </c>
      <c r="G815" s="2">
        <v>-1.0</v>
      </c>
      <c r="H815" s="2">
        <v>0.0</v>
      </c>
      <c r="I815" s="2">
        <v>-495000.0</v>
      </c>
      <c r="J815" s="2">
        <v>1.0</v>
      </c>
      <c r="K815" s="2">
        <v>7.0</v>
      </c>
      <c r="O815" s="2" t="s">
        <v>594</v>
      </c>
      <c r="P815" s="2" t="s">
        <v>166</v>
      </c>
      <c r="R815" s="2" t="s">
        <v>434</v>
      </c>
      <c r="S815" s="11">
        <v>42195.654074074075</v>
      </c>
    </row>
    <row r="816" ht="12.75" hidden="1" customHeight="1">
      <c r="A816" s="2" t="str">
        <f>IF(VLOOKUP(E816,Sheet4!$A$585:$B$786,2,0)=0,1, )</f>
        <v>1</v>
      </c>
      <c r="B816" s="2" t="str">
        <f t="shared" si="1"/>
        <v/>
      </c>
      <c r="C816" s="2" t="str">
        <f t="shared" si="2"/>
        <v>2000004210-8512</v>
      </c>
      <c r="D816" s="2">
        <v>3.20058741E8</v>
      </c>
      <c r="E816" s="2">
        <v>2.00000421E9</v>
      </c>
      <c r="F816" s="2">
        <v>8512.0</v>
      </c>
      <c r="G816" s="2">
        <v>-1.0</v>
      </c>
      <c r="H816" s="2">
        <v>0.0</v>
      </c>
      <c r="I816" s="2">
        <v>-495000.0</v>
      </c>
      <c r="J816" s="2">
        <v>1.0</v>
      </c>
      <c r="K816" s="2">
        <v>7.0</v>
      </c>
      <c r="O816" s="2" t="s">
        <v>594</v>
      </c>
      <c r="P816" s="2" t="s">
        <v>166</v>
      </c>
      <c r="R816" s="2" t="s">
        <v>434</v>
      </c>
      <c r="S816" s="11">
        <v>42195.654074074075</v>
      </c>
    </row>
    <row r="817" ht="12.75" hidden="1" customHeight="1">
      <c r="A817" s="2" t="str">
        <f>IF(VLOOKUP(E817,Sheet4!$A$585:$B$786,2,0)=0,1, )</f>
        <v>1</v>
      </c>
      <c r="B817" s="2" t="str">
        <f t="shared" si="1"/>
        <v>1</v>
      </c>
      <c r="C817" s="2" t="str">
        <f t="shared" si="2"/>
        <v>2000004211-3854</v>
      </c>
      <c r="D817" s="2">
        <v>3.20058762E8</v>
      </c>
      <c r="E817" s="2">
        <v>2.000004211E9</v>
      </c>
      <c r="F817" s="2">
        <v>3854.0</v>
      </c>
      <c r="G817" s="2">
        <v>1.0</v>
      </c>
      <c r="H817" s="2">
        <v>0.0</v>
      </c>
      <c r="I817" s="2">
        <v>1560000.0</v>
      </c>
      <c r="J817" s="2">
        <v>1.0</v>
      </c>
      <c r="K817" s="2">
        <v>7.0</v>
      </c>
      <c r="O817" s="2" t="s">
        <v>807</v>
      </c>
      <c r="P817" s="2" t="s">
        <v>166</v>
      </c>
      <c r="R817" s="2" t="s">
        <v>434</v>
      </c>
      <c r="S817" s="11">
        <v>42195.65589120371</v>
      </c>
    </row>
    <row r="818" ht="12.75" hidden="1" customHeight="1">
      <c r="A818" s="2" t="str">
        <f>IF(VLOOKUP(E818,Sheet4!$A$585:$B$786,2,0)=0,1, )</f>
        <v>1</v>
      </c>
      <c r="B818" s="2" t="str">
        <f t="shared" si="1"/>
        <v>1</v>
      </c>
      <c r="C818" s="2" t="str">
        <f t="shared" si="2"/>
        <v>2000004211-3874</v>
      </c>
      <c r="D818" s="2">
        <v>3.20058763E8</v>
      </c>
      <c r="E818" s="2">
        <v>2.000004211E9</v>
      </c>
      <c r="F818" s="2">
        <v>3874.0</v>
      </c>
      <c r="G818" s="2">
        <v>1.0</v>
      </c>
      <c r="H818" s="2">
        <v>0.0</v>
      </c>
      <c r="I818" s="2">
        <v>390000.0</v>
      </c>
      <c r="J818" s="2">
        <v>1.0</v>
      </c>
      <c r="K818" s="2">
        <v>7.0</v>
      </c>
      <c r="O818" s="2" t="s">
        <v>809</v>
      </c>
      <c r="P818" s="2" t="s">
        <v>166</v>
      </c>
      <c r="R818" s="2" t="s">
        <v>434</v>
      </c>
      <c r="S818" s="11">
        <v>42195.65589120371</v>
      </c>
    </row>
    <row r="819" ht="12.75" hidden="1" customHeight="1">
      <c r="A819" s="2" t="str">
        <f>IF(VLOOKUP(E819,Sheet4!$A$585:$B$786,2,0)=0,1, )</f>
        <v>1</v>
      </c>
      <c r="B819" s="2" t="str">
        <f t="shared" si="1"/>
        <v/>
      </c>
      <c r="C819" s="2" t="str">
        <f t="shared" si="2"/>
        <v>2000004211-3874</v>
      </c>
      <c r="D819" s="2">
        <v>3.20058764E8</v>
      </c>
      <c r="E819" s="2">
        <v>2.000004211E9</v>
      </c>
      <c r="F819" s="2">
        <v>3874.0</v>
      </c>
      <c r="G819" s="2">
        <v>1.0</v>
      </c>
      <c r="H819" s="2">
        <v>0.0</v>
      </c>
      <c r="I819" s="2">
        <v>390000.0</v>
      </c>
      <c r="J819" s="2">
        <v>1.0</v>
      </c>
      <c r="K819" s="2">
        <v>7.0</v>
      </c>
      <c r="O819" s="2" t="s">
        <v>809</v>
      </c>
      <c r="P819" s="2" t="s">
        <v>166</v>
      </c>
      <c r="R819" s="2" t="s">
        <v>434</v>
      </c>
      <c r="S819" s="11">
        <v>42195.65589120371</v>
      </c>
    </row>
    <row r="820" ht="12.75" hidden="1" customHeight="1">
      <c r="A820" s="2" t="str">
        <f>IF(VLOOKUP(E820,Sheet4!$A$585:$B$786,2,0)=0,1, )</f>
        <v>1</v>
      </c>
      <c r="B820" s="2" t="str">
        <f t="shared" si="1"/>
        <v>1</v>
      </c>
      <c r="C820" s="2" t="str">
        <f t="shared" si="2"/>
        <v>2000004211-6316</v>
      </c>
      <c r="D820" s="2">
        <v>3.20058765E8</v>
      </c>
      <c r="E820" s="2">
        <v>2.000004211E9</v>
      </c>
      <c r="F820" s="2">
        <v>6316.0</v>
      </c>
      <c r="G820" s="2">
        <v>1.0</v>
      </c>
      <c r="H820" s="2">
        <v>60000.0</v>
      </c>
      <c r="I820" s="2">
        <v>60000.0</v>
      </c>
      <c r="J820" s="2">
        <v>1.0</v>
      </c>
      <c r="K820" s="2">
        <v>7.0</v>
      </c>
      <c r="O820" s="2" t="s">
        <v>266</v>
      </c>
      <c r="P820" s="2" t="s">
        <v>166</v>
      </c>
      <c r="R820" s="2" t="s">
        <v>434</v>
      </c>
      <c r="S820" s="11">
        <v>42195.65589120371</v>
      </c>
    </row>
    <row r="821" ht="12.75" hidden="1" customHeight="1">
      <c r="A821" s="2" t="str">
        <f>IF(VLOOKUP(E821,Sheet4!$A$585:$B$786,2,0)=0,1, )</f>
        <v>1</v>
      </c>
      <c r="B821" s="2" t="str">
        <f t="shared" si="1"/>
        <v/>
      </c>
      <c r="C821" s="2" t="str">
        <f t="shared" si="2"/>
        <v>2000004211-6316</v>
      </c>
      <c r="D821" s="2">
        <v>3.20058766E8</v>
      </c>
      <c r="E821" s="2">
        <v>2.000004211E9</v>
      </c>
      <c r="F821" s="2">
        <v>6316.0</v>
      </c>
      <c r="G821" s="2">
        <v>1.0</v>
      </c>
      <c r="H821" s="2">
        <v>60000.0</v>
      </c>
      <c r="I821" s="2">
        <v>60000.0</v>
      </c>
      <c r="J821" s="2">
        <v>1.0</v>
      </c>
      <c r="K821" s="2">
        <v>7.0</v>
      </c>
      <c r="O821" s="2" t="s">
        <v>266</v>
      </c>
      <c r="P821" s="2" t="s">
        <v>166</v>
      </c>
      <c r="R821" s="2" t="s">
        <v>434</v>
      </c>
      <c r="S821" s="11">
        <v>42195.65589120371</v>
      </c>
    </row>
    <row r="822" ht="12.75" hidden="1" customHeight="1">
      <c r="A822" s="2" t="str">
        <f>IF(VLOOKUP(E822,Sheet4!$A$585:$B$786,2,0)=0,1, )</f>
        <v>1</v>
      </c>
      <c r="B822" s="2" t="str">
        <f t="shared" si="1"/>
        <v>1</v>
      </c>
      <c r="C822" s="2" t="str">
        <f t="shared" si="2"/>
        <v>2000004213-14895</v>
      </c>
      <c r="D822" s="2">
        <v>3.20058771E8</v>
      </c>
      <c r="E822" s="2">
        <v>2.000004213E9</v>
      </c>
      <c r="F822" s="2">
        <v>14895.0</v>
      </c>
      <c r="G822" s="2">
        <v>1.0</v>
      </c>
      <c r="H822" s="2">
        <v>0.0</v>
      </c>
      <c r="I822" s="2">
        <v>385000.0</v>
      </c>
      <c r="J822" s="2">
        <v>1.0</v>
      </c>
      <c r="K822" s="2">
        <v>7.0</v>
      </c>
      <c r="O822" s="2" t="s">
        <v>812</v>
      </c>
      <c r="P822" s="2" t="s">
        <v>166</v>
      </c>
      <c r="R822" s="2" t="s">
        <v>434</v>
      </c>
      <c r="S822" s="11">
        <v>42195.65725694445</v>
      </c>
    </row>
    <row r="823" ht="12.75" hidden="1" customHeight="1">
      <c r="A823" s="2" t="str">
        <f>IF(VLOOKUP(E823,Sheet4!$A$585:$B$786,2,0)=0,1, )</f>
        <v>1</v>
      </c>
      <c r="B823" s="2" t="str">
        <f t="shared" si="1"/>
        <v/>
      </c>
      <c r="C823" s="2" t="str">
        <f t="shared" si="2"/>
        <v>2000004213-14895</v>
      </c>
      <c r="D823" s="2">
        <v>3.2005877E8</v>
      </c>
      <c r="E823" s="2">
        <v>2.000004213E9</v>
      </c>
      <c r="F823" s="2">
        <v>14895.0</v>
      </c>
      <c r="G823" s="2">
        <v>1.0</v>
      </c>
      <c r="H823" s="2">
        <v>0.0</v>
      </c>
      <c r="I823" s="2">
        <v>385000.0</v>
      </c>
      <c r="J823" s="2">
        <v>1.0</v>
      </c>
      <c r="K823" s="2">
        <v>7.0</v>
      </c>
      <c r="O823" s="2" t="s">
        <v>812</v>
      </c>
      <c r="P823" s="2" t="s">
        <v>166</v>
      </c>
      <c r="R823" s="2" t="s">
        <v>434</v>
      </c>
      <c r="S823" s="11">
        <v>42195.65725694445</v>
      </c>
    </row>
    <row r="824" ht="12.75" hidden="1" customHeight="1">
      <c r="A824" s="2" t="str">
        <f>IF(VLOOKUP(E824,Sheet4!$A$585:$B$786,2,0)=0,1, )</f>
        <v>1</v>
      </c>
      <c r="B824" s="2" t="str">
        <f t="shared" si="1"/>
        <v/>
      </c>
      <c r="C824" s="2" t="str">
        <f t="shared" si="2"/>
        <v>2000004213-14895</v>
      </c>
      <c r="D824" s="2">
        <v>3.20058769E8</v>
      </c>
      <c r="E824" s="2">
        <v>2.000004213E9</v>
      </c>
      <c r="F824" s="2">
        <v>14895.0</v>
      </c>
      <c r="G824" s="2">
        <v>1.0</v>
      </c>
      <c r="H824" s="2">
        <v>0.0</v>
      </c>
      <c r="I824" s="2">
        <v>385000.0</v>
      </c>
      <c r="J824" s="2">
        <v>1.0</v>
      </c>
      <c r="K824" s="2">
        <v>7.0</v>
      </c>
      <c r="O824" s="2" t="s">
        <v>812</v>
      </c>
      <c r="P824" s="2" t="s">
        <v>166</v>
      </c>
      <c r="R824" s="2" t="s">
        <v>434</v>
      </c>
      <c r="S824" s="11">
        <v>42195.65725694445</v>
      </c>
    </row>
    <row r="825" ht="12.75" hidden="1" customHeight="1">
      <c r="A825" s="2" t="str">
        <f>IF(VLOOKUP(E825,Sheet4!$A$585:$B$786,2,0)=0,1, )</f>
        <v>1</v>
      </c>
      <c r="B825" s="2" t="str">
        <f t="shared" si="1"/>
        <v>1</v>
      </c>
      <c r="C825" s="2" t="str">
        <f t="shared" si="2"/>
        <v>2000004214-16127</v>
      </c>
      <c r="D825" s="2">
        <v>3.20058772E8</v>
      </c>
      <c r="E825" s="2">
        <v>2.000004214E9</v>
      </c>
      <c r="F825" s="2">
        <v>16127.0</v>
      </c>
      <c r="G825" s="2">
        <v>1.0</v>
      </c>
      <c r="H825" s="2">
        <v>0.0</v>
      </c>
      <c r="I825" s="2">
        <v>235000.0</v>
      </c>
      <c r="J825" s="2">
        <v>1.0</v>
      </c>
      <c r="K825" s="2">
        <v>7.0</v>
      </c>
      <c r="O825" s="2" t="s">
        <v>814</v>
      </c>
      <c r="P825" s="2" t="s">
        <v>166</v>
      </c>
      <c r="R825" s="2" t="s">
        <v>434</v>
      </c>
      <c r="S825" s="11">
        <v>42195.65773148148</v>
      </c>
    </row>
    <row r="826" ht="12.75" hidden="1" customHeight="1">
      <c r="A826" s="2" t="str">
        <f>IF(VLOOKUP(E826,Sheet4!$A$585:$B$786,2,0)=0,1, )</f>
        <v>1</v>
      </c>
      <c r="B826" s="2" t="str">
        <f t="shared" si="1"/>
        <v/>
      </c>
      <c r="C826" s="2" t="str">
        <f t="shared" si="2"/>
        <v>2000004214-16127</v>
      </c>
      <c r="D826" s="2">
        <v>3.20058773E8</v>
      </c>
      <c r="E826" s="2">
        <v>2.000004214E9</v>
      </c>
      <c r="F826" s="2">
        <v>16127.0</v>
      </c>
      <c r="G826" s="2">
        <v>1.0</v>
      </c>
      <c r="H826" s="2">
        <v>0.0</v>
      </c>
      <c r="I826" s="2">
        <v>235000.0</v>
      </c>
      <c r="J826" s="2">
        <v>1.0</v>
      </c>
      <c r="K826" s="2">
        <v>7.0</v>
      </c>
      <c r="O826" s="2" t="s">
        <v>814</v>
      </c>
      <c r="P826" s="2" t="s">
        <v>166</v>
      </c>
      <c r="R826" s="2" t="s">
        <v>434</v>
      </c>
      <c r="S826" s="11">
        <v>42195.65773148148</v>
      </c>
    </row>
    <row r="827" ht="12.75" hidden="1" customHeight="1">
      <c r="A827" s="2" t="str">
        <f>IF(VLOOKUP(E827,Sheet4!$A$585:$B$786,2,0)=0,1, )</f>
        <v>1</v>
      </c>
      <c r="B827" s="2" t="str">
        <f t="shared" si="1"/>
        <v>1</v>
      </c>
      <c r="C827" s="2" t="str">
        <f t="shared" si="2"/>
        <v>2000004218-8603</v>
      </c>
      <c r="D827" s="2">
        <v>3.20058841E8</v>
      </c>
      <c r="E827" s="2">
        <v>2.000004218E9</v>
      </c>
      <c r="F827" s="2">
        <v>8603.0</v>
      </c>
      <c r="G827" s="2">
        <v>1.0</v>
      </c>
      <c r="H827" s="2">
        <v>0.0</v>
      </c>
      <c r="I827" s="2">
        <v>555000.0</v>
      </c>
      <c r="J827" s="2">
        <v>1.0</v>
      </c>
      <c r="K827" s="2">
        <v>7.0</v>
      </c>
      <c r="O827" s="2" t="s">
        <v>602</v>
      </c>
      <c r="P827" s="2" t="s">
        <v>166</v>
      </c>
      <c r="R827" s="2" t="s">
        <v>434</v>
      </c>
      <c r="S827" s="11">
        <v>42195.68607638889</v>
      </c>
    </row>
    <row r="828" ht="12.75" hidden="1" customHeight="1">
      <c r="A828" s="2" t="str">
        <f>IF(VLOOKUP(E828,Sheet4!$A$585:$B$786,2,0)=0,1, )</f>
        <v>1</v>
      </c>
      <c r="B828" s="2" t="str">
        <f t="shared" si="1"/>
        <v/>
      </c>
      <c r="C828" s="2" t="str">
        <f t="shared" si="2"/>
        <v>2000004218-8603</v>
      </c>
      <c r="D828" s="2">
        <v>3.20058842E8</v>
      </c>
      <c r="E828" s="2">
        <v>2.000004218E9</v>
      </c>
      <c r="F828" s="2">
        <v>8603.0</v>
      </c>
      <c r="G828" s="2">
        <v>1.0</v>
      </c>
      <c r="H828" s="2">
        <v>0.0</v>
      </c>
      <c r="I828" s="2">
        <v>555000.0</v>
      </c>
      <c r="J828" s="2">
        <v>1.0</v>
      </c>
      <c r="K828" s="2">
        <v>7.0</v>
      </c>
      <c r="O828" s="2" t="s">
        <v>602</v>
      </c>
      <c r="P828" s="2" t="s">
        <v>166</v>
      </c>
      <c r="R828" s="2" t="s">
        <v>434</v>
      </c>
      <c r="S828" s="11">
        <v>42195.68607638889</v>
      </c>
    </row>
    <row r="829" ht="12.75" hidden="1" customHeight="1">
      <c r="A829" s="2" t="str">
        <f>IF(VLOOKUP(E829,Sheet4!$A$585:$B$786,2,0)=0,1, )</f>
        <v>1</v>
      </c>
      <c r="B829" s="2" t="str">
        <f t="shared" si="1"/>
        <v>1</v>
      </c>
      <c r="C829" s="2" t="str">
        <f t="shared" si="2"/>
        <v>2000004219-4675</v>
      </c>
      <c r="D829" s="2">
        <v>3.20058845E8</v>
      </c>
      <c r="E829" s="2">
        <v>2.000004219E9</v>
      </c>
      <c r="F829" s="2">
        <v>4675.0</v>
      </c>
      <c r="G829" s="2">
        <v>-1.0</v>
      </c>
      <c r="H829" s="2">
        <v>0.0</v>
      </c>
      <c r="I829" s="2">
        <v>-210000.0</v>
      </c>
      <c r="J829" s="2">
        <v>1.0</v>
      </c>
      <c r="K829" s="2">
        <v>7.0</v>
      </c>
      <c r="O829" s="2" t="s">
        <v>817</v>
      </c>
      <c r="P829" s="2" t="s">
        <v>166</v>
      </c>
      <c r="R829" s="2" t="s">
        <v>434</v>
      </c>
      <c r="S829" s="11">
        <v>42195.686261574076</v>
      </c>
    </row>
    <row r="830" ht="12.75" hidden="1" customHeight="1">
      <c r="A830" s="2" t="str">
        <f>IF(VLOOKUP(E830,Sheet4!$A$585:$B$786,2,0)=0,1, )</f>
        <v>1</v>
      </c>
      <c r="B830" s="2" t="str">
        <f t="shared" si="1"/>
        <v/>
      </c>
      <c r="C830" s="2" t="str">
        <f t="shared" si="2"/>
        <v>2000004219-4675</v>
      </c>
      <c r="D830" s="2">
        <v>3.20058844E8</v>
      </c>
      <c r="E830" s="2">
        <v>2.000004219E9</v>
      </c>
      <c r="F830" s="2">
        <v>4675.0</v>
      </c>
      <c r="G830" s="2">
        <v>-1.0</v>
      </c>
      <c r="H830" s="2">
        <v>0.0</v>
      </c>
      <c r="I830" s="2">
        <v>-210000.0</v>
      </c>
      <c r="J830" s="2">
        <v>1.0</v>
      </c>
      <c r="K830" s="2">
        <v>7.0</v>
      </c>
      <c r="O830" s="2" t="s">
        <v>817</v>
      </c>
      <c r="P830" s="2" t="s">
        <v>166</v>
      </c>
      <c r="R830" s="2" t="s">
        <v>434</v>
      </c>
      <c r="S830" s="11">
        <v>42195.686261574076</v>
      </c>
    </row>
    <row r="831" ht="12.75" hidden="1" customHeight="1">
      <c r="A831" s="2" t="str">
        <f>IF(VLOOKUP(E831,Sheet4!$A$585:$B$786,2,0)=0,1, )</f>
        <v>1</v>
      </c>
      <c r="B831" s="2" t="str">
        <f t="shared" si="1"/>
        <v/>
      </c>
      <c r="C831" s="2" t="str">
        <f t="shared" si="2"/>
        <v>2000004219-4675</v>
      </c>
      <c r="D831" s="2">
        <v>3.20058843E8</v>
      </c>
      <c r="E831" s="2">
        <v>2.000004219E9</v>
      </c>
      <c r="F831" s="2">
        <v>4675.0</v>
      </c>
      <c r="G831" s="2">
        <v>-1.0</v>
      </c>
      <c r="H831" s="2">
        <v>0.0</v>
      </c>
      <c r="I831" s="2">
        <v>-210000.0</v>
      </c>
      <c r="J831" s="2">
        <v>1.0</v>
      </c>
      <c r="K831" s="2">
        <v>7.0</v>
      </c>
      <c r="O831" s="2" t="s">
        <v>817</v>
      </c>
      <c r="P831" s="2" t="s">
        <v>166</v>
      </c>
      <c r="R831" s="2" t="s">
        <v>434</v>
      </c>
      <c r="S831" s="11">
        <v>42195.686261574076</v>
      </c>
    </row>
    <row r="832" ht="12.75" hidden="1" customHeight="1">
      <c r="A832" s="2" t="str">
        <f>IF(VLOOKUP(E832,Sheet4!$A$585:$B$786,2,0)=0,1, )</f>
        <v>1</v>
      </c>
      <c r="B832" s="2" t="str">
        <f t="shared" si="1"/>
        <v>1</v>
      </c>
      <c r="C832" s="2" t="str">
        <f t="shared" si="2"/>
        <v>2000004220-1003</v>
      </c>
      <c r="D832" s="2">
        <v>3.20058868E8</v>
      </c>
      <c r="E832" s="2">
        <v>2.00000422E9</v>
      </c>
      <c r="F832" s="2">
        <v>1003.0</v>
      </c>
      <c r="G832" s="2">
        <v>1.0</v>
      </c>
      <c r="H832" s="2">
        <v>0.0</v>
      </c>
      <c r="I832" s="2">
        <v>195000.0</v>
      </c>
      <c r="J832" s="2">
        <v>1.0</v>
      </c>
      <c r="K832" s="2">
        <v>7.0</v>
      </c>
      <c r="O832" s="2" t="s">
        <v>569</v>
      </c>
      <c r="P832" s="2" t="s">
        <v>166</v>
      </c>
      <c r="R832" s="2" t="s">
        <v>434</v>
      </c>
      <c r="S832" s="11">
        <v>42195.70275462963</v>
      </c>
    </row>
    <row r="833" ht="12.75" hidden="1" customHeight="1">
      <c r="A833" s="2" t="str">
        <f>IF(VLOOKUP(E833,Sheet4!$A$585:$B$786,2,0)=0,1, )</f>
        <v>1</v>
      </c>
      <c r="B833" s="2" t="str">
        <f t="shared" si="1"/>
        <v/>
      </c>
      <c r="C833" s="2" t="str">
        <f t="shared" si="2"/>
        <v>2000004220-1003</v>
      </c>
      <c r="D833" s="2">
        <v>3.20058869E8</v>
      </c>
      <c r="E833" s="2">
        <v>2.00000422E9</v>
      </c>
      <c r="F833" s="2">
        <v>1003.0</v>
      </c>
      <c r="G833" s="2">
        <v>1.0</v>
      </c>
      <c r="H833" s="2">
        <v>0.0</v>
      </c>
      <c r="I833" s="2">
        <v>195000.0</v>
      </c>
      <c r="J833" s="2">
        <v>1.0</v>
      </c>
      <c r="K833" s="2">
        <v>7.0</v>
      </c>
      <c r="O833" s="2" t="s">
        <v>569</v>
      </c>
      <c r="P833" s="2" t="s">
        <v>166</v>
      </c>
      <c r="R833" s="2" t="s">
        <v>434</v>
      </c>
      <c r="S833" s="11">
        <v>42195.70275462963</v>
      </c>
    </row>
    <row r="834" ht="12.75" hidden="1" customHeight="1">
      <c r="A834" s="2" t="str">
        <f>IF(VLOOKUP(E834,Sheet4!$A$585:$B$786,2,0)=0,1, )</f>
        <v>1</v>
      </c>
      <c r="B834" s="2" t="str">
        <f t="shared" si="1"/>
        <v>1</v>
      </c>
      <c r="C834" s="2" t="str">
        <f t="shared" si="2"/>
        <v>2000004220-8510</v>
      </c>
      <c r="D834" s="2">
        <v>3.20058876E8</v>
      </c>
      <c r="E834" s="2">
        <v>2.00000422E9</v>
      </c>
      <c r="F834" s="2">
        <v>8510.0</v>
      </c>
      <c r="G834" s="2">
        <v>1.0</v>
      </c>
      <c r="H834" s="2">
        <v>0.0</v>
      </c>
      <c r="I834" s="2">
        <v>415000.0</v>
      </c>
      <c r="J834" s="2">
        <v>1.0</v>
      </c>
      <c r="K834" s="2">
        <v>7.0</v>
      </c>
      <c r="O834" s="2" t="s">
        <v>820</v>
      </c>
      <c r="P834" s="2" t="s">
        <v>166</v>
      </c>
      <c r="R834" s="2" t="s">
        <v>434</v>
      </c>
      <c r="S834" s="11">
        <v>42195.70275462963</v>
      </c>
    </row>
    <row r="835" ht="12.75" hidden="1" customHeight="1">
      <c r="A835" s="2" t="str">
        <f>IF(VLOOKUP(E835,Sheet4!$A$585:$B$786,2,0)=0,1, )</f>
        <v>1</v>
      </c>
      <c r="B835" s="2" t="str">
        <f t="shared" si="1"/>
        <v/>
      </c>
      <c r="C835" s="2" t="str">
        <f t="shared" si="2"/>
        <v>2000004220-8510</v>
      </c>
      <c r="D835" s="2">
        <v>3.20058877E8</v>
      </c>
      <c r="E835" s="2">
        <v>2.00000422E9</v>
      </c>
      <c r="F835" s="2">
        <v>8510.0</v>
      </c>
      <c r="G835" s="2">
        <v>1.0</v>
      </c>
      <c r="H835" s="2">
        <v>0.0</v>
      </c>
      <c r="I835" s="2">
        <v>415000.0</v>
      </c>
      <c r="J835" s="2">
        <v>1.0</v>
      </c>
      <c r="K835" s="2">
        <v>7.0</v>
      </c>
      <c r="O835" s="2" t="s">
        <v>820</v>
      </c>
      <c r="P835" s="2" t="s">
        <v>166</v>
      </c>
      <c r="R835" s="2" t="s">
        <v>434</v>
      </c>
      <c r="S835" s="11">
        <v>42195.70275462963</v>
      </c>
    </row>
    <row r="836" ht="12.75" hidden="1" customHeight="1">
      <c r="A836" s="2" t="str">
        <f>IF(VLOOKUP(E836,Sheet4!$A$585:$B$786,2,0)=0,1, )</f>
        <v>1</v>
      </c>
      <c r="B836" s="2" t="str">
        <f t="shared" si="1"/>
        <v/>
      </c>
      <c r="C836" s="2" t="str">
        <f t="shared" si="2"/>
        <v>2000004220-8510</v>
      </c>
      <c r="D836" s="2">
        <v>3.20058878E8</v>
      </c>
      <c r="E836" s="2">
        <v>2.00000422E9</v>
      </c>
      <c r="F836" s="2">
        <v>8510.0</v>
      </c>
      <c r="G836" s="2">
        <v>1.0</v>
      </c>
      <c r="H836" s="2">
        <v>0.0</v>
      </c>
      <c r="I836" s="2">
        <v>415000.0</v>
      </c>
      <c r="J836" s="2">
        <v>1.0</v>
      </c>
      <c r="K836" s="2">
        <v>7.0</v>
      </c>
      <c r="O836" s="2" t="s">
        <v>820</v>
      </c>
      <c r="P836" s="2" t="s">
        <v>166</v>
      </c>
      <c r="R836" s="2" t="s">
        <v>434</v>
      </c>
      <c r="S836" s="11">
        <v>42195.70275462963</v>
      </c>
    </row>
    <row r="837" ht="12.75" hidden="1" customHeight="1">
      <c r="A837" s="2" t="str">
        <f>IF(VLOOKUP(E837,Sheet4!$A$585:$B$786,2,0)=0,1, )</f>
        <v>1</v>
      </c>
      <c r="B837" s="2" t="str">
        <f t="shared" si="1"/>
        <v>1</v>
      </c>
      <c r="C837" s="2" t="str">
        <f t="shared" si="2"/>
        <v>2000004220-14114</v>
      </c>
      <c r="D837" s="2">
        <v>3.20058871E8</v>
      </c>
      <c r="E837" s="2">
        <v>2.00000422E9</v>
      </c>
      <c r="F837" s="2">
        <v>14114.0</v>
      </c>
      <c r="G837" s="2">
        <v>1.0</v>
      </c>
      <c r="H837" s="2">
        <v>0.0</v>
      </c>
      <c r="I837" s="2">
        <v>255000.0</v>
      </c>
      <c r="J837" s="2">
        <v>1.0</v>
      </c>
      <c r="K837" s="2">
        <v>7.0</v>
      </c>
      <c r="O837" s="2" t="s">
        <v>663</v>
      </c>
      <c r="P837" s="2" t="s">
        <v>166</v>
      </c>
      <c r="R837" s="2" t="s">
        <v>434</v>
      </c>
      <c r="S837" s="11">
        <v>42195.70275462963</v>
      </c>
    </row>
    <row r="838" ht="12.75" hidden="1" customHeight="1">
      <c r="A838" s="2" t="str">
        <f>IF(VLOOKUP(E838,Sheet4!$A$585:$B$786,2,0)=0,1, )</f>
        <v>1</v>
      </c>
      <c r="B838" s="2" t="str">
        <f t="shared" si="1"/>
        <v/>
      </c>
      <c r="C838" s="2" t="str">
        <f t="shared" si="2"/>
        <v>2000004220-14114</v>
      </c>
      <c r="D838" s="2">
        <v>3.2005887E8</v>
      </c>
      <c r="E838" s="2">
        <v>2.00000422E9</v>
      </c>
      <c r="F838" s="2">
        <v>14114.0</v>
      </c>
      <c r="G838" s="2">
        <v>1.0</v>
      </c>
      <c r="H838" s="2">
        <v>0.0</v>
      </c>
      <c r="I838" s="2">
        <v>255000.0</v>
      </c>
      <c r="J838" s="2">
        <v>1.0</v>
      </c>
      <c r="K838" s="2">
        <v>7.0</v>
      </c>
      <c r="O838" s="2" t="s">
        <v>663</v>
      </c>
      <c r="P838" s="2" t="s">
        <v>166</v>
      </c>
      <c r="R838" s="2" t="s">
        <v>434</v>
      </c>
      <c r="S838" s="11">
        <v>42195.70275462963</v>
      </c>
    </row>
    <row r="839" ht="12.75" hidden="1" customHeight="1">
      <c r="A839" s="2" t="str">
        <f>IF(VLOOKUP(E839,Sheet4!$A$585:$B$786,2,0)=0,1, )</f>
        <v>1</v>
      </c>
      <c r="B839" s="2" t="str">
        <f t="shared" si="1"/>
        <v/>
      </c>
      <c r="C839" s="2" t="str">
        <f t="shared" si="2"/>
        <v>2000004220-14114</v>
      </c>
      <c r="D839" s="2">
        <v>3.20058872E8</v>
      </c>
      <c r="E839" s="2">
        <v>2.00000422E9</v>
      </c>
      <c r="F839" s="2">
        <v>14114.0</v>
      </c>
      <c r="G839" s="2">
        <v>1.0</v>
      </c>
      <c r="H839" s="2">
        <v>0.0</v>
      </c>
      <c r="I839" s="2">
        <v>255000.0</v>
      </c>
      <c r="J839" s="2">
        <v>1.0</v>
      </c>
      <c r="K839" s="2">
        <v>7.0</v>
      </c>
      <c r="O839" s="2" t="s">
        <v>663</v>
      </c>
      <c r="P839" s="2" t="s">
        <v>166</v>
      </c>
      <c r="R839" s="2" t="s">
        <v>434</v>
      </c>
      <c r="S839" s="11">
        <v>42195.70275462963</v>
      </c>
    </row>
    <row r="840" ht="12.75" hidden="1" customHeight="1">
      <c r="A840" s="2" t="str">
        <f>IF(VLOOKUP(E840,Sheet4!$A$585:$B$786,2,0)=0,1, )</f>
        <v>1</v>
      </c>
      <c r="B840" s="2" t="str">
        <f t="shared" si="1"/>
        <v>1</v>
      </c>
      <c r="C840" s="2" t="str">
        <f t="shared" si="2"/>
        <v>2000004220-14572</v>
      </c>
      <c r="D840" s="2">
        <v>3.20058874E8</v>
      </c>
      <c r="E840" s="2">
        <v>2.00000422E9</v>
      </c>
      <c r="F840" s="2">
        <v>14572.0</v>
      </c>
      <c r="G840" s="2">
        <v>1.0</v>
      </c>
      <c r="H840" s="2">
        <v>0.0</v>
      </c>
      <c r="I840" s="2">
        <v>390000.0</v>
      </c>
      <c r="J840" s="2">
        <v>1.0</v>
      </c>
      <c r="K840" s="2">
        <v>7.0</v>
      </c>
      <c r="O840" s="2" t="s">
        <v>823</v>
      </c>
      <c r="P840" s="2" t="s">
        <v>166</v>
      </c>
      <c r="R840" s="2" t="s">
        <v>434</v>
      </c>
      <c r="S840" s="11">
        <v>42195.70275462963</v>
      </c>
    </row>
    <row r="841" ht="12.75" hidden="1" customHeight="1">
      <c r="A841" s="2" t="str">
        <f>IF(VLOOKUP(E841,Sheet4!$A$585:$B$786,2,0)=0,1, )</f>
        <v>1</v>
      </c>
      <c r="B841" s="2" t="str">
        <f t="shared" si="1"/>
        <v/>
      </c>
      <c r="C841" s="2" t="str">
        <f t="shared" si="2"/>
        <v>2000004220-14572</v>
      </c>
      <c r="D841" s="2">
        <v>3.20058873E8</v>
      </c>
      <c r="E841" s="2">
        <v>2.00000422E9</v>
      </c>
      <c r="F841" s="2">
        <v>14572.0</v>
      </c>
      <c r="G841" s="2">
        <v>1.0</v>
      </c>
      <c r="H841" s="2">
        <v>0.0</v>
      </c>
      <c r="I841" s="2">
        <v>390000.0</v>
      </c>
      <c r="J841" s="2">
        <v>1.0</v>
      </c>
      <c r="K841" s="2">
        <v>7.0</v>
      </c>
      <c r="O841" s="2" t="s">
        <v>823</v>
      </c>
      <c r="P841" s="2" t="s">
        <v>166</v>
      </c>
      <c r="R841" s="2" t="s">
        <v>434</v>
      </c>
      <c r="S841" s="11">
        <v>42195.70275462963</v>
      </c>
    </row>
    <row r="842" ht="12.75" hidden="1" customHeight="1">
      <c r="A842" s="2" t="str">
        <f>IF(VLOOKUP(E842,Sheet4!$A$585:$B$786,2,0)=0,1, )</f>
        <v>1</v>
      </c>
      <c r="B842" s="2" t="str">
        <f t="shared" si="1"/>
        <v/>
      </c>
      <c r="C842" s="2" t="str">
        <f t="shared" si="2"/>
        <v>2000004220-14572</v>
      </c>
      <c r="D842" s="2">
        <v>3.20058875E8</v>
      </c>
      <c r="E842" s="2">
        <v>2.00000422E9</v>
      </c>
      <c r="F842" s="2">
        <v>14572.0</v>
      </c>
      <c r="G842" s="2">
        <v>1.0</v>
      </c>
      <c r="H842" s="2">
        <v>0.0</v>
      </c>
      <c r="I842" s="2">
        <v>390000.0</v>
      </c>
      <c r="J842" s="2">
        <v>1.0</v>
      </c>
      <c r="K842" s="2">
        <v>7.0</v>
      </c>
      <c r="O842" s="2" t="s">
        <v>823</v>
      </c>
      <c r="P842" s="2" t="s">
        <v>166</v>
      </c>
      <c r="R842" s="2" t="s">
        <v>434</v>
      </c>
      <c r="S842" s="11">
        <v>42195.70275462963</v>
      </c>
    </row>
    <row r="843" ht="12.75" hidden="1" customHeight="1">
      <c r="A843" s="2" t="str">
        <f>IF(VLOOKUP(E843,Sheet4!$A$585:$B$786,2,0)=0,1, )</f>
        <v>1</v>
      </c>
      <c r="B843" s="2" t="str">
        <f t="shared" si="1"/>
        <v>1</v>
      </c>
      <c r="C843" s="2" t="str">
        <f t="shared" si="2"/>
        <v>2000004223-16006</v>
      </c>
      <c r="D843" s="2">
        <v>3.20058885E8</v>
      </c>
      <c r="E843" s="2">
        <v>2.000004223E9</v>
      </c>
      <c r="F843" s="2">
        <v>16006.0</v>
      </c>
      <c r="G843" s="2">
        <v>1.0</v>
      </c>
      <c r="H843" s="2">
        <v>0.0</v>
      </c>
      <c r="I843" s="2">
        <v>265000.0</v>
      </c>
      <c r="J843" s="2">
        <v>1.0</v>
      </c>
      <c r="K843" s="2">
        <v>7.0</v>
      </c>
      <c r="O843" s="2" t="s">
        <v>462</v>
      </c>
      <c r="P843" s="2" t="s">
        <v>166</v>
      </c>
      <c r="R843" s="2" t="s">
        <v>434</v>
      </c>
      <c r="S843" s="11">
        <v>42195.710810185185</v>
      </c>
    </row>
    <row r="844" ht="12.75" hidden="1" customHeight="1">
      <c r="A844" s="2" t="str">
        <f>IF(VLOOKUP(E844,Sheet4!$A$585:$B$786,2,0)=0,1, )</f>
        <v>1</v>
      </c>
      <c r="B844" s="2" t="str">
        <f t="shared" si="1"/>
        <v/>
      </c>
      <c r="C844" s="2" t="str">
        <f t="shared" si="2"/>
        <v>2000004223-16006</v>
      </c>
      <c r="D844" s="2">
        <v>3.20058886E8</v>
      </c>
      <c r="E844" s="2">
        <v>2.000004223E9</v>
      </c>
      <c r="F844" s="2">
        <v>16006.0</v>
      </c>
      <c r="G844" s="2">
        <v>1.0</v>
      </c>
      <c r="H844" s="2">
        <v>0.0</v>
      </c>
      <c r="I844" s="2">
        <v>265000.0</v>
      </c>
      <c r="J844" s="2">
        <v>1.0</v>
      </c>
      <c r="K844" s="2">
        <v>7.0</v>
      </c>
      <c r="O844" s="2" t="s">
        <v>462</v>
      </c>
      <c r="P844" s="2" t="s">
        <v>166</v>
      </c>
      <c r="R844" s="2" t="s">
        <v>434</v>
      </c>
      <c r="S844" s="11">
        <v>42195.710810185185</v>
      </c>
    </row>
    <row r="845" ht="12.75" hidden="1" customHeight="1">
      <c r="A845" s="2" t="str">
        <f>IF(VLOOKUP(E845,Sheet4!$A$585:$B$786,2,0)=0,1, )</f>
        <v>1</v>
      </c>
      <c r="B845" s="2" t="str">
        <f t="shared" si="1"/>
        <v/>
      </c>
      <c r="C845" s="2" t="str">
        <f t="shared" si="2"/>
        <v>2000004223-16006</v>
      </c>
      <c r="D845" s="2">
        <v>3.20058888E8</v>
      </c>
      <c r="E845" s="2">
        <v>2.000004223E9</v>
      </c>
      <c r="F845" s="2">
        <v>16006.0</v>
      </c>
      <c r="G845" s="2">
        <v>1.0</v>
      </c>
      <c r="H845" s="2">
        <v>0.0</v>
      </c>
      <c r="I845" s="2">
        <v>265000.0</v>
      </c>
      <c r="J845" s="2">
        <v>1.0</v>
      </c>
      <c r="K845" s="2">
        <v>7.0</v>
      </c>
      <c r="O845" s="2" t="s">
        <v>462</v>
      </c>
      <c r="P845" s="2" t="s">
        <v>166</v>
      </c>
      <c r="R845" s="2" t="s">
        <v>434</v>
      </c>
      <c r="S845" s="11">
        <v>42195.710810185185</v>
      </c>
    </row>
    <row r="846" ht="12.75" hidden="1" customHeight="1">
      <c r="A846" s="2" t="str">
        <f>IF(VLOOKUP(E846,Sheet4!$A$585:$B$786,2,0)=0,1, )</f>
        <v>1</v>
      </c>
      <c r="B846" s="2" t="str">
        <f t="shared" si="1"/>
        <v/>
      </c>
      <c r="C846" s="2" t="str">
        <f t="shared" si="2"/>
        <v>2000004223-16006</v>
      </c>
      <c r="D846" s="2">
        <v>3.20058887E8</v>
      </c>
      <c r="E846" s="2">
        <v>2.000004223E9</v>
      </c>
      <c r="F846" s="2">
        <v>16006.0</v>
      </c>
      <c r="G846" s="2">
        <v>1.0</v>
      </c>
      <c r="H846" s="2">
        <v>0.0</v>
      </c>
      <c r="I846" s="2">
        <v>265000.0</v>
      </c>
      <c r="J846" s="2">
        <v>1.0</v>
      </c>
      <c r="K846" s="2">
        <v>7.0</v>
      </c>
      <c r="O846" s="2" t="s">
        <v>462</v>
      </c>
      <c r="P846" s="2" t="s">
        <v>166</v>
      </c>
      <c r="R846" s="2" t="s">
        <v>434</v>
      </c>
      <c r="S846" s="11">
        <v>42195.710810185185</v>
      </c>
    </row>
    <row r="847" ht="12.75" hidden="1" customHeight="1">
      <c r="A847" s="2" t="str">
        <f>IF(VLOOKUP(E847,Sheet4!$A$585:$B$786,2,0)=0,1, )</f>
        <v>1</v>
      </c>
      <c r="B847" s="2" t="str">
        <f t="shared" si="1"/>
        <v>1</v>
      </c>
      <c r="C847" s="2" t="str">
        <f t="shared" si="2"/>
        <v>2000004229-13041</v>
      </c>
      <c r="D847" s="2">
        <v>3.20058996E8</v>
      </c>
      <c r="E847" s="2">
        <v>2.000004229E9</v>
      </c>
      <c r="F847" s="2">
        <v>13041.0</v>
      </c>
      <c r="G847" s="2">
        <v>1.0</v>
      </c>
      <c r="H847" s="2">
        <v>0.0</v>
      </c>
      <c r="I847" s="2">
        <v>39000.0</v>
      </c>
      <c r="J847" s="2">
        <v>1.0</v>
      </c>
      <c r="K847" s="2">
        <v>7.0</v>
      </c>
      <c r="O847" s="2" t="s">
        <v>476</v>
      </c>
      <c r="P847" s="2" t="s">
        <v>166</v>
      </c>
      <c r="R847" s="2" t="s">
        <v>434</v>
      </c>
      <c r="S847" s="11">
        <v>42195.75412037037</v>
      </c>
    </row>
    <row r="848" ht="12.75" hidden="1" customHeight="1">
      <c r="A848" s="2" t="str">
        <f>IF(VLOOKUP(E848,Sheet4!$A$585:$B$786,2,0)=0,1, )</f>
        <v>1</v>
      </c>
      <c r="B848" s="2" t="str">
        <f t="shared" si="1"/>
        <v/>
      </c>
      <c r="C848" s="2" t="str">
        <f t="shared" si="2"/>
        <v>2000004229-13041</v>
      </c>
      <c r="D848" s="2">
        <v>3.20058995E8</v>
      </c>
      <c r="E848" s="2">
        <v>2.000004229E9</v>
      </c>
      <c r="F848" s="2">
        <v>13041.0</v>
      </c>
      <c r="G848" s="2">
        <v>1.0</v>
      </c>
      <c r="H848" s="2">
        <v>0.0</v>
      </c>
      <c r="I848" s="2">
        <v>39000.0</v>
      </c>
      <c r="J848" s="2">
        <v>1.0</v>
      </c>
      <c r="K848" s="2">
        <v>7.0</v>
      </c>
      <c r="O848" s="2" t="s">
        <v>476</v>
      </c>
      <c r="P848" s="2" t="s">
        <v>166</v>
      </c>
      <c r="R848" s="2" t="s">
        <v>434</v>
      </c>
      <c r="S848" s="11">
        <v>42195.75412037037</v>
      </c>
    </row>
    <row r="849" ht="12.75" hidden="1" customHeight="1">
      <c r="A849" s="2" t="str">
        <f>IF(VLOOKUP(E849,Sheet4!$A$585:$B$786,2,0)=0,1, )</f>
        <v>1</v>
      </c>
      <c r="B849" s="2" t="str">
        <f t="shared" si="1"/>
        <v>1</v>
      </c>
      <c r="C849" s="2" t="str">
        <f t="shared" si="2"/>
        <v>2000004231-5417</v>
      </c>
      <c r="D849" s="2">
        <v>3.20059021E8</v>
      </c>
      <c r="E849" s="2">
        <v>2.000004231E9</v>
      </c>
      <c r="F849" s="2">
        <v>5417.0</v>
      </c>
      <c r="G849" s="2">
        <v>1.0</v>
      </c>
      <c r="H849" s="2">
        <v>0.0</v>
      </c>
      <c r="I849" s="2">
        <v>395000.0</v>
      </c>
      <c r="J849" s="2">
        <v>1.0</v>
      </c>
      <c r="K849" s="2">
        <v>7.0</v>
      </c>
      <c r="O849" s="2" t="s">
        <v>827</v>
      </c>
      <c r="P849" s="2" t="s">
        <v>166</v>
      </c>
      <c r="R849" s="2" t="s">
        <v>434</v>
      </c>
      <c r="S849" s="11">
        <v>42195.77153935185</v>
      </c>
    </row>
    <row r="850" ht="12.75" hidden="1" customHeight="1">
      <c r="A850" s="2" t="str">
        <f>IF(VLOOKUP(E850,Sheet4!$A$585:$B$786,2,0)=0,1, )</f>
        <v>1</v>
      </c>
      <c r="B850" s="2" t="str">
        <f t="shared" si="1"/>
        <v/>
      </c>
      <c r="C850" s="2" t="str">
        <f t="shared" si="2"/>
        <v>2000004231-5417</v>
      </c>
      <c r="D850" s="2">
        <v>3.2005902E8</v>
      </c>
      <c r="E850" s="2">
        <v>2.000004231E9</v>
      </c>
      <c r="F850" s="2">
        <v>5417.0</v>
      </c>
      <c r="G850" s="2">
        <v>1.0</v>
      </c>
      <c r="H850" s="2">
        <v>0.0</v>
      </c>
      <c r="I850" s="2">
        <v>395000.0</v>
      </c>
      <c r="J850" s="2">
        <v>1.0</v>
      </c>
      <c r="K850" s="2">
        <v>7.0</v>
      </c>
      <c r="O850" s="2" t="s">
        <v>827</v>
      </c>
      <c r="P850" s="2" t="s">
        <v>166</v>
      </c>
      <c r="R850" s="2" t="s">
        <v>434</v>
      </c>
      <c r="S850" s="11">
        <v>42195.77153935185</v>
      </c>
    </row>
    <row r="851" ht="12.75" hidden="1" customHeight="1">
      <c r="A851" s="2" t="str">
        <f>IF(VLOOKUP(E851,Sheet4!$A$585:$B$786,2,0)=0,1, )</f>
        <v>1</v>
      </c>
      <c r="B851" s="2" t="str">
        <f t="shared" si="1"/>
        <v/>
      </c>
      <c r="C851" s="2" t="str">
        <f t="shared" si="2"/>
        <v>2000004231-5417</v>
      </c>
      <c r="D851" s="2">
        <v>3.20059019E8</v>
      </c>
      <c r="E851" s="2">
        <v>2.000004231E9</v>
      </c>
      <c r="F851" s="2">
        <v>5417.0</v>
      </c>
      <c r="G851" s="2">
        <v>1.0</v>
      </c>
      <c r="H851" s="2">
        <v>0.0</v>
      </c>
      <c r="I851" s="2">
        <v>395000.0</v>
      </c>
      <c r="J851" s="2">
        <v>1.0</v>
      </c>
      <c r="K851" s="2">
        <v>7.0</v>
      </c>
      <c r="O851" s="2" t="s">
        <v>827</v>
      </c>
      <c r="P851" s="2" t="s">
        <v>166</v>
      </c>
      <c r="R851" s="2" t="s">
        <v>434</v>
      </c>
      <c r="S851" s="11">
        <v>42195.77153935185</v>
      </c>
    </row>
    <row r="852" ht="12.75" hidden="1" customHeight="1">
      <c r="A852" s="2" t="str">
        <f>IF(VLOOKUP(E852,Sheet4!$A$585:$B$786,2,0)=0,1, )</f>
        <v>1</v>
      </c>
      <c r="B852" s="2" t="str">
        <f t="shared" si="1"/>
        <v>1</v>
      </c>
      <c r="C852" s="2" t="str">
        <f t="shared" si="2"/>
        <v>2000004231-6402</v>
      </c>
      <c r="D852" s="2">
        <v>3.20059026E8</v>
      </c>
      <c r="E852" s="2">
        <v>2.000004231E9</v>
      </c>
      <c r="F852" s="2">
        <v>6402.0</v>
      </c>
      <c r="G852" s="2">
        <v>1.0</v>
      </c>
      <c r="H852" s="2">
        <v>0.0</v>
      </c>
      <c r="I852" s="2">
        <v>79000.0</v>
      </c>
      <c r="J852" s="2">
        <v>1.0</v>
      </c>
      <c r="K852" s="2">
        <v>7.0</v>
      </c>
      <c r="O852" s="2" t="s">
        <v>453</v>
      </c>
      <c r="P852" s="2" t="s">
        <v>166</v>
      </c>
      <c r="R852" s="2" t="s">
        <v>434</v>
      </c>
      <c r="S852" s="11">
        <v>42195.77155092593</v>
      </c>
    </row>
    <row r="853" ht="12.75" hidden="1" customHeight="1">
      <c r="A853" s="2" t="str">
        <f>IF(VLOOKUP(E853,Sheet4!$A$585:$B$786,2,0)=0,1, )</f>
        <v>1</v>
      </c>
      <c r="B853" s="2" t="str">
        <f t="shared" si="1"/>
        <v/>
      </c>
      <c r="C853" s="2" t="str">
        <f t="shared" si="2"/>
        <v>2000004231-6402</v>
      </c>
      <c r="D853" s="2">
        <v>3.20059025E8</v>
      </c>
      <c r="E853" s="2">
        <v>2.000004231E9</v>
      </c>
      <c r="F853" s="2">
        <v>6402.0</v>
      </c>
      <c r="G853" s="2">
        <v>1.0</v>
      </c>
      <c r="H853" s="2">
        <v>0.0</v>
      </c>
      <c r="I853" s="2">
        <v>79000.0</v>
      </c>
      <c r="J853" s="2">
        <v>1.0</v>
      </c>
      <c r="K853" s="2">
        <v>7.0</v>
      </c>
      <c r="O853" s="2" t="s">
        <v>453</v>
      </c>
      <c r="P853" s="2" t="s">
        <v>166</v>
      </c>
      <c r="R853" s="2" t="s">
        <v>434</v>
      </c>
      <c r="S853" s="11">
        <v>42195.77155092593</v>
      </c>
    </row>
    <row r="854" ht="12.75" hidden="1" customHeight="1">
      <c r="A854" s="2" t="str">
        <f>IF(VLOOKUP(E854,Sheet4!$A$585:$B$786,2,0)=0,1, )</f>
        <v>1</v>
      </c>
      <c r="B854" s="2" t="str">
        <f t="shared" si="1"/>
        <v/>
      </c>
      <c r="C854" s="2" t="str">
        <f t="shared" si="2"/>
        <v>2000004231-6402</v>
      </c>
      <c r="D854" s="2">
        <v>3.20059027E8</v>
      </c>
      <c r="E854" s="2">
        <v>2.000004231E9</v>
      </c>
      <c r="F854" s="2">
        <v>6402.0</v>
      </c>
      <c r="G854" s="2">
        <v>1.0</v>
      </c>
      <c r="H854" s="2">
        <v>0.0</v>
      </c>
      <c r="I854" s="2">
        <v>79000.0</v>
      </c>
      <c r="J854" s="2">
        <v>1.0</v>
      </c>
      <c r="K854" s="2">
        <v>7.0</v>
      </c>
      <c r="O854" s="2" t="s">
        <v>453</v>
      </c>
      <c r="P854" s="2" t="s">
        <v>166</v>
      </c>
      <c r="R854" s="2" t="s">
        <v>434</v>
      </c>
      <c r="S854" s="11">
        <v>42195.77155092593</v>
      </c>
    </row>
    <row r="855" ht="12.75" hidden="1" customHeight="1">
      <c r="A855" s="2" t="str">
        <f>IF(VLOOKUP(E855,Sheet4!$A$585:$B$786,2,0)=0,1, )</f>
        <v>1</v>
      </c>
      <c r="B855" s="2" t="str">
        <f t="shared" si="1"/>
        <v>1</v>
      </c>
      <c r="C855" s="2" t="str">
        <f t="shared" si="2"/>
        <v>2000004231-8629</v>
      </c>
      <c r="D855" s="2">
        <v>3.2005903E8</v>
      </c>
      <c r="E855" s="2">
        <v>2.000004231E9</v>
      </c>
      <c r="F855" s="2">
        <v>8629.0</v>
      </c>
      <c r="G855" s="2">
        <v>-1.0</v>
      </c>
      <c r="H855" s="2">
        <v>0.0</v>
      </c>
      <c r="I855" s="2">
        <v>-655000.0</v>
      </c>
      <c r="J855" s="2">
        <v>1.0</v>
      </c>
      <c r="K855" s="2">
        <v>7.0</v>
      </c>
      <c r="O855" s="2" t="s">
        <v>631</v>
      </c>
      <c r="P855" s="2" t="s">
        <v>166</v>
      </c>
      <c r="R855" s="2" t="s">
        <v>434</v>
      </c>
      <c r="S855" s="11">
        <v>42195.77155092593</v>
      </c>
    </row>
    <row r="856" ht="12.75" hidden="1" customHeight="1">
      <c r="A856" s="2" t="str">
        <f>IF(VLOOKUP(E856,Sheet4!$A$585:$B$786,2,0)=0,1, )</f>
        <v>1</v>
      </c>
      <c r="B856" s="2" t="str">
        <f t="shared" si="1"/>
        <v/>
      </c>
      <c r="C856" s="2" t="str">
        <f t="shared" si="2"/>
        <v>2000004231-8629</v>
      </c>
      <c r="D856" s="2">
        <v>3.20059028E8</v>
      </c>
      <c r="E856" s="2">
        <v>2.000004231E9</v>
      </c>
      <c r="F856" s="2">
        <v>8629.0</v>
      </c>
      <c r="G856" s="2">
        <v>-1.0</v>
      </c>
      <c r="H856" s="2">
        <v>0.0</v>
      </c>
      <c r="I856" s="2">
        <v>-655000.0</v>
      </c>
      <c r="J856" s="2">
        <v>1.0</v>
      </c>
      <c r="K856" s="2">
        <v>7.0</v>
      </c>
      <c r="O856" s="2" t="s">
        <v>631</v>
      </c>
      <c r="P856" s="2" t="s">
        <v>166</v>
      </c>
      <c r="R856" s="2" t="s">
        <v>434</v>
      </c>
      <c r="S856" s="11">
        <v>42195.77155092593</v>
      </c>
    </row>
    <row r="857" ht="12.75" hidden="1" customHeight="1">
      <c r="A857" s="2" t="str">
        <f>IF(VLOOKUP(E857,Sheet4!$A$585:$B$786,2,0)=0,1, )</f>
        <v>1</v>
      </c>
      <c r="B857" s="2" t="str">
        <f t="shared" si="1"/>
        <v/>
      </c>
      <c r="C857" s="2" t="str">
        <f t="shared" si="2"/>
        <v>2000004231-8629</v>
      </c>
      <c r="D857" s="2">
        <v>3.20059029E8</v>
      </c>
      <c r="E857" s="2">
        <v>2.000004231E9</v>
      </c>
      <c r="F857" s="2">
        <v>8629.0</v>
      </c>
      <c r="G857" s="2">
        <v>-1.0</v>
      </c>
      <c r="H857" s="2">
        <v>0.0</v>
      </c>
      <c r="I857" s="2">
        <v>-655000.0</v>
      </c>
      <c r="J857" s="2">
        <v>1.0</v>
      </c>
      <c r="K857" s="2">
        <v>7.0</v>
      </c>
      <c r="O857" s="2" t="s">
        <v>631</v>
      </c>
      <c r="P857" s="2" t="s">
        <v>166</v>
      </c>
      <c r="R857" s="2" t="s">
        <v>434</v>
      </c>
      <c r="S857" s="11">
        <v>42195.77155092593</v>
      </c>
    </row>
    <row r="858" ht="12.75" hidden="1" customHeight="1">
      <c r="A858" s="2" t="str">
        <f>IF(VLOOKUP(E858,Sheet4!$A$585:$B$786,2,0)=0,1, )</f>
        <v>1</v>
      </c>
      <c r="B858" s="2" t="str">
        <f t="shared" si="1"/>
        <v>1</v>
      </c>
      <c r="C858" s="2" t="str">
        <f t="shared" si="2"/>
        <v>2000004231-14000039</v>
      </c>
      <c r="D858" s="2">
        <v>3.20059024E8</v>
      </c>
      <c r="E858" s="2">
        <v>2.000004231E9</v>
      </c>
      <c r="F858" s="2">
        <v>1.4000039E7</v>
      </c>
      <c r="G858" s="2">
        <v>1.0</v>
      </c>
      <c r="H858" s="2">
        <v>0.0</v>
      </c>
      <c r="I858" s="2">
        <v>288000.0</v>
      </c>
      <c r="J858" s="2">
        <v>1.0</v>
      </c>
      <c r="K858" s="2">
        <v>7.0</v>
      </c>
      <c r="O858" s="2" t="s">
        <v>451</v>
      </c>
      <c r="P858" s="2" t="s">
        <v>166</v>
      </c>
      <c r="R858" s="2" t="s">
        <v>434</v>
      </c>
      <c r="S858" s="11">
        <v>42195.77153935185</v>
      </c>
    </row>
    <row r="859" ht="12.75" hidden="1" customHeight="1">
      <c r="A859" s="2" t="str">
        <f>IF(VLOOKUP(E859,Sheet4!$A$585:$B$786,2,0)=0,1, )</f>
        <v>1</v>
      </c>
      <c r="B859" s="2" t="str">
        <f t="shared" si="1"/>
        <v/>
      </c>
      <c r="C859" s="2" t="str">
        <f t="shared" si="2"/>
        <v>2000004231-14000039</v>
      </c>
      <c r="D859" s="2">
        <v>3.20059022E8</v>
      </c>
      <c r="E859" s="2">
        <v>2.000004231E9</v>
      </c>
      <c r="F859" s="2">
        <v>1.4000039E7</v>
      </c>
      <c r="G859" s="2">
        <v>1.0</v>
      </c>
      <c r="H859" s="2">
        <v>0.0</v>
      </c>
      <c r="I859" s="2">
        <v>288000.0</v>
      </c>
      <c r="J859" s="2">
        <v>1.0</v>
      </c>
      <c r="K859" s="2">
        <v>7.0</v>
      </c>
      <c r="O859" s="2" t="s">
        <v>451</v>
      </c>
      <c r="P859" s="2" t="s">
        <v>166</v>
      </c>
      <c r="R859" s="2" t="s">
        <v>434</v>
      </c>
      <c r="S859" s="11">
        <v>42195.77153935185</v>
      </c>
    </row>
    <row r="860" ht="12.75" hidden="1" customHeight="1">
      <c r="A860" s="2" t="str">
        <f>IF(VLOOKUP(E860,Sheet4!$A$585:$B$786,2,0)=0,1, )</f>
        <v>1</v>
      </c>
      <c r="B860" s="2" t="str">
        <f t="shared" si="1"/>
        <v/>
      </c>
      <c r="C860" s="2" t="str">
        <f t="shared" si="2"/>
        <v>2000004231-14000039</v>
      </c>
      <c r="D860" s="2">
        <v>3.20059023E8</v>
      </c>
      <c r="E860" s="2">
        <v>2.000004231E9</v>
      </c>
      <c r="F860" s="2">
        <v>1.4000039E7</v>
      </c>
      <c r="G860" s="2">
        <v>1.0</v>
      </c>
      <c r="H860" s="2">
        <v>0.0</v>
      </c>
      <c r="I860" s="2">
        <v>288000.0</v>
      </c>
      <c r="J860" s="2">
        <v>1.0</v>
      </c>
      <c r="K860" s="2">
        <v>7.0</v>
      </c>
      <c r="O860" s="2" t="s">
        <v>451</v>
      </c>
      <c r="P860" s="2" t="s">
        <v>166</v>
      </c>
      <c r="R860" s="2" t="s">
        <v>434</v>
      </c>
      <c r="S860" s="11">
        <v>42195.77153935185</v>
      </c>
    </row>
    <row r="861" ht="12.75" hidden="1" customHeight="1">
      <c r="A861" s="2" t="str">
        <f>IF(VLOOKUP(E861,Sheet4!$A$585:$B$786,2,0)=0,1, )</f>
        <v>1</v>
      </c>
      <c r="B861" s="2" t="str">
        <f t="shared" si="1"/>
        <v>1</v>
      </c>
      <c r="C861" s="2" t="str">
        <f t="shared" si="2"/>
        <v>2000004232-7131</v>
      </c>
      <c r="D861" s="2">
        <v>3.20059048E8</v>
      </c>
      <c r="E861" s="2">
        <v>2.000004232E9</v>
      </c>
      <c r="F861" s="2">
        <v>7131.0</v>
      </c>
      <c r="G861" s="2">
        <v>1.0</v>
      </c>
      <c r="H861" s="2">
        <v>0.0</v>
      </c>
      <c r="I861" s="2">
        <v>245000.0</v>
      </c>
      <c r="J861" s="2">
        <v>1.0</v>
      </c>
      <c r="K861" s="2">
        <v>7.0</v>
      </c>
      <c r="O861" s="2" t="s">
        <v>832</v>
      </c>
      <c r="P861" s="2" t="s">
        <v>166</v>
      </c>
      <c r="R861" s="2" t="s">
        <v>434</v>
      </c>
      <c r="S861" s="11">
        <v>42195.78916666667</v>
      </c>
    </row>
    <row r="862" ht="12.75" hidden="1" customHeight="1">
      <c r="A862" s="2" t="str">
        <f>IF(VLOOKUP(E862,Sheet4!$A$585:$B$786,2,0)=0,1, )</f>
        <v>1</v>
      </c>
      <c r="B862" s="2" t="str">
        <f t="shared" si="1"/>
        <v/>
      </c>
      <c r="C862" s="2" t="str">
        <f t="shared" si="2"/>
        <v>2000004232-7131</v>
      </c>
      <c r="D862" s="2">
        <v>3.20059049E8</v>
      </c>
      <c r="E862" s="2">
        <v>2.000004232E9</v>
      </c>
      <c r="F862" s="2">
        <v>7131.0</v>
      </c>
      <c r="G862" s="2">
        <v>1.0</v>
      </c>
      <c r="H862" s="2">
        <v>0.0</v>
      </c>
      <c r="I862" s="2">
        <v>245000.0</v>
      </c>
      <c r="J862" s="2">
        <v>1.0</v>
      </c>
      <c r="K862" s="2">
        <v>7.0</v>
      </c>
      <c r="O862" s="2" t="s">
        <v>832</v>
      </c>
      <c r="P862" s="2" t="s">
        <v>166</v>
      </c>
      <c r="R862" s="2" t="s">
        <v>434</v>
      </c>
      <c r="S862" s="11">
        <v>42195.78916666667</v>
      </c>
    </row>
    <row r="863" ht="12.75" hidden="1" customHeight="1">
      <c r="A863" s="2" t="str">
        <f>IF(VLOOKUP(E863,Sheet4!$A$585:$B$786,2,0)=0,1, )</f>
        <v>1</v>
      </c>
      <c r="B863" s="2" t="str">
        <f t="shared" si="1"/>
        <v>1</v>
      </c>
      <c r="C863" s="2" t="str">
        <f t="shared" si="2"/>
        <v>2000004232-14433</v>
      </c>
      <c r="D863" s="2">
        <v>3.20059046E8</v>
      </c>
      <c r="E863" s="2">
        <v>2.000004232E9</v>
      </c>
      <c r="F863" s="2">
        <v>14433.0</v>
      </c>
      <c r="G863" s="2">
        <v>-1.0</v>
      </c>
      <c r="H863" s="2">
        <v>0.0</v>
      </c>
      <c r="I863" s="2">
        <v>-375000.0</v>
      </c>
      <c r="J863" s="2">
        <v>1.0</v>
      </c>
      <c r="K863" s="2">
        <v>7.0</v>
      </c>
      <c r="O863" s="2" t="s">
        <v>834</v>
      </c>
      <c r="P863" s="2" t="s">
        <v>166</v>
      </c>
      <c r="R863" s="2" t="s">
        <v>434</v>
      </c>
      <c r="S863" s="11">
        <v>42195.78915509259</v>
      </c>
    </row>
    <row r="864" ht="12.75" hidden="1" customHeight="1">
      <c r="A864" s="2" t="str">
        <f>IF(VLOOKUP(E864,Sheet4!$A$585:$B$786,2,0)=0,1, )</f>
        <v>1</v>
      </c>
      <c r="B864" s="2" t="str">
        <f t="shared" si="1"/>
        <v/>
      </c>
      <c r="C864" s="2" t="str">
        <f t="shared" si="2"/>
        <v>2000004232-14433</v>
      </c>
      <c r="D864" s="2">
        <v>3.20059047E8</v>
      </c>
      <c r="E864" s="2">
        <v>2.000004232E9</v>
      </c>
      <c r="F864" s="2">
        <v>14433.0</v>
      </c>
      <c r="G864" s="2">
        <v>-1.0</v>
      </c>
      <c r="H864" s="2">
        <v>0.0</v>
      </c>
      <c r="I864" s="2">
        <v>-375000.0</v>
      </c>
      <c r="J864" s="2">
        <v>1.0</v>
      </c>
      <c r="K864" s="2">
        <v>7.0</v>
      </c>
      <c r="O864" s="2" t="s">
        <v>834</v>
      </c>
      <c r="P864" s="2" t="s">
        <v>166</v>
      </c>
      <c r="R864" s="2" t="s">
        <v>434</v>
      </c>
      <c r="S864" s="11">
        <v>42195.78916666667</v>
      </c>
    </row>
    <row r="865" ht="12.75" hidden="1" customHeight="1">
      <c r="A865" s="2" t="str">
        <f>IF(VLOOKUP(E865,Sheet4!$A$585:$B$786,2,0)=0,1, )</f>
        <v>1</v>
      </c>
      <c r="B865" s="2" t="str">
        <f t="shared" si="1"/>
        <v>1</v>
      </c>
      <c r="C865" s="2" t="str">
        <f t="shared" si="2"/>
        <v>2000004232-15747</v>
      </c>
      <c r="D865" s="2">
        <v>3.2005905E8</v>
      </c>
      <c r="E865" s="2">
        <v>2.000004232E9</v>
      </c>
      <c r="F865" s="2">
        <v>15747.0</v>
      </c>
      <c r="G865" s="2">
        <v>1.0</v>
      </c>
      <c r="H865" s="2">
        <v>0.0</v>
      </c>
      <c r="I865" s="2">
        <v>400000.0</v>
      </c>
      <c r="J865" s="2">
        <v>1.0</v>
      </c>
      <c r="K865" s="2">
        <v>7.0</v>
      </c>
      <c r="O865" s="2" t="s">
        <v>836</v>
      </c>
      <c r="P865" s="2" t="s">
        <v>166</v>
      </c>
      <c r="R865" s="2" t="s">
        <v>434</v>
      </c>
      <c r="S865" s="11">
        <v>42195.78916666667</v>
      </c>
    </row>
    <row r="866" ht="12.75" hidden="1" customHeight="1">
      <c r="A866" s="2" t="str">
        <f>IF(VLOOKUP(E866,Sheet4!$A$585:$B$786,2,0)=0,1, )</f>
        <v>1</v>
      </c>
      <c r="B866" s="2" t="str">
        <f t="shared" si="1"/>
        <v/>
      </c>
      <c r="C866" s="2" t="str">
        <f t="shared" si="2"/>
        <v>2000004232-15747</v>
      </c>
      <c r="D866" s="2">
        <v>3.20059051E8</v>
      </c>
      <c r="E866" s="2">
        <v>2.000004232E9</v>
      </c>
      <c r="F866" s="2">
        <v>15747.0</v>
      </c>
      <c r="G866" s="2">
        <v>1.0</v>
      </c>
      <c r="H866" s="2">
        <v>0.0</v>
      </c>
      <c r="I866" s="2">
        <v>400000.0</v>
      </c>
      <c r="J866" s="2">
        <v>1.0</v>
      </c>
      <c r="K866" s="2">
        <v>7.0</v>
      </c>
      <c r="O866" s="2" t="s">
        <v>836</v>
      </c>
      <c r="P866" s="2" t="s">
        <v>166</v>
      </c>
      <c r="R866" s="2" t="s">
        <v>434</v>
      </c>
      <c r="S866" s="11">
        <v>42195.78916666667</v>
      </c>
    </row>
    <row r="867" ht="12.75" hidden="1" customHeight="1">
      <c r="A867" s="2" t="str">
        <f>IF(VLOOKUP(E867,Sheet4!$A$585:$B$786,2,0)=0,1, )</f>
        <v>1</v>
      </c>
      <c r="B867" s="2" t="str">
        <f t="shared" si="1"/>
        <v>1</v>
      </c>
      <c r="C867" s="2" t="str">
        <f t="shared" si="2"/>
        <v>2000004236-15175</v>
      </c>
      <c r="D867" s="2">
        <v>3.20059105E8</v>
      </c>
      <c r="E867" s="2">
        <v>2.000004236E9</v>
      </c>
      <c r="F867" s="2">
        <v>15175.0</v>
      </c>
      <c r="G867" s="2">
        <v>1.0</v>
      </c>
      <c r="H867" s="2">
        <v>0.0</v>
      </c>
      <c r="I867" s="2">
        <v>618000.0</v>
      </c>
      <c r="J867" s="2">
        <v>1.0</v>
      </c>
      <c r="K867" s="2">
        <v>7.0</v>
      </c>
      <c r="O867" s="2" t="s">
        <v>656</v>
      </c>
      <c r="P867" s="2" t="s">
        <v>166</v>
      </c>
      <c r="R867" s="2" t="s">
        <v>434</v>
      </c>
      <c r="S867" s="11">
        <v>42195.859872685185</v>
      </c>
    </row>
    <row r="868" ht="12.75" hidden="1" customHeight="1">
      <c r="A868" s="2" t="str">
        <f>IF(VLOOKUP(E868,Sheet4!$A$585:$B$786,2,0)=0,1, )</f>
        <v>1</v>
      </c>
      <c r="B868" s="2" t="str">
        <f t="shared" si="1"/>
        <v/>
      </c>
      <c r="C868" s="2" t="str">
        <f t="shared" si="2"/>
        <v>2000004236-15175</v>
      </c>
      <c r="D868" s="2">
        <v>3.20059106E8</v>
      </c>
      <c r="E868" s="2">
        <v>2.000004236E9</v>
      </c>
      <c r="F868" s="2">
        <v>15175.0</v>
      </c>
      <c r="G868" s="2">
        <v>1.0</v>
      </c>
      <c r="H868" s="2">
        <v>0.0</v>
      </c>
      <c r="I868" s="2">
        <v>618000.0</v>
      </c>
      <c r="J868" s="2">
        <v>1.0</v>
      </c>
      <c r="K868" s="2">
        <v>7.0</v>
      </c>
      <c r="O868" s="2" t="s">
        <v>656</v>
      </c>
      <c r="P868" s="2" t="s">
        <v>166</v>
      </c>
      <c r="R868" s="2" t="s">
        <v>434</v>
      </c>
      <c r="S868" s="11">
        <v>42195.859872685185</v>
      </c>
    </row>
    <row r="869" ht="12.75" hidden="1" customHeight="1">
      <c r="A869" s="2" t="str">
        <f>IF(VLOOKUP(E869,Sheet4!$A$585:$B$786,2,0)=0,1, )</f>
        <v>1</v>
      </c>
      <c r="B869" s="2" t="str">
        <f t="shared" si="1"/>
        <v>1</v>
      </c>
      <c r="C869" s="2" t="str">
        <f t="shared" si="2"/>
        <v>2000004237-8528</v>
      </c>
      <c r="D869" s="2">
        <v>3.20059107E8</v>
      </c>
      <c r="E869" s="2">
        <v>2.000004237E9</v>
      </c>
      <c r="F869" s="2">
        <v>8528.0</v>
      </c>
      <c r="G869" s="2">
        <v>3.0</v>
      </c>
      <c r="H869" s="2">
        <v>0.0</v>
      </c>
      <c r="I869" s="2">
        <v>165000.0</v>
      </c>
      <c r="J869" s="2">
        <v>1.0</v>
      </c>
      <c r="K869" s="2">
        <v>7.0</v>
      </c>
      <c r="O869" s="2" t="s">
        <v>531</v>
      </c>
      <c r="P869" s="2" t="s">
        <v>166</v>
      </c>
      <c r="R869" s="2" t="s">
        <v>434</v>
      </c>
      <c r="S869" s="11">
        <v>42195.86037037037</v>
      </c>
    </row>
    <row r="870" ht="12.75" hidden="1" customHeight="1">
      <c r="A870" s="2" t="str">
        <f>IF(VLOOKUP(E870,Sheet4!$A$585:$B$786,2,0)=0,1, )</f>
        <v>1</v>
      </c>
      <c r="B870" s="2" t="str">
        <f t="shared" si="1"/>
        <v/>
      </c>
      <c r="C870" s="2" t="str">
        <f t="shared" si="2"/>
        <v>2000004237-8528</v>
      </c>
      <c r="D870" s="2">
        <v>3.20059108E8</v>
      </c>
      <c r="E870" s="2">
        <v>2.000004237E9</v>
      </c>
      <c r="F870" s="2">
        <v>8528.0</v>
      </c>
      <c r="G870" s="2">
        <v>3.0</v>
      </c>
      <c r="H870" s="2">
        <v>0.0</v>
      </c>
      <c r="I870" s="2">
        <v>165000.0</v>
      </c>
      <c r="J870" s="2">
        <v>1.0</v>
      </c>
      <c r="K870" s="2">
        <v>7.0</v>
      </c>
      <c r="O870" s="2" t="s">
        <v>531</v>
      </c>
      <c r="P870" s="2" t="s">
        <v>166</v>
      </c>
      <c r="R870" s="2" t="s">
        <v>434</v>
      </c>
      <c r="S870" s="11">
        <v>42195.86037037037</v>
      </c>
    </row>
    <row r="871" ht="12.75" hidden="1" customHeight="1">
      <c r="A871" s="2" t="str">
        <f>IF(VLOOKUP(E871,Sheet4!$A$585:$B$786,2,0)=0,1, )</f>
        <v>1</v>
      </c>
      <c r="B871" s="2" t="str">
        <f t="shared" si="1"/>
        <v>1</v>
      </c>
      <c r="C871" s="2" t="str">
        <f t="shared" si="2"/>
        <v>2000004239-8518</v>
      </c>
      <c r="D871" s="2">
        <v>3.20059124E8</v>
      </c>
      <c r="E871" s="2">
        <v>2.000004239E9</v>
      </c>
      <c r="F871" s="2">
        <v>8518.0</v>
      </c>
      <c r="G871" s="2">
        <v>1.0</v>
      </c>
      <c r="H871" s="2">
        <v>0.0</v>
      </c>
      <c r="I871" s="2">
        <v>335000.0</v>
      </c>
      <c r="J871" s="2">
        <v>1.0</v>
      </c>
      <c r="K871" s="2">
        <v>7.0</v>
      </c>
      <c r="O871" s="2" t="s">
        <v>506</v>
      </c>
      <c r="P871" s="2" t="s">
        <v>166</v>
      </c>
      <c r="R871" s="2" t="s">
        <v>434</v>
      </c>
      <c r="S871" s="11">
        <v>42195.88946759259</v>
      </c>
    </row>
    <row r="872" ht="12.75" hidden="1" customHeight="1">
      <c r="A872" s="2" t="str">
        <f>IF(VLOOKUP(E872,Sheet4!$A$585:$B$786,2,0)=0,1, )</f>
        <v>1</v>
      </c>
      <c r="B872" s="2" t="str">
        <f t="shared" si="1"/>
        <v/>
      </c>
      <c r="C872" s="2" t="str">
        <f t="shared" si="2"/>
        <v>2000004239-8518</v>
      </c>
      <c r="D872" s="2">
        <v>3.20059125E8</v>
      </c>
      <c r="E872" s="2">
        <v>2.000004239E9</v>
      </c>
      <c r="F872" s="2">
        <v>8518.0</v>
      </c>
      <c r="G872" s="2">
        <v>1.0</v>
      </c>
      <c r="H872" s="2">
        <v>0.0</v>
      </c>
      <c r="I872" s="2">
        <v>335000.0</v>
      </c>
      <c r="J872" s="2">
        <v>1.0</v>
      </c>
      <c r="K872" s="2">
        <v>7.0</v>
      </c>
      <c r="O872" s="2" t="s">
        <v>506</v>
      </c>
      <c r="P872" s="2" t="s">
        <v>166</v>
      </c>
      <c r="R872" s="2" t="s">
        <v>434</v>
      </c>
      <c r="S872" s="11">
        <v>42195.88946759259</v>
      </c>
    </row>
    <row r="873" ht="12.75" hidden="1" customHeight="1">
      <c r="A873" s="2" t="str">
        <f>IF(VLOOKUP(E873,Sheet4!$A$585:$B$786,2,0)=0,1, )</f>
        <v>1</v>
      </c>
      <c r="B873" s="2" t="str">
        <f t="shared" si="1"/>
        <v>1</v>
      </c>
      <c r="C873" s="2" t="str">
        <f t="shared" si="2"/>
        <v>2000004283-8603</v>
      </c>
      <c r="D873" s="2">
        <v>3.20060014E8</v>
      </c>
      <c r="E873" s="2">
        <v>2.000004283E9</v>
      </c>
      <c r="F873" s="2">
        <v>8603.0</v>
      </c>
      <c r="G873" s="2">
        <v>-1.0</v>
      </c>
      <c r="H873" s="2">
        <v>0.0</v>
      </c>
      <c r="I873" s="2">
        <v>-555000.0</v>
      </c>
      <c r="J873" s="2">
        <v>1.0</v>
      </c>
      <c r="K873" s="2">
        <v>7.0</v>
      </c>
      <c r="O873" s="2" t="s">
        <v>602</v>
      </c>
      <c r="P873" s="2" t="s">
        <v>166</v>
      </c>
      <c r="R873" s="2" t="s">
        <v>434</v>
      </c>
      <c r="S873" s="11">
        <v>42196.83584490741</v>
      </c>
    </row>
    <row r="874" ht="12.75" hidden="1" customHeight="1">
      <c r="A874" s="2" t="str">
        <f>IF(VLOOKUP(E874,Sheet4!$A$585:$B$786,2,0)=0,1, )</f>
        <v>1</v>
      </c>
      <c r="B874" s="2" t="str">
        <f t="shared" si="1"/>
        <v/>
      </c>
      <c r="C874" s="2" t="str">
        <f t="shared" si="2"/>
        <v>2000004283-8603</v>
      </c>
      <c r="D874" s="2">
        <v>3.20060013E8</v>
      </c>
      <c r="E874" s="2">
        <v>2.000004283E9</v>
      </c>
      <c r="F874" s="2">
        <v>8603.0</v>
      </c>
      <c r="G874" s="2">
        <v>-1.0</v>
      </c>
      <c r="H874" s="2">
        <v>0.0</v>
      </c>
      <c r="I874" s="2">
        <v>-555000.0</v>
      </c>
      <c r="J874" s="2">
        <v>1.0</v>
      </c>
      <c r="K874" s="2">
        <v>7.0</v>
      </c>
      <c r="O874" s="2" t="s">
        <v>602</v>
      </c>
      <c r="P874" s="2" t="s">
        <v>166</v>
      </c>
      <c r="R874" s="2" t="s">
        <v>434</v>
      </c>
      <c r="S874" s="11">
        <v>42196.83584490741</v>
      </c>
    </row>
    <row r="875" ht="12.75" hidden="1" customHeight="1">
      <c r="A875" s="2" t="str">
        <f>IF(VLOOKUP(E875,Sheet4!$A$585:$B$786,2,0)=0,1, )</f>
        <v>1</v>
      </c>
      <c r="B875" s="2" t="str">
        <f t="shared" si="1"/>
        <v>1</v>
      </c>
      <c r="C875" s="2" t="str">
        <f t="shared" si="2"/>
        <v>2000004283-8606</v>
      </c>
      <c r="D875" s="2">
        <v>3.20060012E8</v>
      </c>
      <c r="E875" s="2">
        <v>2.000004283E9</v>
      </c>
      <c r="F875" s="2">
        <v>8606.0</v>
      </c>
      <c r="G875" s="2">
        <v>1.0</v>
      </c>
      <c r="H875" s="2">
        <v>0.0</v>
      </c>
      <c r="I875" s="2">
        <v>850000.0</v>
      </c>
      <c r="J875" s="2">
        <v>1.0</v>
      </c>
      <c r="K875" s="2">
        <v>7.0</v>
      </c>
      <c r="O875" s="2" t="s">
        <v>730</v>
      </c>
      <c r="P875" s="2" t="s">
        <v>166</v>
      </c>
      <c r="R875" s="2" t="s">
        <v>434</v>
      </c>
      <c r="S875" s="11">
        <v>42196.83583333333</v>
      </c>
    </row>
    <row r="876" ht="12.75" hidden="1" customHeight="1">
      <c r="A876" s="2" t="str">
        <f>IF(VLOOKUP(E876,Sheet4!$A$585:$B$786,2,0)=0,1, )</f>
        <v>1</v>
      </c>
      <c r="B876" s="2" t="str">
        <f t="shared" si="1"/>
        <v/>
      </c>
      <c r="C876" s="2" t="str">
        <f t="shared" si="2"/>
        <v>2000004283-8606</v>
      </c>
      <c r="D876" s="2">
        <v>3.20060011E8</v>
      </c>
      <c r="E876" s="2">
        <v>2.000004283E9</v>
      </c>
      <c r="F876" s="2">
        <v>8606.0</v>
      </c>
      <c r="G876" s="2">
        <v>1.0</v>
      </c>
      <c r="H876" s="2">
        <v>0.0</v>
      </c>
      <c r="I876" s="2">
        <v>850000.0</v>
      </c>
      <c r="J876" s="2">
        <v>1.0</v>
      </c>
      <c r="K876" s="2">
        <v>7.0</v>
      </c>
      <c r="O876" s="2" t="s">
        <v>730</v>
      </c>
      <c r="P876" s="2" t="s">
        <v>166</v>
      </c>
      <c r="R876" s="2" t="s">
        <v>434</v>
      </c>
      <c r="S876" s="11">
        <v>42196.83583333333</v>
      </c>
    </row>
    <row r="877" ht="12.75" hidden="1" customHeight="1">
      <c r="A877" s="2" t="str">
        <f>IF(VLOOKUP(E877,Sheet4!$A$585:$B$786,2,0)=0,1, )</f>
        <v>1</v>
      </c>
      <c r="B877" s="2" t="str">
        <f t="shared" si="1"/>
        <v>1</v>
      </c>
      <c r="C877" s="2" t="str">
        <f t="shared" si="2"/>
        <v>2000004286-7048</v>
      </c>
      <c r="D877" s="2">
        <v>3.20060029E8</v>
      </c>
      <c r="E877" s="2">
        <v>2.000004286E9</v>
      </c>
      <c r="F877" s="2">
        <v>7048.0</v>
      </c>
      <c r="G877" s="2">
        <v>1.0</v>
      </c>
      <c r="H877" s="2">
        <v>0.0</v>
      </c>
      <c r="I877" s="2">
        <v>330000.0</v>
      </c>
      <c r="J877" s="2">
        <v>1.0</v>
      </c>
      <c r="K877" s="2">
        <v>7.0</v>
      </c>
      <c r="O877" s="2" t="s">
        <v>843</v>
      </c>
      <c r="P877" s="2" t="s">
        <v>166</v>
      </c>
      <c r="R877" s="2" t="s">
        <v>434</v>
      </c>
      <c r="S877" s="11">
        <v>42196.86261574074</v>
      </c>
    </row>
    <row r="878" ht="12.75" hidden="1" customHeight="1">
      <c r="A878" s="2" t="str">
        <f>IF(VLOOKUP(E878,Sheet4!$A$585:$B$786,2,0)=0,1, )</f>
        <v>1</v>
      </c>
      <c r="B878" s="2" t="str">
        <f t="shared" si="1"/>
        <v/>
      </c>
      <c r="C878" s="2" t="str">
        <f t="shared" si="2"/>
        <v>2000004286-7048</v>
      </c>
      <c r="D878" s="2">
        <v>3.20060028E8</v>
      </c>
      <c r="E878" s="2">
        <v>2.000004286E9</v>
      </c>
      <c r="F878" s="2">
        <v>7048.0</v>
      </c>
      <c r="G878" s="2">
        <v>1.0</v>
      </c>
      <c r="H878" s="2">
        <v>0.0</v>
      </c>
      <c r="I878" s="2">
        <v>330000.0</v>
      </c>
      <c r="J878" s="2">
        <v>1.0</v>
      </c>
      <c r="K878" s="2">
        <v>7.0</v>
      </c>
      <c r="O878" s="2" t="s">
        <v>843</v>
      </c>
      <c r="P878" s="2" t="s">
        <v>166</v>
      </c>
      <c r="R878" s="2" t="s">
        <v>434</v>
      </c>
      <c r="S878" s="11">
        <v>42196.86261574074</v>
      </c>
    </row>
    <row r="879" ht="12.75" hidden="1" customHeight="1">
      <c r="A879" s="2" t="str">
        <f>IF(VLOOKUP(E879,Sheet4!$A$585:$B$786,2,0)=0,1, )</f>
        <v>1</v>
      </c>
      <c r="B879" s="2" t="str">
        <f t="shared" si="1"/>
        <v>1</v>
      </c>
      <c r="C879" s="2" t="str">
        <f t="shared" si="2"/>
        <v>2000004462-8519</v>
      </c>
      <c r="D879" s="2">
        <v>3.20063404E8</v>
      </c>
      <c r="E879" s="2">
        <v>2.000004462E9</v>
      </c>
      <c r="F879" s="2">
        <v>8519.0</v>
      </c>
      <c r="G879" s="2">
        <v>1.0</v>
      </c>
      <c r="H879" s="2">
        <v>0.0</v>
      </c>
      <c r="I879" s="2">
        <v>395000.0</v>
      </c>
      <c r="J879" s="2">
        <v>1.0</v>
      </c>
      <c r="K879" s="2">
        <v>7.0</v>
      </c>
      <c r="O879" s="2" t="s">
        <v>508</v>
      </c>
      <c r="P879" s="2" t="s">
        <v>166</v>
      </c>
      <c r="R879" s="2" t="s">
        <v>434</v>
      </c>
      <c r="S879" s="11">
        <v>42200.85119212963</v>
      </c>
    </row>
    <row r="880" ht="12.75" hidden="1" customHeight="1">
      <c r="A880" s="2" t="str">
        <f>IF(VLOOKUP(E880,Sheet4!$A$585:$B$786,2,0)=0,1, )</f>
        <v>1</v>
      </c>
      <c r="B880" s="2" t="str">
        <f t="shared" si="1"/>
        <v/>
      </c>
      <c r="C880" s="2" t="str">
        <f t="shared" si="2"/>
        <v>2000004462-8519</v>
      </c>
      <c r="D880" s="2">
        <v>3.20063405E8</v>
      </c>
      <c r="E880" s="2">
        <v>2.000004462E9</v>
      </c>
      <c r="F880" s="2">
        <v>8519.0</v>
      </c>
      <c r="G880" s="2">
        <v>1.0</v>
      </c>
      <c r="H880" s="2">
        <v>0.0</v>
      </c>
      <c r="I880" s="2">
        <v>395000.0</v>
      </c>
      <c r="J880" s="2">
        <v>1.0</v>
      </c>
      <c r="K880" s="2">
        <v>7.0</v>
      </c>
      <c r="O880" s="2" t="s">
        <v>508</v>
      </c>
      <c r="P880" s="2" t="s">
        <v>166</v>
      </c>
      <c r="R880" s="2" t="s">
        <v>434</v>
      </c>
      <c r="S880" s="11">
        <v>42200.85119212963</v>
      </c>
    </row>
    <row r="881" ht="12.75" hidden="1" customHeight="1">
      <c r="A881" s="2" t="str">
        <f>IF(VLOOKUP(E881,Sheet4!$A$585:$B$786,2,0)=0,1, )</f>
        <v>1</v>
      </c>
      <c r="B881" s="2" t="str">
        <f t="shared" si="1"/>
        <v>1</v>
      </c>
      <c r="C881" s="2" t="str">
        <f t="shared" si="2"/>
        <v>2000004462-8544</v>
      </c>
      <c r="D881" s="2">
        <v>3.20063402E8</v>
      </c>
      <c r="E881" s="2">
        <v>2.000004462E9</v>
      </c>
      <c r="F881" s="2">
        <v>8544.0</v>
      </c>
      <c r="G881" s="2">
        <v>1.0</v>
      </c>
      <c r="H881" s="2">
        <v>0.0</v>
      </c>
      <c r="I881" s="2">
        <v>365000.0</v>
      </c>
      <c r="J881" s="2">
        <v>1.0</v>
      </c>
      <c r="K881" s="2">
        <v>7.0</v>
      </c>
      <c r="O881" s="2" t="s">
        <v>512</v>
      </c>
      <c r="P881" s="2" t="s">
        <v>166</v>
      </c>
      <c r="R881" s="2" t="s">
        <v>434</v>
      </c>
      <c r="S881" s="11">
        <v>42200.85119212963</v>
      </c>
    </row>
    <row r="882" ht="12.75" hidden="1" customHeight="1">
      <c r="A882" s="2" t="str">
        <f>IF(VLOOKUP(E882,Sheet4!$A$585:$B$786,2,0)=0,1, )</f>
        <v>1</v>
      </c>
      <c r="B882" s="2" t="str">
        <f t="shared" si="1"/>
        <v/>
      </c>
      <c r="C882" s="2" t="str">
        <f t="shared" si="2"/>
        <v>2000004462-8544</v>
      </c>
      <c r="D882" s="2">
        <v>3.20063403E8</v>
      </c>
      <c r="E882" s="2">
        <v>2.000004462E9</v>
      </c>
      <c r="F882" s="2">
        <v>8544.0</v>
      </c>
      <c r="G882" s="2">
        <v>1.0</v>
      </c>
      <c r="H882" s="2">
        <v>0.0</v>
      </c>
      <c r="I882" s="2">
        <v>365000.0</v>
      </c>
      <c r="J882" s="2">
        <v>1.0</v>
      </c>
      <c r="K882" s="2">
        <v>7.0</v>
      </c>
      <c r="O882" s="2" t="s">
        <v>512</v>
      </c>
      <c r="P882" s="2" t="s">
        <v>166</v>
      </c>
      <c r="R882" s="2" t="s">
        <v>434</v>
      </c>
      <c r="S882" s="11">
        <v>42200.85119212963</v>
      </c>
    </row>
    <row r="883" ht="12.75" hidden="1" customHeight="1">
      <c r="A883" s="2" t="str">
        <f>IF(VLOOKUP(E883,Sheet4!$A$585:$B$786,2,0)=0,1, )</f>
        <v/>
      </c>
      <c r="B883" s="2" t="str">
        <f t="shared" si="1"/>
        <v>1</v>
      </c>
      <c r="C883" s="2" t="str">
        <f t="shared" si="2"/>
        <v>2500000568-6165</v>
      </c>
      <c r="D883" s="2">
        <v>2.50001902E8</v>
      </c>
      <c r="E883" s="2">
        <v>2.500000568E9</v>
      </c>
      <c r="F883" s="2">
        <v>6165.0</v>
      </c>
      <c r="G883" s="2">
        <v>1.0</v>
      </c>
      <c r="H883" s="2">
        <v>0.0</v>
      </c>
      <c r="I883" s="2">
        <v>98000.0</v>
      </c>
      <c r="J883" s="2">
        <v>1.0</v>
      </c>
      <c r="K883" s="2">
        <v>7.0</v>
      </c>
      <c r="O883" s="2" t="s">
        <v>847</v>
      </c>
      <c r="P883" s="2" t="s">
        <v>166</v>
      </c>
      <c r="R883" s="2" t="s">
        <v>848</v>
      </c>
      <c r="S883" s="11">
        <v>42131.677152777775</v>
      </c>
    </row>
    <row r="884" ht="12.75" hidden="1" customHeight="1">
      <c r="A884" s="2" t="str">
        <f>IF(VLOOKUP(E884,Sheet4!$A$585:$B$786,2,0)=0,1, )</f>
        <v/>
      </c>
      <c r="B884" s="2" t="str">
        <f t="shared" si="1"/>
        <v>1</v>
      </c>
      <c r="C884" s="2" t="str">
        <f t="shared" si="2"/>
        <v>2500000568-6604</v>
      </c>
      <c r="D884" s="2">
        <v>2.50001903E8</v>
      </c>
      <c r="E884" s="2">
        <v>2.500000568E9</v>
      </c>
      <c r="F884" s="2">
        <v>6604.0</v>
      </c>
      <c r="G884" s="2">
        <v>1.0</v>
      </c>
      <c r="H884" s="2">
        <v>0.0</v>
      </c>
      <c r="I884" s="2">
        <v>193000.0</v>
      </c>
      <c r="J884" s="2">
        <v>1.0</v>
      </c>
      <c r="K884" s="2">
        <v>7.0</v>
      </c>
      <c r="O884" s="2" t="s">
        <v>850</v>
      </c>
      <c r="P884" s="2" t="s">
        <v>166</v>
      </c>
      <c r="R884" s="2" t="s">
        <v>848</v>
      </c>
      <c r="S884" s="11">
        <v>42131.677152777775</v>
      </c>
    </row>
    <row r="885" ht="12.75" hidden="1" customHeight="1">
      <c r="A885" s="2" t="str">
        <f>IF(VLOOKUP(E885,Sheet4!$A$585:$B$786,2,0)=0,1, )</f>
        <v/>
      </c>
      <c r="B885" s="2" t="str">
        <f t="shared" si="1"/>
        <v>1</v>
      </c>
      <c r="C885" s="2" t="str">
        <f t="shared" si="2"/>
        <v>2500000568-8626</v>
      </c>
      <c r="D885" s="2">
        <v>2.50001905E8</v>
      </c>
      <c r="E885" s="2">
        <v>2.500000568E9</v>
      </c>
      <c r="F885" s="2">
        <v>8626.0</v>
      </c>
      <c r="G885" s="2">
        <v>1.0</v>
      </c>
      <c r="H885" s="2">
        <v>0.0</v>
      </c>
      <c r="I885" s="2">
        <v>395000.0</v>
      </c>
      <c r="J885" s="2">
        <v>1.0</v>
      </c>
      <c r="K885" s="2">
        <v>7.0</v>
      </c>
      <c r="O885" s="2" t="s">
        <v>277</v>
      </c>
      <c r="P885" s="2" t="s">
        <v>166</v>
      </c>
      <c r="R885" s="2" t="s">
        <v>848</v>
      </c>
      <c r="S885" s="11">
        <v>42131.67716435185</v>
      </c>
    </row>
    <row r="886" ht="12.75" hidden="1" customHeight="1">
      <c r="A886" s="2" t="str">
        <f>IF(VLOOKUP(E886,Sheet4!$A$585:$B$786,2,0)=0,1, )</f>
        <v/>
      </c>
      <c r="B886" s="2" t="str">
        <f t="shared" si="1"/>
        <v>1</v>
      </c>
      <c r="C886" s="2" t="str">
        <f t="shared" si="2"/>
        <v>2500000568-8855</v>
      </c>
      <c r="D886" s="2">
        <v>2.50001904E8</v>
      </c>
      <c r="E886" s="2">
        <v>2.500000568E9</v>
      </c>
      <c r="F886" s="2">
        <v>8855.0</v>
      </c>
      <c r="G886" s="2">
        <v>1.0</v>
      </c>
      <c r="H886" s="2">
        <v>0.0</v>
      </c>
      <c r="I886" s="2">
        <v>520000.0</v>
      </c>
      <c r="J886" s="2">
        <v>1.0</v>
      </c>
      <c r="K886" s="2">
        <v>7.0</v>
      </c>
      <c r="O886" s="2" t="s">
        <v>853</v>
      </c>
      <c r="P886" s="2" t="s">
        <v>166</v>
      </c>
      <c r="R886" s="2" t="s">
        <v>848</v>
      </c>
      <c r="S886" s="11">
        <v>42131.67716435185</v>
      </c>
    </row>
    <row r="887" ht="12.75" hidden="1" customHeight="1">
      <c r="A887" s="2" t="str">
        <f>IF(VLOOKUP(E887,Sheet4!$A$585:$B$786,2,0)=0,1, )</f>
        <v/>
      </c>
      <c r="B887" s="2" t="str">
        <f t="shared" si="1"/>
        <v>1</v>
      </c>
      <c r="C887" s="2" t="str">
        <f t="shared" si="2"/>
        <v>2500000581-9738</v>
      </c>
      <c r="D887" s="2">
        <v>2.50001932E8</v>
      </c>
      <c r="E887" s="2">
        <v>2.500000581E9</v>
      </c>
      <c r="F887" s="2">
        <v>9738.0</v>
      </c>
      <c r="G887" s="2">
        <v>1.0</v>
      </c>
      <c r="H887" s="2">
        <v>0.0</v>
      </c>
      <c r="I887" s="2">
        <v>800000.0</v>
      </c>
      <c r="J887" s="2">
        <v>1.0</v>
      </c>
      <c r="K887" s="2">
        <v>7.0</v>
      </c>
      <c r="O887" s="2" t="s">
        <v>855</v>
      </c>
      <c r="P887" s="2" t="s">
        <v>166</v>
      </c>
      <c r="R887" s="2" t="s">
        <v>848</v>
      </c>
      <c r="S887" s="11">
        <v>42131.80763888889</v>
      </c>
    </row>
    <row r="888" ht="12.75" hidden="1" customHeight="1">
      <c r="A888" s="2" t="str">
        <f>IF(VLOOKUP(E888,Sheet4!$A$585:$B$786,2,0)=0,1, )</f>
        <v/>
      </c>
      <c r="B888" s="2" t="str">
        <f t="shared" si="1"/>
        <v>1</v>
      </c>
      <c r="C888" s="2" t="str">
        <f t="shared" si="2"/>
        <v>2500000657-4974</v>
      </c>
      <c r="D888" s="2">
        <v>2.5000213E8</v>
      </c>
      <c r="E888" s="2">
        <v>2.500000657E9</v>
      </c>
      <c r="F888" s="2">
        <v>4974.0</v>
      </c>
      <c r="G888" s="2">
        <v>-1.0</v>
      </c>
      <c r="H888" s="2">
        <v>-4100.0</v>
      </c>
      <c r="I888" s="2">
        <v>-205000.0</v>
      </c>
      <c r="J888" s="2">
        <v>1.0</v>
      </c>
      <c r="K888" s="2">
        <v>7.0</v>
      </c>
      <c r="O888" s="2" t="s">
        <v>857</v>
      </c>
      <c r="P888" s="2" t="s">
        <v>166</v>
      </c>
      <c r="R888" s="2" t="s">
        <v>848</v>
      </c>
      <c r="S888" s="11">
        <v>42133.67306712963</v>
      </c>
    </row>
    <row r="889" ht="12.75" hidden="1" customHeight="1">
      <c r="A889" s="2" t="str">
        <f>IF(VLOOKUP(E889,Sheet4!$A$585:$B$786,2,0)=0,1, )</f>
        <v/>
      </c>
      <c r="B889" s="2" t="str">
        <f t="shared" si="1"/>
        <v>1</v>
      </c>
      <c r="C889" s="2" t="str">
        <f t="shared" si="2"/>
        <v>2500000662-4974</v>
      </c>
      <c r="D889" s="2">
        <v>2.50002144E8</v>
      </c>
      <c r="E889" s="2">
        <v>2.500000662E9</v>
      </c>
      <c r="F889" s="2">
        <v>4974.0</v>
      </c>
      <c r="G889" s="2">
        <v>1.0</v>
      </c>
      <c r="H889" s="2">
        <v>0.0</v>
      </c>
      <c r="I889" s="2">
        <v>205000.0</v>
      </c>
      <c r="J889" s="2">
        <v>1.0</v>
      </c>
      <c r="K889" s="2">
        <v>7.0</v>
      </c>
      <c r="O889" s="2" t="s">
        <v>857</v>
      </c>
      <c r="P889" s="2" t="s">
        <v>166</v>
      </c>
      <c r="R889" s="2" t="s">
        <v>848</v>
      </c>
      <c r="S889" s="11">
        <v>42133.68991898148</v>
      </c>
    </row>
    <row r="890" ht="12.75" hidden="1" customHeight="1">
      <c r="A890" s="2" t="str">
        <f>IF(VLOOKUP(E890,Sheet4!$A$585:$B$786,2,0)=0,1, )</f>
        <v/>
      </c>
      <c r="B890" s="2" t="str">
        <f t="shared" si="1"/>
        <v>1</v>
      </c>
      <c r="C890" s="2" t="str">
        <f t="shared" si="2"/>
        <v>2500000662-8528</v>
      </c>
      <c r="D890" s="2">
        <v>2.50002145E8</v>
      </c>
      <c r="E890" s="2">
        <v>2.500000662E9</v>
      </c>
      <c r="F890" s="2">
        <v>8528.0</v>
      </c>
      <c r="G890" s="2">
        <v>3.0</v>
      </c>
      <c r="H890" s="2">
        <v>0.0</v>
      </c>
      <c r="I890" s="2">
        <v>165000.0</v>
      </c>
      <c r="J890" s="2">
        <v>1.0</v>
      </c>
      <c r="K890" s="2">
        <v>7.0</v>
      </c>
      <c r="O890" s="2" t="s">
        <v>531</v>
      </c>
      <c r="P890" s="2" t="s">
        <v>166</v>
      </c>
      <c r="R890" s="2" t="s">
        <v>848</v>
      </c>
      <c r="S890" s="11">
        <v>42133.68991898148</v>
      </c>
    </row>
    <row r="891" ht="12.75" hidden="1" customHeight="1">
      <c r="A891" s="2" t="str">
        <f>IF(VLOOKUP(E891,Sheet4!$A$585:$B$786,2,0)=0,1, )</f>
        <v/>
      </c>
      <c r="B891" s="2" t="str">
        <f t="shared" si="1"/>
        <v>1</v>
      </c>
      <c r="C891" s="2" t="str">
        <f t="shared" si="2"/>
        <v>2500000668-6409</v>
      </c>
      <c r="D891" s="2">
        <v>2.50002155E8</v>
      </c>
      <c r="E891" s="2">
        <v>2.500000668E9</v>
      </c>
      <c r="F891" s="2">
        <v>6409.0</v>
      </c>
      <c r="G891" s="2">
        <v>1.0</v>
      </c>
      <c r="H891" s="2">
        <v>0.0</v>
      </c>
      <c r="I891" s="2">
        <v>198000.0</v>
      </c>
      <c r="J891" s="2">
        <v>1.0</v>
      </c>
      <c r="K891" s="2">
        <v>7.0</v>
      </c>
      <c r="O891" s="2" t="s">
        <v>782</v>
      </c>
      <c r="P891" s="2" t="s">
        <v>166</v>
      </c>
      <c r="R891" s="2" t="s">
        <v>848</v>
      </c>
      <c r="S891" s="11">
        <v>42133.70621527778</v>
      </c>
    </row>
    <row r="892" ht="12.75" hidden="1" customHeight="1">
      <c r="A892" s="2" t="str">
        <f>IF(VLOOKUP(E892,Sheet4!$A$585:$B$786,2,0)=0,1, )</f>
        <v/>
      </c>
      <c r="B892" s="2" t="str">
        <f t="shared" si="1"/>
        <v>1</v>
      </c>
      <c r="C892" s="2" t="str">
        <f t="shared" si="2"/>
        <v>2500000671-6999</v>
      </c>
      <c r="D892" s="2">
        <v>2.50002176E8</v>
      </c>
      <c r="E892" s="2">
        <v>2.500000671E9</v>
      </c>
      <c r="F892" s="2">
        <v>6999.0</v>
      </c>
      <c r="G892" s="2">
        <v>1.0</v>
      </c>
      <c r="H892" s="2">
        <v>0.0</v>
      </c>
      <c r="I892" s="2">
        <v>270000.0</v>
      </c>
      <c r="J892" s="2">
        <v>1.0</v>
      </c>
      <c r="K892" s="2">
        <v>7.0</v>
      </c>
      <c r="O892" s="2" t="s">
        <v>862</v>
      </c>
      <c r="P892" s="2" t="s">
        <v>166</v>
      </c>
      <c r="R892" s="2" t="s">
        <v>848</v>
      </c>
      <c r="S892" s="11">
        <v>42133.71800925926</v>
      </c>
    </row>
    <row r="893" ht="12.75" hidden="1" customHeight="1">
      <c r="A893" s="2" t="str">
        <f>IF(VLOOKUP(E893,Sheet4!$A$585:$B$786,2,0)=0,1, )</f>
        <v/>
      </c>
      <c r="B893" s="2" t="str">
        <f t="shared" si="1"/>
        <v>1</v>
      </c>
      <c r="C893" s="2" t="str">
        <f t="shared" si="2"/>
        <v>2500000701-4808</v>
      </c>
      <c r="D893" s="2">
        <v>2.50002254E8</v>
      </c>
      <c r="E893" s="2">
        <v>2.500000701E9</v>
      </c>
      <c r="F893" s="2">
        <v>4808.0</v>
      </c>
      <c r="G893" s="2">
        <v>1.0</v>
      </c>
      <c r="H893" s="2">
        <v>0.0</v>
      </c>
      <c r="I893" s="2">
        <v>86000.0</v>
      </c>
      <c r="J893" s="2">
        <v>1.0</v>
      </c>
      <c r="K893" s="2">
        <v>7.0</v>
      </c>
      <c r="O893" s="2" t="s">
        <v>864</v>
      </c>
      <c r="P893" s="2" t="s">
        <v>166</v>
      </c>
      <c r="R893" s="2" t="s">
        <v>848</v>
      </c>
      <c r="S893" s="11">
        <v>42134.445289351854</v>
      </c>
    </row>
    <row r="894" ht="12.75" hidden="1" customHeight="1">
      <c r="A894" s="2" t="str">
        <f>IF(VLOOKUP(E894,Sheet4!$A$585:$B$786,2,0)=0,1, )</f>
        <v/>
      </c>
      <c r="B894" s="2" t="str">
        <f t="shared" si="1"/>
        <v>1</v>
      </c>
      <c r="C894" s="2" t="str">
        <f t="shared" si="2"/>
        <v>2500000701-6600</v>
      </c>
      <c r="D894" s="2">
        <v>2.50002253E8</v>
      </c>
      <c r="E894" s="2">
        <v>2.500000701E9</v>
      </c>
      <c r="F894" s="2">
        <v>6600.0</v>
      </c>
      <c r="G894" s="2">
        <v>1.0</v>
      </c>
      <c r="H894" s="2">
        <v>0.0</v>
      </c>
      <c r="I894" s="2">
        <v>150000.0</v>
      </c>
      <c r="J894" s="2">
        <v>1.0</v>
      </c>
      <c r="K894" s="2">
        <v>7.0</v>
      </c>
      <c r="O894" s="2" t="s">
        <v>681</v>
      </c>
      <c r="P894" s="2" t="s">
        <v>166</v>
      </c>
      <c r="R894" s="2" t="s">
        <v>848</v>
      </c>
      <c r="S894" s="11">
        <v>42134.445289351854</v>
      </c>
    </row>
    <row r="895" ht="12.75" hidden="1" customHeight="1">
      <c r="A895" s="2" t="str">
        <f>IF(VLOOKUP(E895,Sheet4!$A$585:$B$786,2,0)=0,1, )</f>
        <v/>
      </c>
      <c r="B895" s="2" t="str">
        <f t="shared" si="1"/>
        <v>1</v>
      </c>
      <c r="C895" s="2" t="str">
        <f t="shared" si="2"/>
        <v>2500000710-7419</v>
      </c>
      <c r="D895" s="2">
        <v>2.50002287E8</v>
      </c>
      <c r="E895" s="2">
        <v>2.50000071E9</v>
      </c>
      <c r="F895" s="2">
        <v>7419.0</v>
      </c>
      <c r="G895" s="2">
        <v>1.0</v>
      </c>
      <c r="H895" s="2">
        <v>0.0</v>
      </c>
      <c r="I895" s="2">
        <v>320000.0</v>
      </c>
      <c r="J895" s="2">
        <v>1.0</v>
      </c>
      <c r="K895" s="2">
        <v>7.0</v>
      </c>
      <c r="O895" s="2" t="s">
        <v>867</v>
      </c>
      <c r="P895" s="2" t="s">
        <v>166</v>
      </c>
      <c r="R895" s="2" t="s">
        <v>848</v>
      </c>
      <c r="S895" s="11">
        <v>42134.55008101852</v>
      </c>
    </row>
    <row r="896" ht="12.75" hidden="1" customHeight="1">
      <c r="A896" s="2" t="str">
        <f>IF(VLOOKUP(E896,Sheet4!$A$585:$B$786,2,0)=0,1, )</f>
        <v/>
      </c>
      <c r="B896" s="2" t="str">
        <f t="shared" si="1"/>
        <v>1</v>
      </c>
      <c r="C896" s="2" t="str">
        <f t="shared" si="2"/>
        <v>2500000710-7652</v>
      </c>
      <c r="D896" s="2">
        <v>2.50002288E8</v>
      </c>
      <c r="E896" s="2">
        <v>2.50000071E9</v>
      </c>
      <c r="F896" s="2">
        <v>7652.0</v>
      </c>
      <c r="G896" s="2">
        <v>1.0</v>
      </c>
      <c r="H896" s="2">
        <v>0.0</v>
      </c>
      <c r="I896" s="2">
        <v>320000.0</v>
      </c>
      <c r="J896" s="2">
        <v>1.0</v>
      </c>
      <c r="K896" s="2">
        <v>7.0</v>
      </c>
      <c r="O896" s="2" t="s">
        <v>869</v>
      </c>
      <c r="P896" s="2" t="s">
        <v>166</v>
      </c>
      <c r="R896" s="2" t="s">
        <v>848</v>
      </c>
      <c r="S896" s="11">
        <v>42134.55008101852</v>
      </c>
    </row>
    <row r="897" ht="12.75" hidden="1" customHeight="1">
      <c r="A897" s="2" t="str">
        <f>IF(VLOOKUP(E897,Sheet4!$A$585:$B$786,2,0)=0,1, )</f>
        <v/>
      </c>
      <c r="B897" s="2" t="str">
        <f t="shared" si="1"/>
        <v>1</v>
      </c>
      <c r="C897" s="2" t="str">
        <f t="shared" si="2"/>
        <v>2500000732-7645</v>
      </c>
      <c r="D897" s="2">
        <v>2.50002342E8</v>
      </c>
      <c r="E897" s="2">
        <v>2.500000732E9</v>
      </c>
      <c r="F897" s="2">
        <v>7645.0</v>
      </c>
      <c r="G897" s="2">
        <v>1.0</v>
      </c>
      <c r="H897" s="2">
        <v>0.0</v>
      </c>
      <c r="I897" s="2">
        <v>416000.0</v>
      </c>
      <c r="J897" s="2">
        <v>1.0</v>
      </c>
      <c r="K897" s="2">
        <v>7.0</v>
      </c>
      <c r="O897" s="2" t="s">
        <v>871</v>
      </c>
      <c r="P897" s="2" t="s">
        <v>166</v>
      </c>
      <c r="R897" s="2" t="s">
        <v>848</v>
      </c>
      <c r="S897" s="11">
        <v>42134.76571759259</v>
      </c>
    </row>
    <row r="898" ht="12.75" hidden="1" customHeight="1">
      <c r="A898" s="2" t="str">
        <f>IF(VLOOKUP(E898,Sheet4!$A$585:$B$786,2,0)=0,1, )</f>
        <v/>
      </c>
      <c r="B898" s="2" t="str">
        <f t="shared" si="1"/>
        <v>1</v>
      </c>
      <c r="C898" s="2" t="str">
        <f t="shared" si="2"/>
        <v>2500000785-3258</v>
      </c>
      <c r="D898" s="2">
        <v>2.50002461E8</v>
      </c>
      <c r="E898" s="2">
        <v>2.500000785E9</v>
      </c>
      <c r="F898" s="2">
        <v>3258.0</v>
      </c>
      <c r="G898" s="2">
        <v>1.0</v>
      </c>
      <c r="H898" s="2">
        <v>0.0</v>
      </c>
      <c r="I898" s="2">
        <v>66000.0</v>
      </c>
      <c r="J898" s="2">
        <v>1.0</v>
      </c>
      <c r="K898" s="2">
        <v>7.0</v>
      </c>
      <c r="O898" s="2" t="s">
        <v>691</v>
      </c>
      <c r="P898" s="2" t="s">
        <v>166</v>
      </c>
      <c r="R898" s="2" t="s">
        <v>848</v>
      </c>
      <c r="S898" s="11">
        <v>42136.42905092592</v>
      </c>
    </row>
    <row r="899" ht="12.75" hidden="1" customHeight="1">
      <c r="A899" s="2" t="str">
        <f>IF(VLOOKUP(E899,Sheet4!$A$585:$B$786,2,0)=0,1, )</f>
        <v/>
      </c>
      <c r="B899" s="2" t="str">
        <f t="shared" si="1"/>
        <v>1</v>
      </c>
      <c r="C899" s="2" t="str">
        <f t="shared" si="2"/>
        <v>2500000785-4676</v>
      </c>
      <c r="D899" s="2">
        <v>2.5000246E8</v>
      </c>
      <c r="E899" s="2">
        <v>2.500000785E9</v>
      </c>
      <c r="F899" s="2">
        <v>4676.0</v>
      </c>
      <c r="G899" s="2">
        <v>1.0</v>
      </c>
      <c r="H899" s="2">
        <v>0.0</v>
      </c>
      <c r="I899" s="2">
        <v>220000.0</v>
      </c>
      <c r="J899" s="2">
        <v>1.0</v>
      </c>
      <c r="K899" s="2">
        <v>7.0</v>
      </c>
      <c r="O899" s="2" t="s">
        <v>874</v>
      </c>
      <c r="P899" s="2" t="s">
        <v>166</v>
      </c>
      <c r="R899" s="2" t="s">
        <v>848</v>
      </c>
      <c r="S899" s="11">
        <v>42136.42905092592</v>
      </c>
    </row>
    <row r="900" ht="12.75" hidden="1" customHeight="1">
      <c r="A900" s="2" t="str">
        <f>IF(VLOOKUP(E900,Sheet4!$A$585:$B$786,2,0)=0,1, )</f>
        <v/>
      </c>
      <c r="B900" s="2" t="str">
        <f t="shared" si="1"/>
        <v>1</v>
      </c>
      <c r="C900" s="2" t="str">
        <f t="shared" si="2"/>
        <v>2500000785-6275</v>
      </c>
      <c r="D900" s="2">
        <v>2.50002464E8</v>
      </c>
      <c r="E900" s="2">
        <v>2.500000785E9</v>
      </c>
      <c r="F900" s="2">
        <v>6275.0</v>
      </c>
      <c r="G900" s="2">
        <v>1.0</v>
      </c>
      <c r="H900" s="2">
        <v>0.0</v>
      </c>
      <c r="I900" s="2">
        <v>68000.0</v>
      </c>
      <c r="J900" s="2">
        <v>1.0</v>
      </c>
      <c r="K900" s="2">
        <v>7.0</v>
      </c>
      <c r="O900" s="2" t="s">
        <v>876</v>
      </c>
      <c r="P900" s="2" t="s">
        <v>166</v>
      </c>
      <c r="R900" s="2" t="s">
        <v>848</v>
      </c>
      <c r="S900" s="11">
        <v>42136.42905092592</v>
      </c>
    </row>
    <row r="901" ht="12.75" hidden="1" customHeight="1">
      <c r="A901" s="2" t="str">
        <f>IF(VLOOKUP(E901,Sheet4!$A$585:$B$786,2,0)=0,1, )</f>
        <v/>
      </c>
      <c r="B901" s="2" t="str">
        <f t="shared" si="1"/>
        <v>1</v>
      </c>
      <c r="C901" s="2" t="str">
        <f t="shared" si="2"/>
        <v>2500000785-6391</v>
      </c>
      <c r="D901" s="2">
        <v>2.50002462E8</v>
      </c>
      <c r="E901" s="2">
        <v>2.500000785E9</v>
      </c>
      <c r="F901" s="2">
        <v>6391.0</v>
      </c>
      <c r="G901" s="2">
        <v>1.0</v>
      </c>
      <c r="H901" s="2">
        <v>0.0</v>
      </c>
      <c r="I901" s="2">
        <v>60000.0</v>
      </c>
      <c r="J901" s="2">
        <v>1.0</v>
      </c>
      <c r="K901" s="2">
        <v>7.0</v>
      </c>
      <c r="O901" s="2" t="s">
        <v>770</v>
      </c>
      <c r="P901" s="2" t="s">
        <v>166</v>
      </c>
      <c r="R901" s="2" t="s">
        <v>848</v>
      </c>
      <c r="S901" s="11">
        <v>42136.42905092592</v>
      </c>
    </row>
    <row r="902" ht="12.75" hidden="1" customHeight="1">
      <c r="A902" s="2" t="str">
        <f>IF(VLOOKUP(E902,Sheet4!$A$585:$B$786,2,0)=0,1, )</f>
        <v/>
      </c>
      <c r="B902" s="2" t="str">
        <f t="shared" si="1"/>
        <v>1</v>
      </c>
      <c r="C902" s="2" t="str">
        <f t="shared" si="2"/>
        <v>2500000785-10231</v>
      </c>
      <c r="D902" s="2">
        <v>2.50002459E8</v>
      </c>
      <c r="E902" s="2">
        <v>2.500000785E9</v>
      </c>
      <c r="F902" s="2">
        <v>10231.0</v>
      </c>
      <c r="G902" s="2">
        <v>1.0</v>
      </c>
      <c r="H902" s="2">
        <v>0.0</v>
      </c>
      <c r="I902" s="2">
        <v>65000.0</v>
      </c>
      <c r="J902" s="2">
        <v>1.0</v>
      </c>
      <c r="K902" s="2">
        <v>7.0</v>
      </c>
      <c r="O902" s="2" t="s">
        <v>879</v>
      </c>
      <c r="P902" s="2" t="s">
        <v>166</v>
      </c>
      <c r="R902" s="2" t="s">
        <v>848</v>
      </c>
      <c r="S902" s="11">
        <v>42136.42905092592</v>
      </c>
    </row>
    <row r="903" ht="12.75" hidden="1" customHeight="1">
      <c r="A903" s="2" t="str">
        <f>IF(VLOOKUP(E903,Sheet4!$A$585:$B$786,2,0)=0,1, )</f>
        <v/>
      </c>
      <c r="B903" s="2" t="str">
        <f t="shared" si="1"/>
        <v>1</v>
      </c>
      <c r="C903" s="2" t="str">
        <f t="shared" si="2"/>
        <v>2500000789-13041</v>
      </c>
      <c r="D903" s="2">
        <v>2.50002475E8</v>
      </c>
      <c r="E903" s="2">
        <v>2.500000789E9</v>
      </c>
      <c r="F903" s="2">
        <v>13041.0</v>
      </c>
      <c r="G903" s="2">
        <v>1.0</v>
      </c>
      <c r="H903" s="2">
        <v>0.0</v>
      </c>
      <c r="I903" s="2">
        <v>39000.0</v>
      </c>
      <c r="J903" s="2">
        <v>1.0</v>
      </c>
      <c r="K903" s="2">
        <v>7.0</v>
      </c>
      <c r="O903" s="2" t="s">
        <v>476</v>
      </c>
      <c r="P903" s="2" t="s">
        <v>166</v>
      </c>
      <c r="R903" s="2" t="s">
        <v>848</v>
      </c>
      <c r="S903" s="11">
        <v>42136.47534722222</v>
      </c>
    </row>
    <row r="904" ht="12.75" hidden="1" customHeight="1">
      <c r="A904" s="2" t="str">
        <f>IF(VLOOKUP(E904,Sheet4!$A$585:$B$786,2,0)=0,1, )</f>
        <v/>
      </c>
      <c r="B904" s="2" t="str">
        <f t="shared" si="1"/>
        <v>1</v>
      </c>
      <c r="C904" s="2" t="str">
        <f t="shared" si="2"/>
        <v>2500000789-13043</v>
      </c>
      <c r="D904" s="2">
        <v>2.50002474E8</v>
      </c>
      <c r="E904" s="2">
        <v>2.500000789E9</v>
      </c>
      <c r="F904" s="2">
        <v>13043.0</v>
      </c>
      <c r="G904" s="2">
        <v>1.0</v>
      </c>
      <c r="H904" s="2">
        <v>0.0</v>
      </c>
      <c r="I904" s="2">
        <v>50000.0</v>
      </c>
      <c r="J904" s="2">
        <v>1.0</v>
      </c>
      <c r="K904" s="2">
        <v>7.0</v>
      </c>
      <c r="O904" s="2" t="s">
        <v>882</v>
      </c>
      <c r="P904" s="2" t="s">
        <v>166</v>
      </c>
      <c r="R904" s="2" t="s">
        <v>848</v>
      </c>
      <c r="S904" s="11">
        <v>42136.47534722222</v>
      </c>
    </row>
    <row r="905" ht="12.75" hidden="1" customHeight="1">
      <c r="A905" s="2" t="str">
        <f>IF(VLOOKUP(E905,Sheet4!$A$585:$B$786,2,0)=0,1, )</f>
        <v/>
      </c>
      <c r="B905" s="2" t="str">
        <f t="shared" si="1"/>
        <v>1</v>
      </c>
      <c r="C905" s="2" t="str">
        <f t="shared" si="2"/>
        <v>2500000789-14039</v>
      </c>
      <c r="D905" s="2">
        <v>2.50002476E8</v>
      </c>
      <c r="E905" s="2">
        <v>2.500000789E9</v>
      </c>
      <c r="F905" s="2">
        <v>14039.0</v>
      </c>
      <c r="G905" s="2">
        <v>1.0</v>
      </c>
      <c r="H905" s="2">
        <v>0.0</v>
      </c>
      <c r="I905" s="2">
        <v>435000.0</v>
      </c>
      <c r="J905" s="2">
        <v>1.0</v>
      </c>
      <c r="K905" s="2">
        <v>7.0</v>
      </c>
      <c r="O905" s="2" t="s">
        <v>884</v>
      </c>
      <c r="P905" s="2" t="s">
        <v>166</v>
      </c>
      <c r="R905" s="2" t="s">
        <v>848</v>
      </c>
      <c r="S905" s="11">
        <v>42136.47534722222</v>
      </c>
    </row>
    <row r="906" ht="12.75" hidden="1" customHeight="1">
      <c r="A906" s="2" t="str">
        <f>IF(VLOOKUP(E906,Sheet4!$A$585:$B$786,2,0)=0,1, )</f>
        <v/>
      </c>
      <c r="B906" s="2" t="str">
        <f t="shared" si="1"/>
        <v>1</v>
      </c>
      <c r="C906" s="2" t="str">
        <f t="shared" si="2"/>
        <v>2500000823-12500</v>
      </c>
      <c r="D906" s="2">
        <v>2.50002559E8</v>
      </c>
      <c r="E906" s="2">
        <v>2.500000823E9</v>
      </c>
      <c r="F906" s="2">
        <v>12500.0</v>
      </c>
      <c r="G906" s="2">
        <v>1.0</v>
      </c>
      <c r="H906" s="2">
        <v>0.0</v>
      </c>
      <c r="I906" s="2">
        <v>380000.0</v>
      </c>
      <c r="J906" s="2">
        <v>1.0</v>
      </c>
      <c r="K906" s="2">
        <v>7.0</v>
      </c>
      <c r="O906" s="2" t="s">
        <v>886</v>
      </c>
      <c r="P906" s="2" t="s">
        <v>166</v>
      </c>
      <c r="R906" s="2" t="s">
        <v>848</v>
      </c>
      <c r="S906" s="11">
        <v>42137.39983796296</v>
      </c>
    </row>
    <row r="907" ht="12.75" hidden="1" customHeight="1">
      <c r="A907" s="2" t="str">
        <f>IF(VLOOKUP(E907,Sheet4!$A$585:$B$786,2,0)=0,1, )</f>
        <v/>
      </c>
      <c r="B907" s="2" t="str">
        <f t="shared" si="1"/>
        <v>1</v>
      </c>
      <c r="C907" s="2" t="str">
        <f t="shared" si="2"/>
        <v>2500000825-6630</v>
      </c>
      <c r="D907" s="2">
        <v>2.50002565E8</v>
      </c>
      <c r="E907" s="2">
        <v>2.500000825E9</v>
      </c>
      <c r="F907" s="2">
        <v>6630.0</v>
      </c>
      <c r="G907" s="2">
        <v>1.0</v>
      </c>
      <c r="H907" s="2">
        <v>0.0</v>
      </c>
      <c r="I907" s="2">
        <v>171000.0</v>
      </c>
      <c r="J907" s="2">
        <v>1.0</v>
      </c>
      <c r="K907" s="2">
        <v>7.0</v>
      </c>
      <c r="O907" s="2" t="s">
        <v>888</v>
      </c>
      <c r="P907" s="2" t="s">
        <v>166</v>
      </c>
      <c r="R907" s="2" t="s">
        <v>848</v>
      </c>
      <c r="S907" s="11">
        <v>42137.45261574074</v>
      </c>
    </row>
    <row r="908" ht="12.75" hidden="1" customHeight="1">
      <c r="A908" s="2" t="str">
        <f>IF(VLOOKUP(E908,Sheet4!$A$585:$B$786,2,0)=0,1, )</f>
        <v/>
      </c>
      <c r="B908" s="2" t="str">
        <f t="shared" si="1"/>
        <v>1</v>
      </c>
      <c r="C908" s="2" t="str">
        <f t="shared" si="2"/>
        <v>2500000826-5339</v>
      </c>
      <c r="D908" s="2">
        <v>2.50002569E8</v>
      </c>
      <c r="E908" s="2">
        <v>2.500000826E9</v>
      </c>
      <c r="F908" s="2">
        <v>5339.0</v>
      </c>
      <c r="G908" s="2">
        <v>1.0</v>
      </c>
      <c r="H908" s="2">
        <v>0.0</v>
      </c>
      <c r="I908" s="2">
        <v>365000.0</v>
      </c>
      <c r="J908" s="2">
        <v>1.0</v>
      </c>
      <c r="K908" s="2">
        <v>7.0</v>
      </c>
      <c r="O908" s="2" t="s">
        <v>890</v>
      </c>
      <c r="P908" s="2" t="s">
        <v>166</v>
      </c>
      <c r="R908" s="2" t="s">
        <v>848</v>
      </c>
      <c r="S908" s="11">
        <v>42137.46177083333</v>
      </c>
    </row>
    <row r="909" ht="12.75" hidden="1" customHeight="1">
      <c r="A909" s="2" t="str">
        <f>IF(VLOOKUP(E909,Sheet4!$A$585:$B$786,2,0)=0,1, )</f>
        <v/>
      </c>
      <c r="B909" s="2" t="str">
        <f t="shared" si="1"/>
        <v>1</v>
      </c>
      <c r="C909" s="2" t="str">
        <f t="shared" si="2"/>
        <v>2500000839-1002</v>
      </c>
      <c r="D909" s="2">
        <v>2.50002595E8</v>
      </c>
      <c r="E909" s="2">
        <v>2.500000839E9</v>
      </c>
      <c r="F909" s="2">
        <v>1002.0</v>
      </c>
      <c r="G909" s="2">
        <v>2.0</v>
      </c>
      <c r="H909" s="2">
        <v>0.0</v>
      </c>
      <c r="I909" s="2">
        <v>480000.0</v>
      </c>
      <c r="J909" s="2">
        <v>1.0</v>
      </c>
      <c r="K909" s="2">
        <v>7.0</v>
      </c>
      <c r="O909" s="2" t="s">
        <v>558</v>
      </c>
      <c r="P909" s="2" t="s">
        <v>166</v>
      </c>
      <c r="R909" s="2" t="s">
        <v>848</v>
      </c>
      <c r="S909" s="11">
        <v>42137.79530092593</v>
      </c>
    </row>
    <row r="910" ht="12.75" hidden="1" customHeight="1">
      <c r="A910" s="2" t="str">
        <f>IF(VLOOKUP(E910,Sheet4!$A$585:$B$786,2,0)=0,1, )</f>
        <v/>
      </c>
      <c r="B910" s="2" t="str">
        <f t="shared" si="1"/>
        <v>1</v>
      </c>
      <c r="C910" s="2" t="str">
        <f t="shared" si="2"/>
        <v>2500000839-1015</v>
      </c>
      <c r="D910" s="2">
        <v>2.5000259E8</v>
      </c>
      <c r="E910" s="2">
        <v>2.500000839E9</v>
      </c>
      <c r="F910" s="2">
        <v>1015.0</v>
      </c>
      <c r="G910" s="2">
        <v>1.0</v>
      </c>
      <c r="H910" s="2">
        <v>0.0</v>
      </c>
      <c r="I910" s="2">
        <v>245000.0</v>
      </c>
      <c r="J910" s="2">
        <v>1.0</v>
      </c>
      <c r="K910" s="2">
        <v>7.0</v>
      </c>
      <c r="O910" s="2" t="s">
        <v>893</v>
      </c>
      <c r="P910" s="2" t="s">
        <v>166</v>
      </c>
      <c r="R910" s="2" t="s">
        <v>848</v>
      </c>
      <c r="S910" s="11">
        <v>42137.79530092593</v>
      </c>
    </row>
    <row r="911" ht="12.75" hidden="1" customHeight="1">
      <c r="A911" s="2" t="str">
        <f>IF(VLOOKUP(E911,Sheet4!$A$585:$B$786,2,0)=0,1, )</f>
        <v/>
      </c>
      <c r="B911" s="2" t="str">
        <f t="shared" si="1"/>
        <v>1</v>
      </c>
      <c r="C911" s="2" t="str">
        <f t="shared" si="2"/>
        <v>2500000839-3536</v>
      </c>
      <c r="D911" s="2">
        <v>2.50002591E8</v>
      </c>
      <c r="E911" s="2">
        <v>2.500000839E9</v>
      </c>
      <c r="F911" s="2">
        <v>3536.0</v>
      </c>
      <c r="G911" s="2">
        <v>1.0</v>
      </c>
      <c r="H911" s="2">
        <v>0.0</v>
      </c>
      <c r="I911" s="2">
        <v>190000.0</v>
      </c>
      <c r="J911" s="2">
        <v>1.0</v>
      </c>
      <c r="K911" s="2">
        <v>7.0</v>
      </c>
      <c r="O911" s="2" t="s">
        <v>895</v>
      </c>
      <c r="P911" s="2" t="s">
        <v>166</v>
      </c>
      <c r="R911" s="2" t="s">
        <v>848</v>
      </c>
      <c r="S911" s="11">
        <v>42137.79530092593</v>
      </c>
    </row>
    <row r="912" ht="12.75" hidden="1" customHeight="1">
      <c r="A912" s="2" t="str">
        <f>IF(VLOOKUP(E912,Sheet4!$A$585:$B$786,2,0)=0,1, )</f>
        <v/>
      </c>
      <c r="B912" s="2" t="str">
        <f t="shared" si="1"/>
        <v>1</v>
      </c>
      <c r="C912" s="2" t="str">
        <f t="shared" si="2"/>
        <v>2500000839-6270</v>
      </c>
      <c r="D912" s="2">
        <v>2.50002594E8</v>
      </c>
      <c r="E912" s="2">
        <v>2.500000839E9</v>
      </c>
      <c r="F912" s="2">
        <v>6270.0</v>
      </c>
      <c r="G912" s="2">
        <v>1.0</v>
      </c>
      <c r="H912" s="2">
        <v>0.0</v>
      </c>
      <c r="I912" s="2">
        <v>62000.0</v>
      </c>
      <c r="J912" s="2">
        <v>1.0</v>
      </c>
      <c r="K912" s="2">
        <v>7.0</v>
      </c>
      <c r="O912" s="2" t="s">
        <v>897</v>
      </c>
      <c r="P912" s="2" t="s">
        <v>166</v>
      </c>
      <c r="R912" s="2" t="s">
        <v>848</v>
      </c>
      <c r="S912" s="11">
        <v>42137.79530092593</v>
      </c>
    </row>
    <row r="913" ht="12.75" hidden="1" customHeight="1">
      <c r="A913" s="2" t="str">
        <f>IF(VLOOKUP(E913,Sheet4!$A$585:$B$786,2,0)=0,1, )</f>
        <v/>
      </c>
      <c r="B913" s="2" t="str">
        <f t="shared" si="1"/>
        <v>1</v>
      </c>
      <c r="C913" s="2" t="str">
        <f t="shared" si="2"/>
        <v>2500000839-6272</v>
      </c>
      <c r="D913" s="2">
        <v>2.50002592E8</v>
      </c>
      <c r="E913" s="2">
        <v>2.500000839E9</v>
      </c>
      <c r="F913" s="2">
        <v>6272.0</v>
      </c>
      <c r="G913" s="2">
        <v>1.0</v>
      </c>
      <c r="H913" s="2">
        <v>0.0</v>
      </c>
      <c r="I913" s="2">
        <v>44000.0</v>
      </c>
      <c r="J913" s="2">
        <v>1.0</v>
      </c>
      <c r="K913" s="2">
        <v>7.0</v>
      </c>
      <c r="O913" s="2" t="s">
        <v>899</v>
      </c>
      <c r="P913" s="2" t="s">
        <v>166</v>
      </c>
      <c r="R913" s="2" t="s">
        <v>848</v>
      </c>
      <c r="S913" s="11">
        <v>42137.79530092593</v>
      </c>
    </row>
    <row r="914" ht="12.75" hidden="1" customHeight="1">
      <c r="A914" s="2" t="str">
        <f>IF(VLOOKUP(E914,Sheet4!$A$585:$B$786,2,0)=0,1, )</f>
        <v/>
      </c>
      <c r="B914" s="2" t="str">
        <f t="shared" si="1"/>
        <v>1</v>
      </c>
      <c r="C914" s="2" t="str">
        <f t="shared" si="2"/>
        <v>2500000839-8165</v>
      </c>
      <c r="D914" s="2">
        <v>2.50002593E8</v>
      </c>
      <c r="E914" s="2">
        <v>2.500000839E9</v>
      </c>
      <c r="F914" s="2">
        <v>8165.0</v>
      </c>
      <c r="G914" s="2">
        <v>1.0</v>
      </c>
      <c r="H914" s="2">
        <v>0.0</v>
      </c>
      <c r="I914" s="2">
        <v>235000.0</v>
      </c>
      <c r="J914" s="2">
        <v>1.0</v>
      </c>
      <c r="K914" s="2">
        <v>7.0</v>
      </c>
      <c r="O914" s="2" t="s">
        <v>901</v>
      </c>
      <c r="P914" s="2" t="s">
        <v>166</v>
      </c>
      <c r="R914" s="2" t="s">
        <v>848</v>
      </c>
      <c r="S914" s="11">
        <v>42137.79530092593</v>
      </c>
    </row>
    <row r="915" ht="12.75" hidden="1" customHeight="1">
      <c r="A915" s="2" t="str">
        <f>IF(VLOOKUP(E915,Sheet4!$A$585:$B$786,2,0)=0,1, )</f>
        <v/>
      </c>
      <c r="B915" s="2" t="str">
        <f t="shared" si="1"/>
        <v>1</v>
      </c>
      <c r="C915" s="2" t="str">
        <f t="shared" si="2"/>
        <v>2500000839-13041</v>
      </c>
      <c r="D915" s="2">
        <v>2.50002589E8</v>
      </c>
      <c r="E915" s="2">
        <v>2.500000839E9</v>
      </c>
      <c r="F915" s="2">
        <v>13041.0</v>
      </c>
      <c r="G915" s="2">
        <v>2.0</v>
      </c>
      <c r="H915" s="2">
        <v>0.0</v>
      </c>
      <c r="I915" s="2">
        <v>78000.0</v>
      </c>
      <c r="J915" s="2">
        <v>1.0</v>
      </c>
      <c r="K915" s="2">
        <v>7.0</v>
      </c>
      <c r="O915" s="2" t="s">
        <v>476</v>
      </c>
      <c r="P915" s="2" t="s">
        <v>166</v>
      </c>
      <c r="R915" s="2" t="s">
        <v>848</v>
      </c>
      <c r="S915" s="11">
        <v>42137.79530092593</v>
      </c>
    </row>
    <row r="916" ht="12.75" hidden="1" customHeight="1">
      <c r="A916" s="2" t="str">
        <f>IF(VLOOKUP(E916,Sheet4!$A$585:$B$786,2,0)=0,1, )</f>
        <v/>
      </c>
      <c r="B916" s="2" t="str">
        <f t="shared" si="1"/>
        <v>1</v>
      </c>
      <c r="C916" s="2" t="str">
        <f t="shared" si="2"/>
        <v>2500000839-14095</v>
      </c>
      <c r="D916" s="2">
        <v>2.50002596E8</v>
      </c>
      <c r="E916" s="2">
        <v>2.500000839E9</v>
      </c>
      <c r="F916" s="2">
        <v>14095.0</v>
      </c>
      <c r="G916" s="2">
        <v>1.0</v>
      </c>
      <c r="H916" s="2">
        <v>0.0</v>
      </c>
      <c r="I916" s="2">
        <v>239000.0</v>
      </c>
      <c r="J916" s="2">
        <v>1.0</v>
      </c>
      <c r="K916" s="2">
        <v>7.0</v>
      </c>
      <c r="O916" s="2" t="s">
        <v>904</v>
      </c>
      <c r="P916" s="2" t="s">
        <v>166</v>
      </c>
      <c r="R916" s="2" t="s">
        <v>848</v>
      </c>
      <c r="S916" s="11">
        <v>42137.79530092593</v>
      </c>
    </row>
    <row r="917" ht="12.75" hidden="1" customHeight="1">
      <c r="A917" s="2" t="str">
        <f>IF(VLOOKUP(E917,Sheet4!$A$585:$B$786,2,0)=0,1, )</f>
        <v/>
      </c>
      <c r="B917" s="2" t="str">
        <f t="shared" si="1"/>
        <v>1</v>
      </c>
      <c r="C917" s="2" t="str">
        <f t="shared" si="2"/>
        <v>2500000849-2383</v>
      </c>
      <c r="D917" s="2">
        <v>2.50002621E8</v>
      </c>
      <c r="E917" s="2">
        <v>2.500000849E9</v>
      </c>
      <c r="F917" s="2">
        <v>2383.0</v>
      </c>
      <c r="G917" s="2">
        <v>1.0</v>
      </c>
      <c r="H917" s="2">
        <v>0.0</v>
      </c>
      <c r="I917" s="2">
        <v>475000.0</v>
      </c>
      <c r="J917" s="2">
        <v>1.0</v>
      </c>
      <c r="K917" s="2">
        <v>7.0</v>
      </c>
      <c r="O917" s="2" t="s">
        <v>906</v>
      </c>
      <c r="P917" s="2" t="s">
        <v>166</v>
      </c>
      <c r="R917" s="2" t="s">
        <v>848</v>
      </c>
      <c r="S917" s="11">
        <v>42138.43350694444</v>
      </c>
    </row>
    <row r="918" ht="12.75" hidden="1" customHeight="1">
      <c r="A918" s="2" t="str">
        <f>IF(VLOOKUP(E918,Sheet4!$A$585:$B$786,2,0)=0,1, )</f>
        <v/>
      </c>
      <c r="B918" s="2" t="str">
        <f t="shared" si="1"/>
        <v>1</v>
      </c>
      <c r="C918" s="2" t="str">
        <f t="shared" si="2"/>
        <v>2500000849-8032</v>
      </c>
      <c r="D918" s="2">
        <v>2.5000262E8</v>
      </c>
      <c r="E918" s="2">
        <v>2.500000849E9</v>
      </c>
      <c r="F918" s="2">
        <v>8032.0</v>
      </c>
      <c r="G918" s="2">
        <v>1.0</v>
      </c>
      <c r="H918" s="2">
        <v>0.0</v>
      </c>
      <c r="I918" s="2">
        <v>590000.0</v>
      </c>
      <c r="J918" s="2">
        <v>1.0</v>
      </c>
      <c r="K918" s="2">
        <v>7.0</v>
      </c>
      <c r="O918" s="2" t="s">
        <v>908</v>
      </c>
      <c r="P918" s="2" t="s">
        <v>166</v>
      </c>
      <c r="R918" s="2" t="s">
        <v>848</v>
      </c>
      <c r="S918" s="11">
        <v>42138.43350694444</v>
      </c>
    </row>
    <row r="919" ht="12.75" hidden="1" customHeight="1">
      <c r="A919" s="2" t="str">
        <f>IF(VLOOKUP(E919,Sheet4!$A$585:$B$786,2,0)=0,1, )</f>
        <v/>
      </c>
      <c r="B919" s="2" t="str">
        <f t="shared" si="1"/>
        <v>1</v>
      </c>
      <c r="C919" s="2" t="str">
        <f t="shared" si="2"/>
        <v>2500000858-1007</v>
      </c>
      <c r="D919" s="2">
        <v>2.50002647E8</v>
      </c>
      <c r="E919" s="2">
        <v>2.500000858E9</v>
      </c>
      <c r="F919" s="2">
        <v>1007.0</v>
      </c>
      <c r="G919" s="2">
        <v>1.0</v>
      </c>
      <c r="H919" s="2">
        <v>24500.0</v>
      </c>
      <c r="I919" s="2">
        <v>245000.0</v>
      </c>
      <c r="J919" s="2">
        <v>1.0</v>
      </c>
      <c r="K919" s="2">
        <v>7.0</v>
      </c>
      <c r="O919" s="2" t="s">
        <v>667</v>
      </c>
      <c r="P919" s="2" t="s">
        <v>166</v>
      </c>
      <c r="R919" s="2" t="s">
        <v>848</v>
      </c>
      <c r="S919" s="11">
        <v>42138.65380787037</v>
      </c>
    </row>
    <row r="920" ht="12.75" hidden="1" customHeight="1">
      <c r="A920" s="2" t="str">
        <f>IF(VLOOKUP(E920,Sheet4!$A$585:$B$786,2,0)=0,1, )</f>
        <v/>
      </c>
      <c r="B920" s="2" t="str">
        <f t="shared" si="1"/>
        <v>1</v>
      </c>
      <c r="C920" s="2" t="str">
        <f t="shared" si="2"/>
        <v>2500000858-1013</v>
      </c>
      <c r="D920" s="2">
        <v>2.50002646E8</v>
      </c>
      <c r="E920" s="2">
        <v>2.500000858E9</v>
      </c>
      <c r="F920" s="2">
        <v>1013.0</v>
      </c>
      <c r="G920" s="2">
        <v>2.0</v>
      </c>
      <c r="H920" s="2">
        <v>46000.0</v>
      </c>
      <c r="I920" s="2">
        <v>460000.0</v>
      </c>
      <c r="J920" s="2">
        <v>1.0</v>
      </c>
      <c r="K920" s="2">
        <v>7.0</v>
      </c>
      <c r="O920" s="2" t="s">
        <v>459</v>
      </c>
      <c r="P920" s="2" t="s">
        <v>166</v>
      </c>
      <c r="R920" s="2" t="s">
        <v>848</v>
      </c>
      <c r="S920" s="11">
        <v>42138.65380787037</v>
      </c>
    </row>
    <row r="921" ht="12.75" hidden="1" customHeight="1">
      <c r="A921" s="2" t="str">
        <f>IF(VLOOKUP(E921,Sheet4!$A$585:$B$786,2,0)=0,1, )</f>
        <v/>
      </c>
      <c r="B921" s="2" t="str">
        <f t="shared" si="1"/>
        <v>1</v>
      </c>
      <c r="C921" s="2" t="str">
        <f t="shared" si="2"/>
        <v>2500000858-2334</v>
      </c>
      <c r="D921" s="2">
        <v>2.50002641E8</v>
      </c>
      <c r="E921" s="2">
        <v>2.500000858E9</v>
      </c>
      <c r="F921" s="2">
        <v>2334.0</v>
      </c>
      <c r="G921" s="2">
        <v>1.0</v>
      </c>
      <c r="H921" s="2">
        <v>14500.0</v>
      </c>
      <c r="I921" s="2">
        <v>145000.0</v>
      </c>
      <c r="J921" s="2">
        <v>1.0</v>
      </c>
      <c r="K921" s="2">
        <v>7.0</v>
      </c>
      <c r="O921" s="2" t="s">
        <v>912</v>
      </c>
      <c r="P921" s="2" t="s">
        <v>166</v>
      </c>
      <c r="R921" s="2" t="s">
        <v>848</v>
      </c>
      <c r="S921" s="11">
        <v>42138.6537962963</v>
      </c>
    </row>
    <row r="922" ht="12.75" hidden="1" customHeight="1">
      <c r="A922" s="2" t="str">
        <f>IF(VLOOKUP(E922,Sheet4!$A$585:$B$786,2,0)=0,1, )</f>
        <v/>
      </c>
      <c r="B922" s="2" t="str">
        <f t="shared" si="1"/>
        <v>1</v>
      </c>
      <c r="C922" s="2" t="str">
        <f t="shared" si="2"/>
        <v>2500000858-7860</v>
      </c>
      <c r="D922" s="2">
        <v>2.5000264E8</v>
      </c>
      <c r="E922" s="2">
        <v>2.500000858E9</v>
      </c>
      <c r="F922" s="2">
        <v>7860.0</v>
      </c>
      <c r="G922" s="2">
        <v>1.0</v>
      </c>
      <c r="H922" s="2">
        <v>51500.0</v>
      </c>
      <c r="I922" s="2">
        <v>515000.0</v>
      </c>
      <c r="J922" s="2">
        <v>1.0</v>
      </c>
      <c r="K922" s="2">
        <v>7.0</v>
      </c>
      <c r="O922" s="2" t="s">
        <v>914</v>
      </c>
      <c r="P922" s="2" t="s">
        <v>166</v>
      </c>
      <c r="R922" s="2" t="s">
        <v>848</v>
      </c>
      <c r="S922" s="11">
        <v>42138.6537962963</v>
      </c>
    </row>
    <row r="923" ht="12.75" hidden="1" customHeight="1">
      <c r="A923" s="2" t="str">
        <f>IF(VLOOKUP(E923,Sheet4!$A$585:$B$786,2,0)=0,1, )</f>
        <v/>
      </c>
      <c r="B923" s="2" t="str">
        <f t="shared" si="1"/>
        <v>1</v>
      </c>
      <c r="C923" s="2" t="str">
        <f t="shared" si="2"/>
        <v>2500000858-9392</v>
      </c>
      <c r="D923" s="2">
        <v>2.50002644E8</v>
      </c>
      <c r="E923" s="2">
        <v>2.500000858E9</v>
      </c>
      <c r="F923" s="2">
        <v>9392.0</v>
      </c>
      <c r="G923" s="2">
        <v>1.0</v>
      </c>
      <c r="H923" s="2">
        <v>13500.0</v>
      </c>
      <c r="I923" s="2">
        <v>135000.0</v>
      </c>
      <c r="J923" s="2">
        <v>1.0</v>
      </c>
      <c r="K923" s="2">
        <v>7.0</v>
      </c>
      <c r="O923" s="2" t="s">
        <v>916</v>
      </c>
      <c r="P923" s="2" t="s">
        <v>166</v>
      </c>
      <c r="R923" s="2" t="s">
        <v>848</v>
      </c>
      <c r="S923" s="11">
        <v>42138.65380787037</v>
      </c>
    </row>
    <row r="924" ht="12.75" hidden="1" customHeight="1">
      <c r="A924" s="2" t="str">
        <f>IF(VLOOKUP(E924,Sheet4!$A$585:$B$786,2,0)=0,1, )</f>
        <v/>
      </c>
      <c r="B924" s="2" t="str">
        <f t="shared" si="1"/>
        <v>1</v>
      </c>
      <c r="C924" s="2" t="str">
        <f t="shared" si="2"/>
        <v>2500000858-9736</v>
      </c>
      <c r="D924" s="2">
        <v>2.50002645E8</v>
      </c>
      <c r="E924" s="2">
        <v>2.500000858E9</v>
      </c>
      <c r="F924" s="2">
        <v>9736.0</v>
      </c>
      <c r="G924" s="2">
        <v>1.0</v>
      </c>
      <c r="H924" s="2">
        <v>37100.0</v>
      </c>
      <c r="I924" s="2">
        <v>371000.0</v>
      </c>
      <c r="J924" s="2">
        <v>1.0</v>
      </c>
      <c r="K924" s="2">
        <v>7.0</v>
      </c>
      <c r="O924" s="2" t="s">
        <v>516</v>
      </c>
      <c r="P924" s="2" t="s">
        <v>166</v>
      </c>
      <c r="R924" s="2" t="s">
        <v>848</v>
      </c>
      <c r="S924" s="11">
        <v>42138.65380787037</v>
      </c>
    </row>
    <row r="925" ht="12.75" hidden="1" customHeight="1">
      <c r="A925" s="2" t="str">
        <f>IF(VLOOKUP(E925,Sheet4!$A$585:$B$786,2,0)=0,1, )</f>
        <v/>
      </c>
      <c r="B925" s="2" t="str">
        <f t="shared" si="1"/>
        <v>1</v>
      </c>
      <c r="C925" s="2" t="str">
        <f t="shared" si="2"/>
        <v>2500000858-11715</v>
      </c>
      <c r="D925" s="2">
        <v>2.50002639E8</v>
      </c>
      <c r="E925" s="2">
        <v>2.500000858E9</v>
      </c>
      <c r="F925" s="2">
        <v>11715.0</v>
      </c>
      <c r="G925" s="2">
        <v>1.0</v>
      </c>
      <c r="H925" s="2">
        <v>54500.0</v>
      </c>
      <c r="I925" s="2">
        <v>545000.0</v>
      </c>
      <c r="J925" s="2">
        <v>1.0</v>
      </c>
      <c r="K925" s="2">
        <v>7.0</v>
      </c>
      <c r="O925" s="2" t="s">
        <v>919</v>
      </c>
      <c r="P925" s="2" t="s">
        <v>166</v>
      </c>
      <c r="R925" s="2" t="s">
        <v>848</v>
      </c>
      <c r="S925" s="11">
        <v>42138.6537962963</v>
      </c>
    </row>
    <row r="926" ht="12.75" hidden="1" customHeight="1">
      <c r="A926" s="2" t="str">
        <f>IF(VLOOKUP(E926,Sheet4!$A$585:$B$786,2,0)=0,1, )</f>
        <v/>
      </c>
      <c r="B926" s="2" t="str">
        <f t="shared" si="1"/>
        <v>1</v>
      </c>
      <c r="C926" s="2" t="str">
        <f t="shared" si="2"/>
        <v>2500000858-11720</v>
      </c>
      <c r="D926" s="2">
        <v>2.50002638E8</v>
      </c>
      <c r="E926" s="2">
        <v>2.500000858E9</v>
      </c>
      <c r="F926" s="2">
        <v>11720.0</v>
      </c>
      <c r="G926" s="2">
        <v>-1.0</v>
      </c>
      <c r="H926" s="2">
        <v>-54000.0</v>
      </c>
      <c r="I926" s="2">
        <v>-540000.0</v>
      </c>
      <c r="J926" s="2">
        <v>1.0</v>
      </c>
      <c r="K926" s="2">
        <v>7.0</v>
      </c>
      <c r="O926" s="2" t="s">
        <v>921</v>
      </c>
      <c r="P926" s="2" t="s">
        <v>166</v>
      </c>
      <c r="R926" s="2" t="s">
        <v>848</v>
      </c>
      <c r="S926" s="11">
        <v>42138.65378472222</v>
      </c>
    </row>
    <row r="927" ht="12.75" hidden="1" customHeight="1">
      <c r="A927" s="2" t="str">
        <f>IF(VLOOKUP(E927,Sheet4!$A$585:$B$786,2,0)=0,1, )</f>
        <v/>
      </c>
      <c r="B927" s="2" t="str">
        <f t="shared" si="1"/>
        <v>1</v>
      </c>
      <c r="C927" s="2" t="str">
        <f t="shared" si="2"/>
        <v>2500000858-12739</v>
      </c>
      <c r="D927" s="2">
        <v>2.50002642E8</v>
      </c>
      <c r="E927" s="2">
        <v>2.500000858E9</v>
      </c>
      <c r="F927" s="2">
        <v>12739.0</v>
      </c>
      <c r="G927" s="2">
        <v>1.0</v>
      </c>
      <c r="H927" s="2">
        <v>38500.0</v>
      </c>
      <c r="I927" s="2">
        <v>385000.0</v>
      </c>
      <c r="J927" s="2">
        <v>1.0</v>
      </c>
      <c r="K927" s="2">
        <v>7.0</v>
      </c>
      <c r="O927" s="2" t="s">
        <v>923</v>
      </c>
      <c r="P927" s="2" t="s">
        <v>166</v>
      </c>
      <c r="R927" s="2" t="s">
        <v>848</v>
      </c>
      <c r="S927" s="11">
        <v>42138.6537962963</v>
      </c>
    </row>
    <row r="928" ht="12.75" hidden="1" customHeight="1">
      <c r="A928" s="2" t="str">
        <f>IF(VLOOKUP(E928,Sheet4!$A$585:$B$786,2,0)=0,1, )</f>
        <v/>
      </c>
      <c r="B928" s="2" t="str">
        <f t="shared" si="1"/>
        <v>1</v>
      </c>
      <c r="C928" s="2" t="str">
        <f t="shared" si="2"/>
        <v>2500000858-14042</v>
      </c>
      <c r="D928" s="2">
        <v>2.50002643E8</v>
      </c>
      <c r="E928" s="2">
        <v>2.500000858E9</v>
      </c>
      <c r="F928" s="2">
        <v>14042.0</v>
      </c>
      <c r="G928" s="2">
        <v>1.0</v>
      </c>
      <c r="H928" s="2">
        <v>49700.0</v>
      </c>
      <c r="I928" s="2">
        <v>497000.0</v>
      </c>
      <c r="J928" s="2">
        <v>1.0</v>
      </c>
      <c r="K928" s="2">
        <v>7.0</v>
      </c>
      <c r="O928" s="2" t="s">
        <v>925</v>
      </c>
      <c r="P928" s="2" t="s">
        <v>166</v>
      </c>
      <c r="R928" s="2" t="s">
        <v>848</v>
      </c>
      <c r="S928" s="11">
        <v>42138.65380787037</v>
      </c>
    </row>
    <row r="929" ht="12.75" hidden="1" customHeight="1">
      <c r="A929" s="2" t="str">
        <f>IF(VLOOKUP(E929,Sheet4!$A$585:$B$786,2,0)=0,1, )</f>
        <v/>
      </c>
      <c r="B929" s="2" t="str">
        <f t="shared" si="1"/>
        <v>1</v>
      </c>
      <c r="C929" s="2" t="str">
        <f t="shared" si="2"/>
        <v>2500000858-14094</v>
      </c>
      <c r="D929" s="2">
        <v>2.50002649E8</v>
      </c>
      <c r="E929" s="2">
        <v>2.500000858E9</v>
      </c>
      <c r="F929" s="2">
        <v>14094.0</v>
      </c>
      <c r="G929" s="2">
        <v>1.0</v>
      </c>
      <c r="H929" s="2">
        <v>38500.0</v>
      </c>
      <c r="I929" s="2">
        <v>385000.0</v>
      </c>
      <c r="J929" s="2">
        <v>1.0</v>
      </c>
      <c r="K929" s="2">
        <v>7.0</v>
      </c>
      <c r="O929" s="2" t="s">
        <v>927</v>
      </c>
      <c r="P929" s="2" t="s">
        <v>166</v>
      </c>
      <c r="R929" s="2" t="s">
        <v>848</v>
      </c>
      <c r="S929" s="11">
        <v>42138.65380787037</v>
      </c>
    </row>
    <row r="930" ht="12.75" hidden="1" customHeight="1">
      <c r="A930" s="2" t="str">
        <f>IF(VLOOKUP(E930,Sheet4!$A$585:$B$786,2,0)=0,1, )</f>
        <v/>
      </c>
      <c r="B930" s="2" t="str">
        <f t="shared" si="1"/>
        <v>1</v>
      </c>
      <c r="C930" s="2" t="str">
        <f t="shared" si="2"/>
        <v>2500000878-12864</v>
      </c>
      <c r="D930" s="2">
        <v>2.5000269E8</v>
      </c>
      <c r="E930" s="2">
        <v>2.500000878E9</v>
      </c>
      <c r="F930" s="2">
        <v>12864.0</v>
      </c>
      <c r="G930" s="2">
        <v>-1.0</v>
      </c>
      <c r="H930" s="2">
        <v>0.0</v>
      </c>
      <c r="I930" s="2">
        <v>-425000.0</v>
      </c>
      <c r="J930" s="2">
        <v>1.0</v>
      </c>
      <c r="K930" s="2">
        <v>7.0</v>
      </c>
      <c r="O930" s="2" t="s">
        <v>195</v>
      </c>
      <c r="P930" s="2" t="s">
        <v>166</v>
      </c>
      <c r="R930" s="2" t="s">
        <v>848</v>
      </c>
      <c r="S930" s="11">
        <v>42139.43284722222</v>
      </c>
    </row>
    <row r="931" ht="12.75" hidden="1" customHeight="1">
      <c r="A931" s="2" t="str">
        <f>IF(VLOOKUP(E931,Sheet4!$A$585:$B$786,2,0)=0,1, )</f>
        <v/>
      </c>
      <c r="B931" s="2" t="str">
        <f t="shared" si="1"/>
        <v>1</v>
      </c>
      <c r="C931" s="2" t="str">
        <f t="shared" si="2"/>
        <v>2500000896-9809</v>
      </c>
      <c r="D931" s="2">
        <v>2.50002743E8</v>
      </c>
      <c r="E931" s="2">
        <v>2.500000896E9</v>
      </c>
      <c r="F931" s="2">
        <v>9809.0</v>
      </c>
      <c r="G931" s="2">
        <v>1.0</v>
      </c>
      <c r="H931" s="2">
        <v>0.0</v>
      </c>
      <c r="I931" s="2">
        <v>81000.0</v>
      </c>
      <c r="J931" s="2">
        <v>1.0</v>
      </c>
      <c r="K931" s="2">
        <v>7.0</v>
      </c>
      <c r="O931" s="2" t="s">
        <v>930</v>
      </c>
      <c r="P931" s="2" t="s">
        <v>166</v>
      </c>
      <c r="R931" s="2" t="s">
        <v>848</v>
      </c>
      <c r="S931" s="11">
        <v>42139.74728009259</v>
      </c>
    </row>
    <row r="932" ht="12.75" hidden="1" customHeight="1">
      <c r="A932" s="2" t="str">
        <f>IF(VLOOKUP(E932,Sheet4!$A$585:$B$786,2,0)=0,1, )</f>
        <v>1</v>
      </c>
      <c r="B932" s="2" t="str">
        <f t="shared" si="1"/>
        <v>1</v>
      </c>
      <c r="C932" s="2" t="str">
        <f t="shared" si="2"/>
        <v>2900000002-2608</v>
      </c>
      <c r="D932" s="2">
        <v>1.0</v>
      </c>
      <c r="E932" s="2">
        <v>2.900000002E9</v>
      </c>
      <c r="F932" s="2">
        <v>2608.0</v>
      </c>
      <c r="G932" s="2">
        <v>1.0</v>
      </c>
      <c r="H932" s="2">
        <v>0.0</v>
      </c>
      <c r="I932" s="2">
        <v>299000.0</v>
      </c>
      <c r="J932" s="2">
        <v>1.0</v>
      </c>
      <c r="K932" s="2">
        <v>7.0</v>
      </c>
      <c r="O932" s="2" t="s">
        <v>932</v>
      </c>
      <c r="P932" s="2" t="s">
        <v>166</v>
      </c>
      <c r="R932" s="2" t="s">
        <v>933</v>
      </c>
      <c r="S932" s="11">
        <v>42119.32313657407</v>
      </c>
    </row>
    <row r="933" ht="12.75" hidden="1" customHeight="1">
      <c r="A933" s="2" t="str">
        <f>IF(VLOOKUP(E933,Sheet4!$A$585:$B$786,2,0)=0,1, )</f>
        <v>1</v>
      </c>
      <c r="B933" s="2" t="str">
        <f t="shared" si="1"/>
        <v/>
      </c>
      <c r="C933" s="2" t="str">
        <f t="shared" si="2"/>
        <v>2900000002-2608</v>
      </c>
      <c r="D933" s="2">
        <v>3.20081786E8</v>
      </c>
      <c r="E933" s="2">
        <v>2.900000002E9</v>
      </c>
      <c r="F933" s="2">
        <v>2608.0</v>
      </c>
      <c r="G933" s="2">
        <v>1.0</v>
      </c>
      <c r="H933" s="2">
        <v>0.0</v>
      </c>
      <c r="I933" s="2">
        <v>299000.0</v>
      </c>
      <c r="J933" s="2">
        <v>1.0</v>
      </c>
      <c r="K933" s="2">
        <v>7.0</v>
      </c>
      <c r="O933" s="2" t="s">
        <v>932</v>
      </c>
      <c r="P933" s="2" t="s">
        <v>166</v>
      </c>
      <c r="R933" s="2" t="s">
        <v>933</v>
      </c>
      <c r="S933" s="11">
        <v>42220.59166666667</v>
      </c>
    </row>
    <row r="934" ht="12.75" hidden="1" customHeight="1">
      <c r="A934" s="2" t="str">
        <f>IF(VLOOKUP(E934,Sheet4!$A$585:$B$786,2,0)=0,1, )</f>
        <v>1</v>
      </c>
      <c r="B934" s="2" t="str">
        <f t="shared" si="1"/>
        <v>1</v>
      </c>
      <c r="C934" s="2" t="str">
        <f t="shared" si="2"/>
        <v>2900000002-11918</v>
      </c>
      <c r="D934" s="2">
        <v>3.20081787E8</v>
      </c>
      <c r="E934" s="2">
        <v>2.900000002E9</v>
      </c>
      <c r="F934" s="2">
        <v>11918.0</v>
      </c>
      <c r="G934" s="2">
        <v>1.0</v>
      </c>
      <c r="H934" s="2">
        <v>0.0</v>
      </c>
      <c r="I934" s="2">
        <v>420000.0</v>
      </c>
      <c r="J934" s="2">
        <v>1.0</v>
      </c>
      <c r="K934" s="2">
        <v>7.0</v>
      </c>
      <c r="O934" s="2" t="s">
        <v>935</v>
      </c>
      <c r="P934" s="2" t="s">
        <v>166</v>
      </c>
      <c r="R934" s="2" t="s">
        <v>933</v>
      </c>
      <c r="S934" s="11">
        <v>42220.59166666667</v>
      </c>
    </row>
    <row r="935" ht="12.75" hidden="1" customHeight="1">
      <c r="A935" s="2" t="str">
        <f>IF(VLOOKUP(E935,Sheet4!$A$585:$B$786,2,0)=0,1, )</f>
        <v>1</v>
      </c>
      <c r="B935" s="2" t="str">
        <f t="shared" si="1"/>
        <v/>
      </c>
      <c r="C935" s="2" t="str">
        <f t="shared" si="2"/>
        <v>2900000002-11918</v>
      </c>
      <c r="D935" s="2">
        <v>2.0</v>
      </c>
      <c r="E935" s="2">
        <v>2.900000002E9</v>
      </c>
      <c r="F935" s="2">
        <v>11918.0</v>
      </c>
      <c r="G935" s="2">
        <v>1.0</v>
      </c>
      <c r="H935" s="2">
        <v>0.0</v>
      </c>
      <c r="I935" s="2">
        <v>420000.0</v>
      </c>
      <c r="J935" s="2">
        <v>1.0</v>
      </c>
      <c r="K935" s="2">
        <v>7.0</v>
      </c>
      <c r="O935" s="2" t="s">
        <v>935</v>
      </c>
      <c r="P935" s="2" t="s">
        <v>166</v>
      </c>
      <c r="R935" s="2" t="s">
        <v>933</v>
      </c>
      <c r="S935" s="11">
        <v>42119.32313657407</v>
      </c>
    </row>
    <row r="936" ht="12.75" hidden="1" customHeight="1">
      <c r="A936" s="2" t="str">
        <f>IF(VLOOKUP(E936,Sheet4!$A$585:$B$786,2,0)=0,1, )</f>
        <v>1</v>
      </c>
      <c r="B936" s="2" t="str">
        <f t="shared" si="1"/>
        <v>1</v>
      </c>
      <c r="C936" s="2" t="str">
        <f t="shared" si="2"/>
        <v>2900000003-7068</v>
      </c>
      <c r="D936" s="2">
        <v>4.0</v>
      </c>
      <c r="E936" s="2">
        <v>2.900000003E9</v>
      </c>
      <c r="F936" s="2">
        <v>7068.0</v>
      </c>
      <c r="G936" s="2">
        <v>1.0</v>
      </c>
      <c r="H936" s="2">
        <v>0.0</v>
      </c>
      <c r="I936" s="2">
        <v>258000.0</v>
      </c>
      <c r="J936" s="2">
        <v>1.0</v>
      </c>
      <c r="K936" s="2">
        <v>7.0</v>
      </c>
      <c r="O936" s="2" t="s">
        <v>937</v>
      </c>
      <c r="P936" s="2" t="s">
        <v>166</v>
      </c>
      <c r="R936" s="2" t="s">
        <v>933</v>
      </c>
      <c r="S936" s="11">
        <v>42119.32524305556</v>
      </c>
    </row>
    <row r="937" ht="12.75" hidden="1" customHeight="1">
      <c r="A937" s="2" t="str">
        <f>IF(VLOOKUP(E937,Sheet4!$A$585:$B$786,2,0)=0,1, )</f>
        <v>1</v>
      </c>
      <c r="B937" s="2" t="str">
        <f t="shared" si="1"/>
        <v/>
      </c>
      <c r="C937" s="2" t="str">
        <f t="shared" si="2"/>
        <v>2900000003-7068</v>
      </c>
      <c r="D937" s="2">
        <v>3.20081789E8</v>
      </c>
      <c r="E937" s="2">
        <v>2.900000003E9</v>
      </c>
      <c r="F937" s="2">
        <v>7068.0</v>
      </c>
      <c r="G937" s="2">
        <v>1.0</v>
      </c>
      <c r="H937" s="2">
        <v>0.0</v>
      </c>
      <c r="I937" s="2">
        <v>258000.0</v>
      </c>
      <c r="J937" s="2">
        <v>1.0</v>
      </c>
      <c r="K937" s="2">
        <v>7.0</v>
      </c>
      <c r="O937" s="2" t="s">
        <v>937</v>
      </c>
      <c r="P937" s="2" t="s">
        <v>166</v>
      </c>
      <c r="R937" s="2" t="s">
        <v>933</v>
      </c>
      <c r="S937" s="11">
        <v>42220.59166666667</v>
      </c>
    </row>
    <row r="938" ht="12.75" hidden="1" customHeight="1">
      <c r="A938" s="2" t="str">
        <f>IF(VLOOKUP(E938,Sheet4!$A$585:$B$786,2,0)=0,1, )</f>
        <v>1</v>
      </c>
      <c r="B938" s="2" t="str">
        <f t="shared" si="1"/>
        <v>1</v>
      </c>
      <c r="C938" s="2" t="str">
        <f t="shared" si="2"/>
        <v>2900000003-7879</v>
      </c>
      <c r="D938" s="2">
        <v>3.20081788E8</v>
      </c>
      <c r="E938" s="2">
        <v>2.900000003E9</v>
      </c>
      <c r="F938" s="2">
        <v>7879.0</v>
      </c>
      <c r="G938" s="2">
        <v>1.0</v>
      </c>
      <c r="H938" s="2">
        <v>0.0</v>
      </c>
      <c r="I938" s="2">
        <v>315000.0</v>
      </c>
      <c r="J938" s="2">
        <v>1.0</v>
      </c>
      <c r="K938" s="2">
        <v>7.0</v>
      </c>
      <c r="O938" s="2" t="s">
        <v>939</v>
      </c>
      <c r="P938" s="2" t="s">
        <v>166</v>
      </c>
      <c r="R938" s="2" t="s">
        <v>933</v>
      </c>
      <c r="S938" s="11">
        <v>42220.59166666667</v>
      </c>
    </row>
    <row r="939" ht="12.75" hidden="1" customHeight="1">
      <c r="A939" s="2" t="str">
        <f>IF(VLOOKUP(E939,Sheet4!$A$585:$B$786,2,0)=0,1, )</f>
        <v>1</v>
      </c>
      <c r="B939" s="2" t="str">
        <f t="shared" si="1"/>
        <v/>
      </c>
      <c r="C939" s="2" t="str">
        <f t="shared" si="2"/>
        <v>2900000003-7879</v>
      </c>
      <c r="D939" s="2">
        <v>3.0</v>
      </c>
      <c r="E939" s="2">
        <v>2.900000003E9</v>
      </c>
      <c r="F939" s="2">
        <v>7879.0</v>
      </c>
      <c r="G939" s="2">
        <v>1.0</v>
      </c>
      <c r="H939" s="2">
        <v>0.0</v>
      </c>
      <c r="I939" s="2">
        <v>315000.0</v>
      </c>
      <c r="J939" s="2">
        <v>1.0</v>
      </c>
      <c r="K939" s="2">
        <v>7.0</v>
      </c>
      <c r="O939" s="2" t="s">
        <v>939</v>
      </c>
      <c r="P939" s="2" t="s">
        <v>166</v>
      </c>
      <c r="R939" s="2" t="s">
        <v>933</v>
      </c>
      <c r="S939" s="11">
        <v>42119.32524305556</v>
      </c>
    </row>
    <row r="940" ht="12.75" hidden="1" customHeight="1">
      <c r="A940" s="2" t="str">
        <f>IF(VLOOKUP(E940,Sheet4!$A$585:$B$786,2,0)=0,1, )</f>
        <v>1</v>
      </c>
      <c r="B940" s="2" t="str">
        <f t="shared" si="1"/>
        <v>1</v>
      </c>
      <c r="C940" s="2" t="str">
        <f t="shared" si="2"/>
        <v>2900000004-8943</v>
      </c>
      <c r="D940" s="2">
        <v>10.0</v>
      </c>
      <c r="E940" s="2">
        <v>2.900000004E9</v>
      </c>
      <c r="F940" s="2">
        <v>8943.0</v>
      </c>
      <c r="G940" s="2">
        <v>1.0</v>
      </c>
      <c r="H940" s="2">
        <v>0.0</v>
      </c>
      <c r="I940" s="2">
        <v>370000.0</v>
      </c>
      <c r="J940" s="2">
        <v>1.0</v>
      </c>
      <c r="K940" s="2">
        <v>7.0</v>
      </c>
      <c r="O940" s="2" t="s">
        <v>323</v>
      </c>
      <c r="P940" s="2" t="s">
        <v>166</v>
      </c>
      <c r="R940" s="2" t="s">
        <v>933</v>
      </c>
      <c r="S940" s="11">
        <v>42119.3534375</v>
      </c>
    </row>
    <row r="941" ht="12.75" hidden="1" customHeight="1">
      <c r="A941" s="2" t="str">
        <f>IF(VLOOKUP(E941,Sheet4!$A$585:$B$786,2,0)=0,1, )</f>
        <v>1</v>
      </c>
      <c r="B941" s="2" t="str">
        <f t="shared" si="1"/>
        <v/>
      </c>
      <c r="C941" s="2" t="str">
        <f t="shared" si="2"/>
        <v>2900000004-8943</v>
      </c>
      <c r="D941" s="2">
        <v>3.20081793E8</v>
      </c>
      <c r="E941" s="2">
        <v>2.900000004E9</v>
      </c>
      <c r="F941" s="2">
        <v>8943.0</v>
      </c>
      <c r="G941" s="2">
        <v>1.0</v>
      </c>
      <c r="H941" s="2">
        <v>0.0</v>
      </c>
      <c r="I941" s="2">
        <v>370000.0</v>
      </c>
      <c r="J941" s="2">
        <v>1.0</v>
      </c>
      <c r="K941" s="2">
        <v>7.0</v>
      </c>
      <c r="O941" s="2" t="s">
        <v>323</v>
      </c>
      <c r="P941" s="2" t="s">
        <v>166</v>
      </c>
      <c r="R941" s="2" t="s">
        <v>933</v>
      </c>
      <c r="S941" s="11">
        <v>42220.59166666667</v>
      </c>
    </row>
    <row r="942" ht="12.75" hidden="1" customHeight="1">
      <c r="A942" s="2" t="str">
        <f>IF(VLOOKUP(E942,Sheet4!$A$585:$B$786,2,0)=0,1, )</f>
        <v>1</v>
      </c>
      <c r="B942" s="2" t="str">
        <f t="shared" si="1"/>
        <v>1</v>
      </c>
      <c r="C942" s="2" t="str">
        <f t="shared" si="2"/>
        <v>2900000004-11699</v>
      </c>
      <c r="D942" s="2">
        <v>3.2008179E8</v>
      </c>
      <c r="E942" s="2">
        <v>2.900000004E9</v>
      </c>
      <c r="F942" s="2">
        <v>11699.0</v>
      </c>
      <c r="G942" s="2">
        <v>1.0</v>
      </c>
      <c r="H942" s="2">
        <v>0.0</v>
      </c>
      <c r="I942" s="2">
        <v>299000.0</v>
      </c>
      <c r="J942" s="2">
        <v>1.0</v>
      </c>
      <c r="K942" s="2">
        <v>7.0</v>
      </c>
      <c r="O942" s="2" t="s">
        <v>942</v>
      </c>
      <c r="P942" s="2" t="s">
        <v>166</v>
      </c>
      <c r="R942" s="2" t="s">
        <v>933</v>
      </c>
      <c r="S942" s="11">
        <v>42220.59166666667</v>
      </c>
    </row>
    <row r="943" ht="12.75" hidden="1" customHeight="1">
      <c r="A943" s="2" t="str">
        <f>IF(VLOOKUP(E943,Sheet4!$A$585:$B$786,2,0)=0,1, )</f>
        <v>1</v>
      </c>
      <c r="B943" s="2" t="str">
        <f t="shared" si="1"/>
        <v/>
      </c>
      <c r="C943" s="2" t="str">
        <f t="shared" si="2"/>
        <v>2900000004-11699</v>
      </c>
      <c r="D943" s="2">
        <v>7.0</v>
      </c>
      <c r="E943" s="2">
        <v>2.900000004E9</v>
      </c>
      <c r="F943" s="2">
        <v>11699.0</v>
      </c>
      <c r="G943" s="2">
        <v>1.0</v>
      </c>
      <c r="H943" s="2">
        <v>0.0</v>
      </c>
      <c r="I943" s="2">
        <v>299000.0</v>
      </c>
      <c r="J943" s="2">
        <v>1.0</v>
      </c>
      <c r="K943" s="2">
        <v>7.0</v>
      </c>
      <c r="O943" s="2" t="s">
        <v>942</v>
      </c>
      <c r="P943" s="2" t="s">
        <v>166</v>
      </c>
      <c r="R943" s="2" t="s">
        <v>933</v>
      </c>
      <c r="S943" s="11">
        <v>42119.3534375</v>
      </c>
    </row>
    <row r="944" ht="12.75" hidden="1" customHeight="1">
      <c r="A944" s="2" t="str">
        <f>IF(VLOOKUP(E944,Sheet4!$A$585:$B$786,2,0)=0,1, )</f>
        <v>1</v>
      </c>
      <c r="B944" s="2" t="str">
        <f t="shared" si="1"/>
        <v>1</v>
      </c>
      <c r="C944" s="2" t="str">
        <f t="shared" si="2"/>
        <v>2900000004-12749</v>
      </c>
      <c r="D944" s="2">
        <v>9.0</v>
      </c>
      <c r="E944" s="2">
        <v>2.900000004E9</v>
      </c>
      <c r="F944" s="2">
        <v>12749.0</v>
      </c>
      <c r="G944" s="2">
        <v>1.0</v>
      </c>
      <c r="H944" s="2">
        <v>0.0</v>
      </c>
      <c r="I944" s="2">
        <v>315000.0</v>
      </c>
      <c r="J944" s="2">
        <v>1.0</v>
      </c>
      <c r="K944" s="2">
        <v>7.0</v>
      </c>
      <c r="O944" s="2" t="s">
        <v>944</v>
      </c>
      <c r="P944" s="2" t="s">
        <v>166</v>
      </c>
      <c r="R944" s="2" t="s">
        <v>933</v>
      </c>
      <c r="S944" s="11">
        <v>42119.3534375</v>
      </c>
    </row>
    <row r="945" ht="12.75" hidden="1" customHeight="1">
      <c r="A945" s="2" t="str">
        <f>IF(VLOOKUP(E945,Sheet4!$A$585:$B$786,2,0)=0,1, )</f>
        <v>1</v>
      </c>
      <c r="B945" s="2" t="str">
        <f t="shared" si="1"/>
        <v/>
      </c>
      <c r="C945" s="2" t="str">
        <f t="shared" si="2"/>
        <v>2900000004-12749</v>
      </c>
      <c r="D945" s="2">
        <v>3.20081792E8</v>
      </c>
      <c r="E945" s="2">
        <v>2.900000004E9</v>
      </c>
      <c r="F945" s="2">
        <v>12749.0</v>
      </c>
      <c r="G945" s="2">
        <v>1.0</v>
      </c>
      <c r="H945" s="2">
        <v>0.0</v>
      </c>
      <c r="I945" s="2">
        <v>315000.0</v>
      </c>
      <c r="J945" s="2">
        <v>1.0</v>
      </c>
      <c r="K945" s="2">
        <v>7.0</v>
      </c>
      <c r="O945" s="2" t="s">
        <v>944</v>
      </c>
      <c r="P945" s="2" t="s">
        <v>166</v>
      </c>
      <c r="R945" s="2" t="s">
        <v>933</v>
      </c>
      <c r="S945" s="11">
        <v>42220.59166666667</v>
      </c>
    </row>
    <row r="946" ht="12.75" hidden="1" customHeight="1">
      <c r="A946" s="2" t="str">
        <f>IF(VLOOKUP(E946,Sheet4!$A$585:$B$786,2,0)=0,1, )</f>
        <v>1</v>
      </c>
      <c r="B946" s="2" t="str">
        <f t="shared" si="1"/>
        <v>1</v>
      </c>
      <c r="C946" s="2" t="str">
        <f t="shared" si="2"/>
        <v>2900000004-13222</v>
      </c>
      <c r="D946" s="2">
        <v>3.20081791E8</v>
      </c>
      <c r="E946" s="2">
        <v>2.900000004E9</v>
      </c>
      <c r="F946" s="2">
        <v>13222.0</v>
      </c>
      <c r="G946" s="2">
        <v>1.0</v>
      </c>
      <c r="H946" s="2">
        <v>0.0</v>
      </c>
      <c r="I946" s="2">
        <v>75000.0</v>
      </c>
      <c r="J946" s="2">
        <v>1.0</v>
      </c>
      <c r="K946" s="2">
        <v>7.0</v>
      </c>
      <c r="O946" s="2" t="s">
        <v>946</v>
      </c>
      <c r="P946" s="2" t="s">
        <v>166</v>
      </c>
      <c r="R946" s="2" t="s">
        <v>933</v>
      </c>
      <c r="S946" s="11">
        <v>42220.59166666667</v>
      </c>
    </row>
    <row r="947" ht="12.75" hidden="1" customHeight="1">
      <c r="A947" s="2" t="str">
        <f>IF(VLOOKUP(E947,Sheet4!$A$585:$B$786,2,0)=0,1, )</f>
        <v>1</v>
      </c>
      <c r="B947" s="2" t="str">
        <f t="shared" si="1"/>
        <v/>
      </c>
      <c r="C947" s="2" t="str">
        <f t="shared" si="2"/>
        <v>2900000004-13222</v>
      </c>
      <c r="D947" s="2">
        <v>8.0</v>
      </c>
      <c r="E947" s="2">
        <v>2.900000004E9</v>
      </c>
      <c r="F947" s="2">
        <v>13222.0</v>
      </c>
      <c r="G947" s="2">
        <v>1.0</v>
      </c>
      <c r="H947" s="2">
        <v>0.0</v>
      </c>
      <c r="I947" s="2">
        <v>75000.0</v>
      </c>
      <c r="J947" s="2">
        <v>1.0</v>
      </c>
      <c r="K947" s="2">
        <v>7.0</v>
      </c>
      <c r="O947" s="2" t="s">
        <v>946</v>
      </c>
      <c r="P947" s="2" t="s">
        <v>166</v>
      </c>
      <c r="R947" s="2" t="s">
        <v>933</v>
      </c>
      <c r="S947" s="11">
        <v>42119.3534375</v>
      </c>
    </row>
    <row r="948" ht="12.75" hidden="1" customHeight="1">
      <c r="A948" s="2" t="str">
        <f>IF(VLOOKUP(E948,Sheet4!$A$585:$B$786,2,0)=0,1, )</f>
        <v>1</v>
      </c>
      <c r="B948" s="2" t="str">
        <f t="shared" si="1"/>
        <v>1</v>
      </c>
      <c r="C948" s="2" t="str">
        <f t="shared" si="2"/>
        <v>2900000005-58</v>
      </c>
      <c r="D948" s="2">
        <v>12.0</v>
      </c>
      <c r="E948" s="2">
        <v>2.900000005E9</v>
      </c>
      <c r="F948" s="2">
        <v>58.0</v>
      </c>
      <c r="G948" s="2">
        <v>1.0</v>
      </c>
      <c r="H948" s="2">
        <v>0.0</v>
      </c>
      <c r="I948" s="2">
        <v>120000.0</v>
      </c>
      <c r="J948" s="2">
        <v>1.0</v>
      </c>
      <c r="K948" s="2">
        <v>7.0</v>
      </c>
      <c r="O948" s="2" t="s">
        <v>948</v>
      </c>
      <c r="P948" s="2" t="s">
        <v>166</v>
      </c>
      <c r="R948" s="2" t="s">
        <v>933</v>
      </c>
      <c r="S948" s="11">
        <v>42119.35408564815</v>
      </c>
    </row>
    <row r="949" ht="12.75" hidden="1" customHeight="1">
      <c r="A949" s="2" t="str">
        <f>IF(VLOOKUP(E949,Sheet4!$A$585:$B$786,2,0)=0,1, )</f>
        <v>1</v>
      </c>
      <c r="B949" s="2" t="str">
        <f t="shared" si="1"/>
        <v/>
      </c>
      <c r="C949" s="2" t="str">
        <f t="shared" si="2"/>
        <v>2900000005-58</v>
      </c>
      <c r="D949" s="2">
        <v>3.20081795E8</v>
      </c>
      <c r="E949" s="2">
        <v>2.900000005E9</v>
      </c>
      <c r="F949" s="2">
        <v>58.0</v>
      </c>
      <c r="G949" s="2">
        <v>1.0</v>
      </c>
      <c r="H949" s="2">
        <v>0.0</v>
      </c>
      <c r="I949" s="2">
        <v>120000.0</v>
      </c>
      <c r="J949" s="2">
        <v>1.0</v>
      </c>
      <c r="K949" s="2">
        <v>7.0</v>
      </c>
      <c r="O949" s="2" t="s">
        <v>948</v>
      </c>
      <c r="P949" s="2" t="s">
        <v>166</v>
      </c>
      <c r="R949" s="2" t="s">
        <v>933</v>
      </c>
      <c r="S949" s="11">
        <v>42220.59166666667</v>
      </c>
    </row>
    <row r="950" ht="12.75" hidden="1" customHeight="1">
      <c r="A950" s="2" t="str">
        <f>IF(VLOOKUP(E950,Sheet4!$A$585:$B$786,2,0)=0,1, )</f>
        <v>1</v>
      </c>
      <c r="B950" s="2" t="str">
        <f t="shared" si="1"/>
        <v>1</v>
      </c>
      <c r="C950" s="2" t="str">
        <f t="shared" si="2"/>
        <v>2900000005-4239</v>
      </c>
      <c r="D950" s="2">
        <v>3.20081796E8</v>
      </c>
      <c r="E950" s="2">
        <v>2.900000005E9</v>
      </c>
      <c r="F950" s="2">
        <v>4239.0</v>
      </c>
      <c r="G950" s="2">
        <v>1.0</v>
      </c>
      <c r="H950" s="2">
        <v>0.0</v>
      </c>
      <c r="I950" s="2">
        <v>14000.0</v>
      </c>
      <c r="J950" s="2">
        <v>1.0</v>
      </c>
      <c r="K950" s="2">
        <v>7.0</v>
      </c>
      <c r="O950" s="2" t="s">
        <v>950</v>
      </c>
      <c r="P950" s="2" t="s">
        <v>166</v>
      </c>
      <c r="R950" s="2" t="s">
        <v>933</v>
      </c>
      <c r="S950" s="11">
        <v>42220.59166666667</v>
      </c>
    </row>
    <row r="951" ht="12.75" hidden="1" customHeight="1">
      <c r="A951" s="2" t="str">
        <f>IF(VLOOKUP(E951,Sheet4!$A$585:$B$786,2,0)=0,1, )</f>
        <v>1</v>
      </c>
      <c r="B951" s="2" t="str">
        <f t="shared" si="1"/>
        <v/>
      </c>
      <c r="C951" s="2" t="str">
        <f t="shared" si="2"/>
        <v>2900000005-4239</v>
      </c>
      <c r="D951" s="2">
        <v>13.0</v>
      </c>
      <c r="E951" s="2">
        <v>2.900000005E9</v>
      </c>
      <c r="F951" s="2">
        <v>4239.0</v>
      </c>
      <c r="G951" s="2">
        <v>1.0</v>
      </c>
      <c r="H951" s="2">
        <v>0.0</v>
      </c>
      <c r="I951" s="2">
        <v>14000.0</v>
      </c>
      <c r="J951" s="2">
        <v>1.0</v>
      </c>
      <c r="K951" s="2">
        <v>7.0</v>
      </c>
      <c r="O951" s="2" t="s">
        <v>950</v>
      </c>
      <c r="P951" s="2" t="s">
        <v>166</v>
      </c>
      <c r="R951" s="2" t="s">
        <v>933</v>
      </c>
      <c r="S951" s="11">
        <v>42119.35408564815</v>
      </c>
    </row>
    <row r="952" ht="12.75" hidden="1" customHeight="1">
      <c r="A952" s="2" t="str">
        <f>IF(VLOOKUP(E952,Sheet4!$A$585:$B$786,2,0)=0,1, )</f>
        <v>1</v>
      </c>
      <c r="B952" s="2" t="str">
        <f t="shared" si="1"/>
        <v>1</v>
      </c>
      <c r="C952" s="2" t="str">
        <f t="shared" si="2"/>
        <v>2900000005-8844</v>
      </c>
      <c r="D952" s="2">
        <v>11.0</v>
      </c>
      <c r="E952" s="2">
        <v>2.900000005E9</v>
      </c>
      <c r="F952" s="2">
        <v>8844.0</v>
      </c>
      <c r="G952" s="2">
        <v>1.0</v>
      </c>
      <c r="H952" s="2">
        <v>0.0</v>
      </c>
      <c r="I952" s="2">
        <v>520000.0</v>
      </c>
      <c r="J952" s="2">
        <v>1.0</v>
      </c>
      <c r="K952" s="2">
        <v>7.0</v>
      </c>
      <c r="O952" s="2" t="s">
        <v>952</v>
      </c>
      <c r="P952" s="2" t="s">
        <v>166</v>
      </c>
      <c r="R952" s="2" t="s">
        <v>933</v>
      </c>
      <c r="S952" s="11">
        <v>42119.35408564815</v>
      </c>
    </row>
    <row r="953" ht="12.75" hidden="1" customHeight="1">
      <c r="A953" s="2" t="str">
        <f>IF(VLOOKUP(E953,Sheet4!$A$585:$B$786,2,0)=0,1, )</f>
        <v>1</v>
      </c>
      <c r="B953" s="2" t="str">
        <f t="shared" si="1"/>
        <v/>
      </c>
      <c r="C953" s="2" t="str">
        <f t="shared" si="2"/>
        <v>2900000005-8844</v>
      </c>
      <c r="D953" s="2">
        <v>3.20081794E8</v>
      </c>
      <c r="E953" s="2">
        <v>2.900000005E9</v>
      </c>
      <c r="F953" s="2">
        <v>8844.0</v>
      </c>
      <c r="G953" s="2">
        <v>1.0</v>
      </c>
      <c r="H953" s="2">
        <v>0.0</v>
      </c>
      <c r="I953" s="2">
        <v>520000.0</v>
      </c>
      <c r="J953" s="2">
        <v>1.0</v>
      </c>
      <c r="K953" s="2">
        <v>7.0</v>
      </c>
      <c r="O953" s="2" t="s">
        <v>952</v>
      </c>
      <c r="P953" s="2" t="s">
        <v>166</v>
      </c>
      <c r="R953" s="2" t="s">
        <v>933</v>
      </c>
      <c r="S953" s="11">
        <v>42220.59166666667</v>
      </c>
    </row>
    <row r="954" ht="12.75" hidden="1" customHeight="1">
      <c r="A954" s="2" t="str">
        <f>IF(VLOOKUP(E954,Sheet4!$A$585:$B$786,2,0)=0,1, )</f>
        <v>1</v>
      </c>
      <c r="B954" s="2" t="str">
        <f t="shared" si="1"/>
        <v>1</v>
      </c>
      <c r="C954" s="2" t="str">
        <f t="shared" si="2"/>
        <v>2900000006-1013</v>
      </c>
      <c r="D954" s="2">
        <v>3.20081797E8</v>
      </c>
      <c r="E954" s="2">
        <v>2.900000006E9</v>
      </c>
      <c r="F954" s="2">
        <v>1013.0</v>
      </c>
      <c r="G954" s="2">
        <v>1.0</v>
      </c>
      <c r="H954" s="2">
        <v>0.0</v>
      </c>
      <c r="I954" s="2">
        <v>230000.0</v>
      </c>
      <c r="J954" s="2">
        <v>1.0</v>
      </c>
      <c r="K954" s="2">
        <v>7.0</v>
      </c>
      <c r="O954" s="2" t="s">
        <v>459</v>
      </c>
      <c r="P954" s="2" t="s">
        <v>166</v>
      </c>
      <c r="R954" s="2" t="s">
        <v>933</v>
      </c>
      <c r="S954" s="11">
        <v>42220.59166666667</v>
      </c>
    </row>
    <row r="955" ht="12.75" hidden="1" customHeight="1">
      <c r="A955" s="2" t="str">
        <f>IF(VLOOKUP(E955,Sheet4!$A$585:$B$786,2,0)=0,1, )</f>
        <v>1</v>
      </c>
      <c r="B955" s="2" t="str">
        <f t="shared" si="1"/>
        <v/>
      </c>
      <c r="C955" s="2" t="str">
        <f t="shared" si="2"/>
        <v>2900000006-1013</v>
      </c>
      <c r="D955" s="2">
        <v>14.0</v>
      </c>
      <c r="E955" s="2">
        <v>2.900000006E9</v>
      </c>
      <c r="F955" s="2">
        <v>1013.0</v>
      </c>
      <c r="G955" s="2">
        <v>1.0</v>
      </c>
      <c r="H955" s="2">
        <v>0.0</v>
      </c>
      <c r="I955" s="2">
        <v>230000.0</v>
      </c>
      <c r="J955" s="2">
        <v>1.0</v>
      </c>
      <c r="K955" s="2">
        <v>7.0</v>
      </c>
      <c r="O955" s="2" t="s">
        <v>459</v>
      </c>
      <c r="P955" s="2" t="s">
        <v>166</v>
      </c>
      <c r="R955" s="2" t="s">
        <v>933</v>
      </c>
      <c r="S955" s="11">
        <v>42119.35459490741</v>
      </c>
    </row>
    <row r="956" ht="12.75" hidden="1" customHeight="1">
      <c r="A956" s="2" t="str">
        <f>IF(VLOOKUP(E956,Sheet4!$A$585:$B$786,2,0)=0,1, )</f>
        <v>1</v>
      </c>
      <c r="B956" s="2" t="str">
        <f t="shared" si="1"/>
        <v>1</v>
      </c>
      <c r="C956" s="2" t="str">
        <f t="shared" si="2"/>
        <v>2900000006-5396</v>
      </c>
      <c r="D956" s="2">
        <v>18.0</v>
      </c>
      <c r="E956" s="2">
        <v>2.900000006E9</v>
      </c>
      <c r="F956" s="2">
        <v>5396.0</v>
      </c>
      <c r="G956" s="2">
        <v>1.0</v>
      </c>
      <c r="H956" s="2">
        <v>0.0</v>
      </c>
      <c r="I956" s="2">
        <v>335000.0</v>
      </c>
      <c r="J956" s="2">
        <v>1.0</v>
      </c>
      <c r="K956" s="2">
        <v>7.0</v>
      </c>
      <c r="O956" s="2" t="s">
        <v>955</v>
      </c>
      <c r="P956" s="2" t="s">
        <v>166</v>
      </c>
      <c r="R956" s="2" t="s">
        <v>933</v>
      </c>
      <c r="S956" s="11">
        <v>42119.35459490741</v>
      </c>
    </row>
    <row r="957" ht="12.75" hidden="1" customHeight="1">
      <c r="A957" s="2" t="str">
        <f>IF(VLOOKUP(E957,Sheet4!$A$585:$B$786,2,0)=0,1, )</f>
        <v>1</v>
      </c>
      <c r="B957" s="2" t="str">
        <f t="shared" si="1"/>
        <v/>
      </c>
      <c r="C957" s="2" t="str">
        <f t="shared" si="2"/>
        <v>2900000006-5396</v>
      </c>
      <c r="D957" s="2">
        <v>3.20081801E8</v>
      </c>
      <c r="E957" s="2">
        <v>2.900000006E9</v>
      </c>
      <c r="F957" s="2">
        <v>5396.0</v>
      </c>
      <c r="G957" s="2">
        <v>1.0</v>
      </c>
      <c r="H957" s="2">
        <v>0.0</v>
      </c>
      <c r="I957" s="2">
        <v>335000.0</v>
      </c>
      <c r="J957" s="2">
        <v>1.0</v>
      </c>
      <c r="K957" s="2">
        <v>7.0</v>
      </c>
      <c r="O957" s="2" t="s">
        <v>955</v>
      </c>
      <c r="P957" s="2" t="s">
        <v>166</v>
      </c>
      <c r="R957" s="2" t="s">
        <v>933</v>
      </c>
      <c r="S957" s="11">
        <v>42220.591678240744</v>
      </c>
    </row>
    <row r="958" ht="12.75" hidden="1" customHeight="1">
      <c r="A958" s="2" t="str">
        <f>IF(VLOOKUP(E958,Sheet4!$A$585:$B$786,2,0)=0,1, )</f>
        <v>1</v>
      </c>
      <c r="B958" s="2" t="str">
        <f t="shared" si="1"/>
        <v>1</v>
      </c>
      <c r="C958" s="2" t="str">
        <f t="shared" si="2"/>
        <v>2900000006-5425</v>
      </c>
      <c r="D958" s="2">
        <v>3.200818E8</v>
      </c>
      <c r="E958" s="2">
        <v>2.900000006E9</v>
      </c>
      <c r="F958" s="2">
        <v>5425.0</v>
      </c>
      <c r="G958" s="2">
        <v>1.0</v>
      </c>
      <c r="H958" s="2">
        <v>0.0</v>
      </c>
      <c r="I958" s="2">
        <v>335000.0</v>
      </c>
      <c r="J958" s="2">
        <v>1.0</v>
      </c>
      <c r="K958" s="2">
        <v>7.0</v>
      </c>
      <c r="O958" s="2" t="s">
        <v>957</v>
      </c>
      <c r="P958" s="2" t="s">
        <v>166</v>
      </c>
      <c r="R958" s="2" t="s">
        <v>933</v>
      </c>
      <c r="S958" s="11">
        <v>42220.59166666667</v>
      </c>
    </row>
    <row r="959" ht="12.75" hidden="1" customHeight="1">
      <c r="A959" s="2" t="str">
        <f>IF(VLOOKUP(E959,Sheet4!$A$585:$B$786,2,0)=0,1, )</f>
        <v>1</v>
      </c>
      <c r="B959" s="2" t="str">
        <f t="shared" si="1"/>
        <v/>
      </c>
      <c r="C959" s="2" t="str">
        <f t="shared" si="2"/>
        <v>2900000006-5425</v>
      </c>
      <c r="D959" s="2">
        <v>17.0</v>
      </c>
      <c r="E959" s="2">
        <v>2.900000006E9</v>
      </c>
      <c r="F959" s="2">
        <v>5425.0</v>
      </c>
      <c r="G959" s="2">
        <v>1.0</v>
      </c>
      <c r="H959" s="2">
        <v>0.0</v>
      </c>
      <c r="I959" s="2">
        <v>335000.0</v>
      </c>
      <c r="J959" s="2">
        <v>1.0</v>
      </c>
      <c r="K959" s="2">
        <v>7.0</v>
      </c>
      <c r="O959" s="2" t="s">
        <v>957</v>
      </c>
      <c r="P959" s="2" t="s">
        <v>166</v>
      </c>
      <c r="R959" s="2" t="s">
        <v>933</v>
      </c>
      <c r="S959" s="11">
        <v>42119.35459490741</v>
      </c>
    </row>
    <row r="960" ht="12.75" hidden="1" customHeight="1">
      <c r="A960" s="2" t="str">
        <f>IF(VLOOKUP(E960,Sheet4!$A$585:$B$786,2,0)=0,1, )</f>
        <v>1</v>
      </c>
      <c r="B960" s="2" t="str">
        <f t="shared" si="1"/>
        <v>1</v>
      </c>
      <c r="C960" s="2" t="str">
        <f t="shared" si="2"/>
        <v>2900000006-6312</v>
      </c>
      <c r="D960" s="2">
        <v>15.0</v>
      </c>
      <c r="E960" s="2">
        <v>2.900000006E9</v>
      </c>
      <c r="F960" s="2">
        <v>6312.0</v>
      </c>
      <c r="G960" s="2">
        <v>1.0</v>
      </c>
      <c r="H960" s="2">
        <v>0.0</v>
      </c>
      <c r="I960" s="2">
        <v>120000.0</v>
      </c>
      <c r="J960" s="2">
        <v>1.0</v>
      </c>
      <c r="K960" s="2">
        <v>7.0</v>
      </c>
      <c r="O960" s="2" t="s">
        <v>264</v>
      </c>
      <c r="P960" s="2" t="s">
        <v>166</v>
      </c>
      <c r="R960" s="2" t="s">
        <v>933</v>
      </c>
      <c r="S960" s="11">
        <v>42119.35459490741</v>
      </c>
    </row>
    <row r="961" ht="12.75" hidden="1" customHeight="1">
      <c r="A961" s="2" t="str">
        <f>IF(VLOOKUP(E961,Sheet4!$A$585:$B$786,2,0)=0,1, )</f>
        <v>1</v>
      </c>
      <c r="B961" s="2" t="str">
        <f t="shared" si="1"/>
        <v/>
      </c>
      <c r="C961" s="2" t="str">
        <f t="shared" si="2"/>
        <v>2900000006-6312</v>
      </c>
      <c r="D961" s="2">
        <v>3.20081798E8</v>
      </c>
      <c r="E961" s="2">
        <v>2.900000006E9</v>
      </c>
      <c r="F961" s="2">
        <v>6312.0</v>
      </c>
      <c r="G961" s="2">
        <v>1.0</v>
      </c>
      <c r="H961" s="2">
        <v>0.0</v>
      </c>
      <c r="I961" s="2">
        <v>120000.0</v>
      </c>
      <c r="J961" s="2">
        <v>1.0</v>
      </c>
      <c r="K961" s="2">
        <v>7.0</v>
      </c>
      <c r="O961" s="2" t="s">
        <v>264</v>
      </c>
      <c r="P961" s="2" t="s">
        <v>166</v>
      </c>
      <c r="R961" s="2" t="s">
        <v>933</v>
      </c>
      <c r="S961" s="11">
        <v>42220.59166666667</v>
      </c>
    </row>
    <row r="962" ht="12.75" hidden="1" customHeight="1">
      <c r="A962" s="2" t="str">
        <f>IF(VLOOKUP(E962,Sheet4!$A$585:$B$786,2,0)=0,1, )</f>
        <v>1</v>
      </c>
      <c r="B962" s="2" t="str">
        <f t="shared" si="1"/>
        <v>1</v>
      </c>
      <c r="C962" s="2" t="str">
        <f t="shared" si="2"/>
        <v>2900000006-13222</v>
      </c>
      <c r="D962" s="2">
        <v>3.20081799E8</v>
      </c>
      <c r="E962" s="2">
        <v>2.900000006E9</v>
      </c>
      <c r="F962" s="2">
        <v>13222.0</v>
      </c>
      <c r="G962" s="2">
        <v>1.0</v>
      </c>
      <c r="H962" s="2">
        <v>0.0</v>
      </c>
      <c r="I962" s="2">
        <v>75000.0</v>
      </c>
      <c r="J962" s="2">
        <v>1.0</v>
      </c>
      <c r="K962" s="2">
        <v>7.0</v>
      </c>
      <c r="O962" s="2" t="s">
        <v>946</v>
      </c>
      <c r="P962" s="2" t="s">
        <v>166</v>
      </c>
      <c r="R962" s="2" t="s">
        <v>933</v>
      </c>
      <c r="S962" s="11">
        <v>42220.59166666667</v>
      </c>
    </row>
    <row r="963" ht="12.75" hidden="1" customHeight="1">
      <c r="A963" s="2" t="str">
        <f>IF(VLOOKUP(E963,Sheet4!$A$585:$B$786,2,0)=0,1, )</f>
        <v>1</v>
      </c>
      <c r="B963" s="2" t="str">
        <f t="shared" si="1"/>
        <v/>
      </c>
      <c r="C963" s="2" t="str">
        <f t="shared" si="2"/>
        <v>2900000006-13222</v>
      </c>
      <c r="D963" s="2">
        <v>16.0</v>
      </c>
      <c r="E963" s="2">
        <v>2.900000006E9</v>
      </c>
      <c r="F963" s="2">
        <v>13222.0</v>
      </c>
      <c r="G963" s="2">
        <v>1.0</v>
      </c>
      <c r="H963" s="2">
        <v>0.0</v>
      </c>
      <c r="I963" s="2">
        <v>75000.0</v>
      </c>
      <c r="J963" s="2">
        <v>1.0</v>
      </c>
      <c r="K963" s="2">
        <v>7.0</v>
      </c>
      <c r="O963" s="2" t="s">
        <v>946</v>
      </c>
      <c r="P963" s="2" t="s">
        <v>166</v>
      </c>
      <c r="R963" s="2" t="s">
        <v>933</v>
      </c>
      <c r="S963" s="11">
        <v>42119.35459490741</v>
      </c>
    </row>
    <row r="964" ht="12.75" hidden="1" customHeight="1">
      <c r="A964" s="2" t="str">
        <f>IF(VLOOKUP(E964,Sheet4!$A$585:$B$786,2,0)=0,1, )</f>
        <v>1</v>
      </c>
      <c r="B964" s="2" t="str">
        <f t="shared" si="1"/>
        <v>1</v>
      </c>
      <c r="C964" s="2" t="str">
        <f t="shared" si="2"/>
        <v>2900000007-58</v>
      </c>
      <c r="D964" s="2">
        <v>23.0</v>
      </c>
      <c r="E964" s="2">
        <v>2.900000007E9</v>
      </c>
      <c r="F964" s="2">
        <v>58.0</v>
      </c>
      <c r="G964" s="2">
        <v>1.0</v>
      </c>
      <c r="H964" s="2">
        <v>0.0</v>
      </c>
      <c r="I964" s="2">
        <v>120000.0</v>
      </c>
      <c r="J964" s="2">
        <v>1.0</v>
      </c>
      <c r="K964" s="2">
        <v>7.0</v>
      </c>
      <c r="O964" s="2" t="s">
        <v>948</v>
      </c>
      <c r="P964" s="2" t="s">
        <v>166</v>
      </c>
      <c r="R964" s="2" t="s">
        <v>933</v>
      </c>
      <c r="S964" s="11">
        <v>42119.35524305556</v>
      </c>
    </row>
    <row r="965" ht="12.75" hidden="1" customHeight="1">
      <c r="A965" s="2" t="str">
        <f>IF(VLOOKUP(E965,Sheet4!$A$585:$B$786,2,0)=0,1, )</f>
        <v>1</v>
      </c>
      <c r="B965" s="2" t="str">
        <f t="shared" si="1"/>
        <v/>
      </c>
      <c r="C965" s="2" t="str">
        <f t="shared" si="2"/>
        <v>2900000007-58</v>
      </c>
      <c r="D965" s="2">
        <v>3.20081804E8</v>
      </c>
      <c r="E965" s="2">
        <v>2.900000007E9</v>
      </c>
      <c r="F965" s="2">
        <v>58.0</v>
      </c>
      <c r="G965" s="2">
        <v>1.0</v>
      </c>
      <c r="H965" s="2">
        <v>0.0</v>
      </c>
      <c r="I965" s="2">
        <v>120000.0</v>
      </c>
      <c r="J965" s="2">
        <v>1.0</v>
      </c>
      <c r="K965" s="2">
        <v>7.0</v>
      </c>
      <c r="O965" s="2" t="s">
        <v>948</v>
      </c>
      <c r="P965" s="2" t="s">
        <v>166</v>
      </c>
      <c r="R965" s="2" t="s">
        <v>933</v>
      </c>
      <c r="S965" s="11">
        <v>42220.591678240744</v>
      </c>
    </row>
    <row r="966" ht="12.75" hidden="1" customHeight="1">
      <c r="A966" s="2" t="str">
        <f>IF(VLOOKUP(E966,Sheet4!$A$585:$B$786,2,0)=0,1, )</f>
        <v>1</v>
      </c>
      <c r="B966" s="2" t="str">
        <f t="shared" si="1"/>
        <v>1</v>
      </c>
      <c r="C966" s="2" t="str">
        <f t="shared" si="2"/>
        <v>2900000007-920</v>
      </c>
      <c r="D966" s="2">
        <v>3.20081805E8</v>
      </c>
      <c r="E966" s="2">
        <v>2.900000007E9</v>
      </c>
      <c r="F966" s="2">
        <v>920.0</v>
      </c>
      <c r="G966" s="2">
        <v>1.0</v>
      </c>
      <c r="H966" s="2">
        <v>0.0</v>
      </c>
      <c r="I966" s="2">
        <v>278000.0</v>
      </c>
      <c r="J966" s="2">
        <v>1.0</v>
      </c>
      <c r="K966" s="2">
        <v>7.0</v>
      </c>
      <c r="O966" s="2" t="s">
        <v>962</v>
      </c>
      <c r="P966" s="2" t="s">
        <v>166</v>
      </c>
      <c r="R966" s="2" t="s">
        <v>933</v>
      </c>
      <c r="S966" s="11">
        <v>42220.591678240744</v>
      </c>
    </row>
    <row r="967" ht="12.75" hidden="1" customHeight="1">
      <c r="A967" s="2" t="str">
        <f>IF(VLOOKUP(E967,Sheet4!$A$585:$B$786,2,0)=0,1, )</f>
        <v>1</v>
      </c>
      <c r="B967" s="2" t="str">
        <f t="shared" si="1"/>
        <v/>
      </c>
      <c r="C967" s="2" t="str">
        <f t="shared" si="2"/>
        <v>2900000007-920</v>
      </c>
      <c r="D967" s="2">
        <v>24.0</v>
      </c>
      <c r="E967" s="2">
        <v>2.900000007E9</v>
      </c>
      <c r="F967" s="2">
        <v>920.0</v>
      </c>
      <c r="G967" s="2">
        <v>1.0</v>
      </c>
      <c r="H967" s="2">
        <v>0.0</v>
      </c>
      <c r="I967" s="2">
        <v>278000.0</v>
      </c>
      <c r="J967" s="2">
        <v>1.0</v>
      </c>
      <c r="K967" s="2">
        <v>7.0</v>
      </c>
      <c r="O967" s="2" t="s">
        <v>962</v>
      </c>
      <c r="P967" s="2" t="s">
        <v>166</v>
      </c>
      <c r="R967" s="2" t="s">
        <v>933</v>
      </c>
      <c r="S967" s="11">
        <v>42119.35524305556</v>
      </c>
    </row>
    <row r="968" ht="12.75" hidden="1" customHeight="1">
      <c r="A968" s="2" t="str">
        <f>IF(VLOOKUP(E968,Sheet4!$A$585:$B$786,2,0)=0,1, )</f>
        <v>1</v>
      </c>
      <c r="B968" s="2" t="str">
        <f t="shared" si="1"/>
        <v>1</v>
      </c>
      <c r="C968" s="2" t="str">
        <f t="shared" si="2"/>
        <v>2900000007-4737</v>
      </c>
      <c r="D968" s="2">
        <v>21.0</v>
      </c>
      <c r="E968" s="2">
        <v>2.900000007E9</v>
      </c>
      <c r="F968" s="2">
        <v>4737.0</v>
      </c>
      <c r="G968" s="2">
        <v>1.0</v>
      </c>
      <c r="H968" s="2">
        <v>0.0</v>
      </c>
      <c r="I968" s="2">
        <v>75000.0</v>
      </c>
      <c r="J968" s="2">
        <v>1.0</v>
      </c>
      <c r="K968" s="2">
        <v>7.0</v>
      </c>
      <c r="O968" s="2" t="s">
        <v>964</v>
      </c>
      <c r="P968" s="2" t="s">
        <v>965</v>
      </c>
      <c r="R968" s="2" t="s">
        <v>933</v>
      </c>
      <c r="S968" s="11">
        <v>42119.35524305556</v>
      </c>
    </row>
    <row r="969" ht="12.75" hidden="1" customHeight="1">
      <c r="A969" s="2" t="str">
        <f>IF(VLOOKUP(E969,Sheet4!$A$585:$B$786,2,0)=0,1, )</f>
        <v>1</v>
      </c>
      <c r="B969" s="2" t="str">
        <f t="shared" si="1"/>
        <v/>
      </c>
      <c r="C969" s="2" t="str">
        <f t="shared" si="2"/>
        <v>2900000007-4737</v>
      </c>
      <c r="D969" s="2">
        <v>3.20081802E8</v>
      </c>
      <c r="E969" s="2">
        <v>2.900000007E9</v>
      </c>
      <c r="F969" s="2">
        <v>4737.0</v>
      </c>
      <c r="G969" s="2">
        <v>1.0</v>
      </c>
      <c r="H969" s="2">
        <v>0.0</v>
      </c>
      <c r="I969" s="2">
        <v>75000.0</v>
      </c>
      <c r="J969" s="2">
        <v>1.0</v>
      </c>
      <c r="K969" s="2">
        <v>7.0</v>
      </c>
      <c r="O969" s="2" t="s">
        <v>964</v>
      </c>
      <c r="P969" s="2" t="s">
        <v>965</v>
      </c>
      <c r="R969" s="2" t="s">
        <v>933</v>
      </c>
      <c r="S969" s="11">
        <v>42220.591678240744</v>
      </c>
    </row>
    <row r="970" ht="12.75" hidden="1" customHeight="1">
      <c r="A970" s="2" t="str">
        <f>IF(VLOOKUP(E970,Sheet4!$A$585:$B$786,2,0)=0,1, )</f>
        <v>1</v>
      </c>
      <c r="B970" s="2" t="str">
        <f t="shared" si="1"/>
        <v>1</v>
      </c>
      <c r="C970" s="2" t="str">
        <f t="shared" si="2"/>
        <v>2900000007-8528</v>
      </c>
      <c r="D970" s="2">
        <v>3.20081803E8</v>
      </c>
      <c r="E970" s="2">
        <v>2.900000007E9</v>
      </c>
      <c r="F970" s="2">
        <v>8528.0</v>
      </c>
      <c r="G970" s="2">
        <v>1.0</v>
      </c>
      <c r="H970" s="2">
        <v>0.0</v>
      </c>
      <c r="I970" s="2">
        <v>55000.0</v>
      </c>
      <c r="J970" s="2">
        <v>1.0</v>
      </c>
      <c r="K970" s="2">
        <v>7.0</v>
      </c>
      <c r="O970" s="2" t="s">
        <v>531</v>
      </c>
      <c r="P970" s="2" t="s">
        <v>166</v>
      </c>
      <c r="R970" s="2" t="s">
        <v>933</v>
      </c>
      <c r="S970" s="11">
        <v>42220.591678240744</v>
      </c>
    </row>
    <row r="971" ht="12.75" hidden="1" customHeight="1">
      <c r="A971" s="2" t="str">
        <f>IF(VLOOKUP(E971,Sheet4!$A$585:$B$786,2,0)=0,1, )</f>
        <v>1</v>
      </c>
      <c r="B971" s="2" t="str">
        <f t="shared" si="1"/>
        <v/>
      </c>
      <c r="C971" s="2" t="str">
        <f t="shared" si="2"/>
        <v>2900000007-8528</v>
      </c>
      <c r="D971" s="2">
        <v>22.0</v>
      </c>
      <c r="E971" s="2">
        <v>2.900000007E9</v>
      </c>
      <c r="F971" s="2">
        <v>8528.0</v>
      </c>
      <c r="G971" s="2">
        <v>1.0</v>
      </c>
      <c r="H971" s="2">
        <v>0.0</v>
      </c>
      <c r="I971" s="2">
        <v>55000.0</v>
      </c>
      <c r="J971" s="2">
        <v>1.0</v>
      </c>
      <c r="K971" s="2">
        <v>7.0</v>
      </c>
      <c r="O971" s="2" t="s">
        <v>531</v>
      </c>
      <c r="P971" s="2" t="s">
        <v>166</v>
      </c>
      <c r="R971" s="2" t="s">
        <v>933</v>
      </c>
      <c r="S971" s="11">
        <v>42119.35524305556</v>
      </c>
    </row>
    <row r="972" ht="12.75" hidden="1" customHeight="1">
      <c r="A972" s="2" t="str">
        <f>IF(VLOOKUP(E972,Sheet4!$A$585:$B$786,2,0)=0,1, )</f>
        <v>1</v>
      </c>
      <c r="B972" s="2" t="str">
        <f t="shared" si="1"/>
        <v>1</v>
      </c>
      <c r="C972" s="2" t="str">
        <f t="shared" si="2"/>
        <v>2900000008-1012</v>
      </c>
      <c r="D972" s="2">
        <v>27.0</v>
      </c>
      <c r="E972" s="2">
        <v>2.900000008E9</v>
      </c>
      <c r="F972" s="2">
        <v>1012.0</v>
      </c>
      <c r="G972" s="2">
        <v>1.0</v>
      </c>
      <c r="H972" s="2">
        <v>4700.0</v>
      </c>
      <c r="I972" s="2">
        <v>235000.0</v>
      </c>
      <c r="J972" s="2">
        <v>1.0</v>
      </c>
      <c r="K972" s="2">
        <v>7.0</v>
      </c>
      <c r="O972" s="2" t="s">
        <v>968</v>
      </c>
      <c r="P972" s="2" t="s">
        <v>166</v>
      </c>
      <c r="R972" s="2" t="s">
        <v>933</v>
      </c>
      <c r="S972" s="11">
        <v>42119.35702546296</v>
      </c>
    </row>
    <row r="973" ht="12.75" hidden="1" customHeight="1">
      <c r="A973" s="2" t="str">
        <f>IF(VLOOKUP(E973,Sheet4!$A$585:$B$786,2,0)=0,1, )</f>
        <v>1</v>
      </c>
      <c r="B973" s="2" t="str">
        <f t="shared" si="1"/>
        <v/>
      </c>
      <c r="C973" s="2" t="str">
        <f t="shared" si="2"/>
        <v>2900000008-1012</v>
      </c>
      <c r="D973" s="2">
        <v>3.20081808E8</v>
      </c>
      <c r="E973" s="2">
        <v>2.900000008E9</v>
      </c>
      <c r="F973" s="2">
        <v>1012.0</v>
      </c>
      <c r="G973" s="2">
        <v>1.0</v>
      </c>
      <c r="H973" s="2">
        <v>4700.0</v>
      </c>
      <c r="I973" s="2">
        <v>235000.0</v>
      </c>
      <c r="J973" s="2">
        <v>1.0</v>
      </c>
      <c r="K973" s="2">
        <v>7.0</v>
      </c>
      <c r="O973" s="2" t="s">
        <v>968</v>
      </c>
      <c r="P973" s="2" t="s">
        <v>166</v>
      </c>
      <c r="R973" s="2" t="s">
        <v>933</v>
      </c>
      <c r="S973" s="11">
        <v>42220.591678240744</v>
      </c>
    </row>
    <row r="974" ht="12.75" hidden="1" customHeight="1">
      <c r="A974" s="2" t="str">
        <f>IF(VLOOKUP(E974,Sheet4!$A$585:$B$786,2,0)=0,1, )</f>
        <v>1</v>
      </c>
      <c r="B974" s="2" t="str">
        <f t="shared" si="1"/>
        <v>1</v>
      </c>
      <c r="C974" s="2" t="str">
        <f t="shared" si="2"/>
        <v>2900000008-2626</v>
      </c>
      <c r="D974" s="2">
        <v>3.20081807E8</v>
      </c>
      <c r="E974" s="2">
        <v>2.900000008E9</v>
      </c>
      <c r="F974" s="2">
        <v>2626.0</v>
      </c>
      <c r="G974" s="2">
        <v>1.0</v>
      </c>
      <c r="H974" s="2">
        <v>8360.0</v>
      </c>
      <c r="I974" s="2">
        <v>418000.0</v>
      </c>
      <c r="J974" s="2">
        <v>1.0</v>
      </c>
      <c r="K974" s="2">
        <v>7.0</v>
      </c>
      <c r="O974" s="2" t="s">
        <v>970</v>
      </c>
      <c r="P974" s="2" t="s">
        <v>166</v>
      </c>
      <c r="R974" s="2" t="s">
        <v>933</v>
      </c>
      <c r="S974" s="11">
        <v>42220.591678240744</v>
      </c>
    </row>
    <row r="975" ht="12.75" hidden="1" customHeight="1">
      <c r="A975" s="2" t="str">
        <f>IF(VLOOKUP(E975,Sheet4!$A$585:$B$786,2,0)=0,1, )</f>
        <v>1</v>
      </c>
      <c r="B975" s="2" t="str">
        <f t="shared" si="1"/>
        <v/>
      </c>
      <c r="C975" s="2" t="str">
        <f t="shared" si="2"/>
        <v>2900000008-2626</v>
      </c>
      <c r="D975" s="2">
        <v>26.0</v>
      </c>
      <c r="E975" s="2">
        <v>2.900000008E9</v>
      </c>
      <c r="F975" s="2">
        <v>2626.0</v>
      </c>
      <c r="G975" s="2">
        <v>1.0</v>
      </c>
      <c r="H975" s="2">
        <v>8360.0</v>
      </c>
      <c r="I975" s="2">
        <v>418000.0</v>
      </c>
      <c r="J975" s="2">
        <v>1.0</v>
      </c>
      <c r="K975" s="2">
        <v>7.0</v>
      </c>
      <c r="O975" s="2" t="s">
        <v>970</v>
      </c>
      <c r="P975" s="2" t="s">
        <v>166</v>
      </c>
      <c r="R975" s="2" t="s">
        <v>933</v>
      </c>
      <c r="S975" s="11">
        <v>42119.35702546296</v>
      </c>
    </row>
    <row r="976" ht="12.75" hidden="1" customHeight="1">
      <c r="A976" s="2" t="str">
        <f>IF(VLOOKUP(E976,Sheet4!$A$585:$B$786,2,0)=0,1, )</f>
        <v>1</v>
      </c>
      <c r="B976" s="2" t="str">
        <f t="shared" si="1"/>
        <v>1</v>
      </c>
      <c r="C976" s="2" t="str">
        <f t="shared" si="2"/>
        <v>2900000008-7861</v>
      </c>
      <c r="D976" s="2">
        <v>25.0</v>
      </c>
      <c r="E976" s="2">
        <v>2.900000008E9</v>
      </c>
      <c r="F976" s="2">
        <v>7861.0</v>
      </c>
      <c r="G976" s="2">
        <v>1.0</v>
      </c>
      <c r="H976" s="2">
        <v>8700.0</v>
      </c>
      <c r="I976" s="2">
        <v>435000.0</v>
      </c>
      <c r="J976" s="2">
        <v>1.0</v>
      </c>
      <c r="K976" s="2">
        <v>7.0</v>
      </c>
      <c r="O976" s="2" t="s">
        <v>972</v>
      </c>
      <c r="P976" s="2" t="s">
        <v>166</v>
      </c>
      <c r="R976" s="2" t="s">
        <v>933</v>
      </c>
      <c r="S976" s="11">
        <v>42119.35702546296</v>
      </c>
    </row>
    <row r="977" ht="12.75" hidden="1" customHeight="1">
      <c r="A977" s="2" t="str">
        <f>IF(VLOOKUP(E977,Sheet4!$A$585:$B$786,2,0)=0,1, )</f>
        <v>1</v>
      </c>
      <c r="B977" s="2" t="str">
        <f t="shared" si="1"/>
        <v/>
      </c>
      <c r="C977" s="2" t="str">
        <f t="shared" si="2"/>
        <v>2900000008-7861</v>
      </c>
      <c r="D977" s="2">
        <v>3.20081806E8</v>
      </c>
      <c r="E977" s="2">
        <v>2.900000008E9</v>
      </c>
      <c r="F977" s="2">
        <v>7861.0</v>
      </c>
      <c r="G977" s="2">
        <v>1.0</v>
      </c>
      <c r="H977" s="2">
        <v>8700.0</v>
      </c>
      <c r="I977" s="2">
        <v>435000.0</v>
      </c>
      <c r="J977" s="2">
        <v>1.0</v>
      </c>
      <c r="K977" s="2">
        <v>7.0</v>
      </c>
      <c r="O977" s="2" t="s">
        <v>972</v>
      </c>
      <c r="P977" s="2" t="s">
        <v>166</v>
      </c>
      <c r="R977" s="2" t="s">
        <v>933</v>
      </c>
      <c r="S977" s="11">
        <v>42220.591678240744</v>
      </c>
    </row>
    <row r="978" ht="12.75" hidden="1" customHeight="1">
      <c r="A978" s="2" t="str">
        <f>IF(VLOOKUP(E978,Sheet4!$A$585:$B$786,2,0)=0,1, )</f>
        <v>1</v>
      </c>
      <c r="B978" s="2" t="str">
        <f t="shared" si="1"/>
        <v>1</v>
      </c>
      <c r="C978" s="2" t="str">
        <f t="shared" si="2"/>
        <v>2900000008-9118</v>
      </c>
      <c r="D978" s="2">
        <v>3.20081809E8</v>
      </c>
      <c r="E978" s="2">
        <v>2.900000008E9</v>
      </c>
      <c r="F978" s="2">
        <v>9118.0</v>
      </c>
      <c r="G978" s="2">
        <v>1.0</v>
      </c>
      <c r="H978" s="2">
        <v>680.0</v>
      </c>
      <c r="I978" s="2">
        <v>34000.0</v>
      </c>
      <c r="J978" s="2">
        <v>1.0</v>
      </c>
      <c r="K978" s="2">
        <v>7.0</v>
      </c>
      <c r="O978" s="2" t="s">
        <v>974</v>
      </c>
      <c r="P978" s="2" t="s">
        <v>166</v>
      </c>
      <c r="R978" s="2" t="s">
        <v>933</v>
      </c>
      <c r="S978" s="11">
        <v>42220.591678240744</v>
      </c>
    </row>
    <row r="979" ht="12.75" hidden="1" customHeight="1">
      <c r="A979" s="2" t="str">
        <f>IF(VLOOKUP(E979,Sheet4!$A$585:$B$786,2,0)=0,1, )</f>
        <v>1</v>
      </c>
      <c r="B979" s="2" t="str">
        <f t="shared" si="1"/>
        <v/>
      </c>
      <c r="C979" s="2" t="str">
        <f t="shared" si="2"/>
        <v>2900000008-9118</v>
      </c>
      <c r="D979" s="2">
        <v>28.0</v>
      </c>
      <c r="E979" s="2">
        <v>2.900000008E9</v>
      </c>
      <c r="F979" s="2">
        <v>9118.0</v>
      </c>
      <c r="G979" s="2">
        <v>1.0</v>
      </c>
      <c r="H979" s="2">
        <v>680.0</v>
      </c>
      <c r="I979" s="2">
        <v>34000.0</v>
      </c>
      <c r="J979" s="2">
        <v>1.0</v>
      </c>
      <c r="K979" s="2">
        <v>7.0</v>
      </c>
      <c r="O979" s="2" t="s">
        <v>974</v>
      </c>
      <c r="P979" s="2" t="s">
        <v>166</v>
      </c>
      <c r="R979" s="2" t="s">
        <v>933</v>
      </c>
      <c r="S979" s="11">
        <v>42119.35702546296</v>
      </c>
    </row>
    <row r="980" ht="12.75" hidden="1" customHeight="1">
      <c r="A980" s="2" t="str">
        <f>IF(VLOOKUP(E980,Sheet4!$A$585:$B$786,2,0)=0,1, )</f>
        <v>1</v>
      </c>
      <c r="B980" s="2" t="str">
        <f t="shared" si="1"/>
        <v>1</v>
      </c>
      <c r="C980" s="2" t="str">
        <f t="shared" si="2"/>
        <v>2900000009-12920</v>
      </c>
      <c r="D980" s="2">
        <v>29.0</v>
      </c>
      <c r="E980" s="2">
        <v>2.900000009E9</v>
      </c>
      <c r="F980" s="2">
        <v>12920.0</v>
      </c>
      <c r="G980" s="2">
        <v>1.0</v>
      </c>
      <c r="H980" s="2">
        <v>0.0</v>
      </c>
      <c r="I980" s="2">
        <v>260000.0</v>
      </c>
      <c r="J980" s="2">
        <v>1.0</v>
      </c>
      <c r="K980" s="2">
        <v>7.0</v>
      </c>
      <c r="O980" s="2" t="s">
        <v>976</v>
      </c>
      <c r="P980" s="2" t="s">
        <v>166</v>
      </c>
      <c r="R980" s="2" t="s">
        <v>933</v>
      </c>
      <c r="S980" s="11">
        <v>42119.35736111111</v>
      </c>
    </row>
    <row r="981" ht="12.75" hidden="1" customHeight="1">
      <c r="A981" s="2" t="str">
        <f>IF(VLOOKUP(E981,Sheet4!$A$585:$B$786,2,0)=0,1, )</f>
        <v>1</v>
      </c>
      <c r="B981" s="2" t="str">
        <f t="shared" si="1"/>
        <v/>
      </c>
      <c r="C981" s="2" t="str">
        <f t="shared" si="2"/>
        <v>2900000009-12920</v>
      </c>
      <c r="D981" s="2">
        <v>3.2008181E8</v>
      </c>
      <c r="E981" s="2">
        <v>2.900000009E9</v>
      </c>
      <c r="F981" s="2">
        <v>12920.0</v>
      </c>
      <c r="G981" s="2">
        <v>1.0</v>
      </c>
      <c r="H981" s="2">
        <v>0.0</v>
      </c>
      <c r="I981" s="2">
        <v>260000.0</v>
      </c>
      <c r="J981" s="2">
        <v>1.0</v>
      </c>
      <c r="K981" s="2">
        <v>7.0</v>
      </c>
      <c r="O981" s="2" t="s">
        <v>976</v>
      </c>
      <c r="P981" s="2" t="s">
        <v>166</v>
      </c>
      <c r="R981" s="2" t="s">
        <v>933</v>
      </c>
      <c r="S981" s="11">
        <v>42220.591678240744</v>
      </c>
    </row>
    <row r="982" ht="12.75" hidden="1" customHeight="1">
      <c r="A982" s="2" t="str">
        <f>IF(VLOOKUP(E982,Sheet4!$A$585:$B$786,2,0)=0,1, )</f>
        <v>1</v>
      </c>
      <c r="B982" s="2" t="str">
        <f t="shared" si="1"/>
        <v>1</v>
      </c>
      <c r="C982" s="2" t="str">
        <f t="shared" si="2"/>
        <v>2900003144-6262</v>
      </c>
      <c r="D982" s="2">
        <v>3.20075854E8</v>
      </c>
      <c r="E982" s="2">
        <v>2.900003144E9</v>
      </c>
      <c r="F982" s="2">
        <v>6262.0</v>
      </c>
      <c r="G982" s="2">
        <v>1.0</v>
      </c>
      <c r="H982" s="2">
        <v>0.0</v>
      </c>
      <c r="I982" s="2">
        <v>289000.0</v>
      </c>
      <c r="J982" s="2">
        <v>1.0</v>
      </c>
      <c r="K982" s="2">
        <v>7.0</v>
      </c>
      <c r="O982" s="2" t="s">
        <v>978</v>
      </c>
      <c r="P982" s="2" t="s">
        <v>166</v>
      </c>
      <c r="R982" s="2" t="s">
        <v>933</v>
      </c>
      <c r="S982" s="11">
        <v>42212.72883101852</v>
      </c>
    </row>
    <row r="983" ht="12.75" hidden="1" customHeight="1">
      <c r="A983" s="2" t="str">
        <f>IF(VLOOKUP(E983,Sheet4!$A$585:$B$786,2,0)=0,1, )</f>
        <v>1</v>
      </c>
      <c r="B983" s="2" t="str">
        <f t="shared" si="1"/>
        <v/>
      </c>
      <c r="C983" s="2" t="str">
        <f t="shared" si="2"/>
        <v>2900003144-6262</v>
      </c>
      <c r="D983" s="2">
        <v>3.20081814E8</v>
      </c>
      <c r="E983" s="2">
        <v>2.900003144E9</v>
      </c>
      <c r="F983" s="2">
        <v>6262.0</v>
      </c>
      <c r="G983" s="2">
        <v>1.0</v>
      </c>
      <c r="H983" s="2">
        <v>0.0</v>
      </c>
      <c r="I983" s="2">
        <v>289000.0</v>
      </c>
      <c r="J983" s="2">
        <v>1.0</v>
      </c>
      <c r="K983" s="2">
        <v>7.0</v>
      </c>
      <c r="O983" s="2" t="s">
        <v>978</v>
      </c>
      <c r="P983" s="2" t="s">
        <v>166</v>
      </c>
      <c r="R983" s="2" t="s">
        <v>933</v>
      </c>
      <c r="S983" s="11">
        <v>42220.59392361111</v>
      </c>
    </row>
    <row r="984" ht="12.75" hidden="1" customHeight="1">
      <c r="A984" s="2" t="str">
        <f>IF(VLOOKUP(E984,Sheet4!$A$585:$B$786,2,0)=0,1, )</f>
        <v>1</v>
      </c>
      <c r="B984" s="2" t="str">
        <f t="shared" si="1"/>
        <v>1</v>
      </c>
      <c r="C984" s="2" t="str">
        <f t="shared" si="2"/>
        <v>2900003144-8702</v>
      </c>
      <c r="D984" s="2">
        <v>3.20075856E8</v>
      </c>
      <c r="E984" s="2">
        <v>2.900003144E9</v>
      </c>
      <c r="F984" s="2">
        <v>8702.0</v>
      </c>
      <c r="G984" s="2">
        <v>1.0</v>
      </c>
      <c r="H984" s="2">
        <v>0.0</v>
      </c>
      <c r="I984" s="2">
        <v>187000.0</v>
      </c>
      <c r="J984" s="2">
        <v>1.0</v>
      </c>
      <c r="K984" s="2">
        <v>7.0</v>
      </c>
      <c r="O984" s="2" t="s">
        <v>980</v>
      </c>
      <c r="P984" s="2" t="s">
        <v>166</v>
      </c>
      <c r="R984" s="2" t="s">
        <v>933</v>
      </c>
      <c r="S984" s="11">
        <v>42212.72883101852</v>
      </c>
    </row>
    <row r="985" ht="12.75" hidden="1" customHeight="1">
      <c r="A985" s="2" t="str">
        <f>IF(VLOOKUP(E985,Sheet4!$A$585:$B$786,2,0)=0,1, )</f>
        <v>1</v>
      </c>
      <c r="B985" s="2" t="str">
        <f t="shared" si="1"/>
        <v/>
      </c>
      <c r="C985" s="2" t="str">
        <f t="shared" si="2"/>
        <v>2900003144-8702</v>
      </c>
      <c r="D985" s="2">
        <v>3.20081816E8</v>
      </c>
      <c r="E985" s="2">
        <v>2.900003144E9</v>
      </c>
      <c r="F985" s="2">
        <v>8702.0</v>
      </c>
      <c r="G985" s="2">
        <v>1.0</v>
      </c>
      <c r="H985" s="2">
        <v>0.0</v>
      </c>
      <c r="I985" s="2">
        <v>187000.0</v>
      </c>
      <c r="J985" s="2">
        <v>1.0</v>
      </c>
      <c r="K985" s="2">
        <v>7.0</v>
      </c>
      <c r="O985" s="2" t="s">
        <v>980</v>
      </c>
      <c r="P985" s="2" t="s">
        <v>166</v>
      </c>
      <c r="R985" s="2" t="s">
        <v>933</v>
      </c>
      <c r="S985" s="11">
        <v>42220.59392361111</v>
      </c>
    </row>
    <row r="986" ht="12.75" hidden="1" customHeight="1">
      <c r="A986" s="2" t="str">
        <f>IF(VLOOKUP(E986,Sheet4!$A$585:$B$786,2,0)=0,1, )</f>
        <v>1</v>
      </c>
      <c r="B986" s="2" t="str">
        <f t="shared" si="1"/>
        <v>1</v>
      </c>
      <c r="C986" s="2" t="str">
        <f t="shared" si="2"/>
        <v>2900003144-8705</v>
      </c>
      <c r="D986" s="2">
        <v>3.20075857E8</v>
      </c>
      <c r="E986" s="2">
        <v>2.900003144E9</v>
      </c>
      <c r="F986" s="2">
        <v>8705.0</v>
      </c>
      <c r="G986" s="2">
        <v>1.0</v>
      </c>
      <c r="H986" s="2">
        <v>0.0</v>
      </c>
      <c r="I986" s="2">
        <v>199000.0</v>
      </c>
      <c r="J986" s="2">
        <v>1.0</v>
      </c>
      <c r="K986" s="2">
        <v>7.0</v>
      </c>
      <c r="O986" s="2" t="s">
        <v>982</v>
      </c>
      <c r="P986" s="2" t="s">
        <v>166</v>
      </c>
      <c r="R986" s="2" t="s">
        <v>933</v>
      </c>
      <c r="S986" s="11">
        <v>42212.72883101852</v>
      </c>
    </row>
    <row r="987" ht="12.75" hidden="1" customHeight="1">
      <c r="A987" s="2" t="str">
        <f>IF(VLOOKUP(E987,Sheet4!$A$585:$B$786,2,0)=0,1, )</f>
        <v>1</v>
      </c>
      <c r="B987" s="2" t="str">
        <f t="shared" si="1"/>
        <v/>
      </c>
      <c r="C987" s="2" t="str">
        <f t="shared" si="2"/>
        <v>2900003144-8705</v>
      </c>
      <c r="D987" s="2">
        <v>3.20081817E8</v>
      </c>
      <c r="E987" s="2">
        <v>2.900003144E9</v>
      </c>
      <c r="F987" s="2">
        <v>8705.0</v>
      </c>
      <c r="G987" s="2">
        <v>1.0</v>
      </c>
      <c r="H987" s="2">
        <v>0.0</v>
      </c>
      <c r="I987" s="2">
        <v>199000.0</v>
      </c>
      <c r="J987" s="2">
        <v>1.0</v>
      </c>
      <c r="K987" s="2">
        <v>7.0</v>
      </c>
      <c r="O987" s="2" t="s">
        <v>982</v>
      </c>
      <c r="P987" s="2" t="s">
        <v>166</v>
      </c>
      <c r="R987" s="2" t="s">
        <v>933</v>
      </c>
      <c r="S987" s="11">
        <v>42220.593935185185</v>
      </c>
    </row>
    <row r="988" ht="12.75" hidden="1" customHeight="1">
      <c r="A988" s="2" t="str">
        <f>IF(VLOOKUP(E988,Sheet4!$A$585:$B$786,2,0)=0,1, )</f>
        <v>1</v>
      </c>
      <c r="B988" s="2" t="str">
        <f t="shared" si="1"/>
        <v>1</v>
      </c>
      <c r="C988" s="2" t="str">
        <f t="shared" si="2"/>
        <v>2900003144-13935</v>
      </c>
      <c r="D988" s="2">
        <v>3.20075855E8</v>
      </c>
      <c r="E988" s="2">
        <v>2.900003144E9</v>
      </c>
      <c r="F988" s="2">
        <v>13935.0</v>
      </c>
      <c r="G988" s="2">
        <v>1.0</v>
      </c>
      <c r="H988" s="2">
        <v>0.0</v>
      </c>
      <c r="I988" s="2">
        <v>111000.0</v>
      </c>
      <c r="J988" s="2">
        <v>1.0</v>
      </c>
      <c r="K988" s="2">
        <v>7.0</v>
      </c>
      <c r="O988" s="2" t="s">
        <v>984</v>
      </c>
      <c r="P988" s="2" t="s">
        <v>166</v>
      </c>
      <c r="R988" s="2" t="s">
        <v>933</v>
      </c>
      <c r="S988" s="11">
        <v>42212.72883101852</v>
      </c>
    </row>
    <row r="989" ht="12.75" hidden="1" customHeight="1">
      <c r="A989" s="2" t="str">
        <f>IF(VLOOKUP(E989,Sheet4!$A$585:$B$786,2,0)=0,1, )</f>
        <v>1</v>
      </c>
      <c r="B989" s="2" t="str">
        <f t="shared" si="1"/>
        <v/>
      </c>
      <c r="C989" s="2" t="str">
        <f t="shared" si="2"/>
        <v>2900003144-13935</v>
      </c>
      <c r="D989" s="2">
        <v>3.20081815E8</v>
      </c>
      <c r="E989" s="2">
        <v>2.900003144E9</v>
      </c>
      <c r="F989" s="2">
        <v>13935.0</v>
      </c>
      <c r="G989" s="2">
        <v>1.0</v>
      </c>
      <c r="H989" s="2">
        <v>0.0</v>
      </c>
      <c r="I989" s="2">
        <v>111000.0</v>
      </c>
      <c r="J989" s="2">
        <v>1.0</v>
      </c>
      <c r="K989" s="2">
        <v>7.0</v>
      </c>
      <c r="O989" s="2" t="s">
        <v>984</v>
      </c>
      <c r="P989" s="2" t="s">
        <v>166</v>
      </c>
      <c r="R989" s="2" t="s">
        <v>933</v>
      </c>
      <c r="S989" s="11">
        <v>42220.59392361111</v>
      </c>
    </row>
    <row r="990" ht="12.75" hidden="1" customHeight="1">
      <c r="A990" s="2" t="str">
        <f>IF(VLOOKUP(E990,Sheet4!$A$585:$B$786,2,0)=0,1, )</f>
        <v>1</v>
      </c>
      <c r="B990" s="2" t="str">
        <f t="shared" si="1"/>
        <v>1</v>
      </c>
      <c r="C990" s="2" t="str">
        <f t="shared" si="2"/>
        <v>2900003145-58</v>
      </c>
      <c r="D990" s="2">
        <v>3.20075893E8</v>
      </c>
      <c r="E990" s="2">
        <v>2.900003145E9</v>
      </c>
      <c r="F990" s="2">
        <v>58.0</v>
      </c>
      <c r="G990" s="2">
        <v>1.0</v>
      </c>
      <c r="H990" s="2">
        <v>0.0</v>
      </c>
      <c r="I990" s="2">
        <v>120000.0</v>
      </c>
      <c r="J990" s="2">
        <v>1.0</v>
      </c>
      <c r="K990" s="2">
        <v>7.0</v>
      </c>
      <c r="O990" s="2" t="s">
        <v>948</v>
      </c>
      <c r="P990" s="2" t="s">
        <v>166</v>
      </c>
      <c r="R990" s="2" t="s">
        <v>933</v>
      </c>
      <c r="S990" s="11">
        <v>42212.74694444444</v>
      </c>
    </row>
    <row r="991" ht="12.75" hidden="1" customHeight="1">
      <c r="A991" s="2" t="str">
        <f>IF(VLOOKUP(E991,Sheet4!$A$585:$B$786,2,0)=0,1, )</f>
        <v>1</v>
      </c>
      <c r="B991" s="2" t="str">
        <f t="shared" si="1"/>
        <v/>
      </c>
      <c r="C991" s="2" t="str">
        <f t="shared" si="2"/>
        <v>2900003145-58</v>
      </c>
      <c r="D991" s="2">
        <v>3.20081821E8</v>
      </c>
      <c r="E991" s="2">
        <v>2.900003145E9</v>
      </c>
      <c r="F991" s="2">
        <v>58.0</v>
      </c>
      <c r="G991" s="2">
        <v>1.0</v>
      </c>
      <c r="H991" s="2">
        <v>0.0</v>
      </c>
      <c r="I991" s="2">
        <v>120000.0</v>
      </c>
      <c r="J991" s="2">
        <v>1.0</v>
      </c>
      <c r="K991" s="2">
        <v>7.0</v>
      </c>
      <c r="O991" s="2" t="s">
        <v>948</v>
      </c>
      <c r="P991" s="2" t="s">
        <v>166</v>
      </c>
      <c r="R991" s="2" t="s">
        <v>933</v>
      </c>
      <c r="S991" s="11">
        <v>42220.593935185185</v>
      </c>
    </row>
    <row r="992" ht="12.75" hidden="1" customHeight="1">
      <c r="A992" s="2" t="str">
        <f>IF(VLOOKUP(E992,Sheet4!$A$585:$B$786,2,0)=0,1, )</f>
        <v>1</v>
      </c>
      <c r="B992" s="2" t="str">
        <f t="shared" si="1"/>
        <v>1</v>
      </c>
      <c r="C992" s="2" t="str">
        <f t="shared" si="2"/>
        <v>2900003145-4985</v>
      </c>
      <c r="D992" s="2">
        <v>3.2008182E8</v>
      </c>
      <c r="E992" s="2">
        <v>2.900003145E9</v>
      </c>
      <c r="F992" s="2">
        <v>4985.0</v>
      </c>
      <c r="G992" s="2">
        <v>1.0</v>
      </c>
      <c r="H992" s="2">
        <v>0.0</v>
      </c>
      <c r="I992" s="2">
        <v>125000.0</v>
      </c>
      <c r="J992" s="2">
        <v>1.0</v>
      </c>
      <c r="K992" s="2">
        <v>7.0</v>
      </c>
      <c r="O992" s="2" t="s">
        <v>775</v>
      </c>
      <c r="P992" s="2" t="s">
        <v>166</v>
      </c>
      <c r="R992" s="2" t="s">
        <v>933</v>
      </c>
      <c r="S992" s="11">
        <v>42220.593935185185</v>
      </c>
    </row>
    <row r="993" ht="12.75" hidden="1" customHeight="1">
      <c r="A993" s="2" t="str">
        <f>IF(VLOOKUP(E993,Sheet4!$A$585:$B$786,2,0)=0,1, )</f>
        <v>1</v>
      </c>
      <c r="B993" s="2" t="str">
        <f t="shared" si="1"/>
        <v/>
      </c>
      <c r="C993" s="2" t="str">
        <f t="shared" si="2"/>
        <v>2900003145-4985</v>
      </c>
      <c r="D993" s="2">
        <v>3.20075892E8</v>
      </c>
      <c r="E993" s="2">
        <v>2.900003145E9</v>
      </c>
      <c r="F993" s="2">
        <v>4985.0</v>
      </c>
      <c r="G993" s="2">
        <v>1.0</v>
      </c>
      <c r="H993" s="2">
        <v>0.0</v>
      </c>
      <c r="I993" s="2">
        <v>125000.0</v>
      </c>
      <c r="J993" s="2">
        <v>1.0</v>
      </c>
      <c r="K993" s="2">
        <v>7.0</v>
      </c>
      <c r="O993" s="2" t="s">
        <v>775</v>
      </c>
      <c r="P993" s="2" t="s">
        <v>166</v>
      </c>
      <c r="R993" s="2" t="s">
        <v>933</v>
      </c>
      <c r="S993" s="11">
        <v>42212.74694444444</v>
      </c>
    </row>
    <row r="994" ht="12.75" hidden="1" customHeight="1">
      <c r="A994" s="2" t="str">
        <f>IF(VLOOKUP(E994,Sheet4!$A$585:$B$786,2,0)=0,1, )</f>
        <v>1</v>
      </c>
      <c r="B994" s="2" t="str">
        <f t="shared" si="1"/>
        <v>1</v>
      </c>
      <c r="C994" s="2" t="str">
        <f t="shared" si="2"/>
        <v>2900003145-5251</v>
      </c>
      <c r="D994" s="2">
        <v>3.20075894E8</v>
      </c>
      <c r="E994" s="2">
        <v>2.900003145E9</v>
      </c>
      <c r="F994" s="2">
        <v>5251.0</v>
      </c>
      <c r="G994" s="2">
        <v>1.0</v>
      </c>
      <c r="H994" s="2">
        <v>0.0</v>
      </c>
      <c r="I994" s="2">
        <v>195000.0</v>
      </c>
      <c r="J994" s="2">
        <v>1.0</v>
      </c>
      <c r="K994" s="2">
        <v>7.0</v>
      </c>
      <c r="O994" s="2" t="s">
        <v>988</v>
      </c>
      <c r="P994" s="2" t="s">
        <v>166</v>
      </c>
      <c r="R994" s="2" t="s">
        <v>933</v>
      </c>
      <c r="S994" s="11">
        <v>42212.74694444444</v>
      </c>
    </row>
    <row r="995" ht="12.75" hidden="1" customHeight="1">
      <c r="A995" s="2" t="str">
        <f>IF(VLOOKUP(E995,Sheet4!$A$585:$B$786,2,0)=0,1, )</f>
        <v>1</v>
      </c>
      <c r="B995" s="2" t="str">
        <f t="shared" si="1"/>
        <v/>
      </c>
      <c r="C995" s="2" t="str">
        <f t="shared" si="2"/>
        <v>2900003145-5251</v>
      </c>
      <c r="D995" s="2">
        <v>3.20081822E8</v>
      </c>
      <c r="E995" s="2">
        <v>2.900003145E9</v>
      </c>
      <c r="F995" s="2">
        <v>5251.0</v>
      </c>
      <c r="G995" s="2">
        <v>1.0</v>
      </c>
      <c r="H995" s="2">
        <v>0.0</v>
      </c>
      <c r="I995" s="2">
        <v>195000.0</v>
      </c>
      <c r="J995" s="2">
        <v>1.0</v>
      </c>
      <c r="K995" s="2">
        <v>7.0</v>
      </c>
      <c r="O995" s="2" t="s">
        <v>988</v>
      </c>
      <c r="P995" s="2" t="s">
        <v>166</v>
      </c>
      <c r="R995" s="2" t="s">
        <v>933</v>
      </c>
      <c r="S995" s="11">
        <v>42220.593935185185</v>
      </c>
    </row>
    <row r="996" ht="12.75" hidden="1" customHeight="1">
      <c r="A996" s="2" t="str">
        <f>IF(VLOOKUP(E996,Sheet4!$A$585:$B$786,2,0)=0,1, )</f>
        <v>1</v>
      </c>
      <c r="B996" s="2" t="str">
        <f t="shared" si="1"/>
        <v>1</v>
      </c>
      <c r="C996" s="2" t="str">
        <f t="shared" si="2"/>
        <v>2900003145-6538</v>
      </c>
      <c r="D996" s="2">
        <v>3.20075895E8</v>
      </c>
      <c r="E996" s="2">
        <v>2.900003145E9</v>
      </c>
      <c r="F996" s="2">
        <v>6538.0</v>
      </c>
      <c r="G996" s="2">
        <v>1.0</v>
      </c>
      <c r="H996" s="2">
        <v>0.0</v>
      </c>
      <c r="I996" s="2">
        <v>495000.0</v>
      </c>
      <c r="J996" s="2">
        <v>1.0</v>
      </c>
      <c r="K996" s="2">
        <v>7.0</v>
      </c>
      <c r="O996" s="2" t="s">
        <v>990</v>
      </c>
      <c r="P996" s="2" t="s">
        <v>166</v>
      </c>
      <c r="R996" s="2" t="s">
        <v>933</v>
      </c>
      <c r="S996" s="11">
        <v>42212.74694444444</v>
      </c>
    </row>
    <row r="997" ht="12.75" hidden="1" customHeight="1">
      <c r="A997" s="2" t="str">
        <f>IF(VLOOKUP(E997,Sheet4!$A$585:$B$786,2,0)=0,1, )</f>
        <v>1</v>
      </c>
      <c r="B997" s="2" t="str">
        <f t="shared" si="1"/>
        <v/>
      </c>
      <c r="C997" s="2" t="str">
        <f t="shared" si="2"/>
        <v>2900003145-6538</v>
      </c>
      <c r="D997" s="2">
        <v>3.20081823E8</v>
      </c>
      <c r="E997" s="2">
        <v>2.900003145E9</v>
      </c>
      <c r="F997" s="2">
        <v>6538.0</v>
      </c>
      <c r="G997" s="2">
        <v>1.0</v>
      </c>
      <c r="H997" s="2">
        <v>0.0</v>
      </c>
      <c r="I997" s="2">
        <v>495000.0</v>
      </c>
      <c r="J997" s="2">
        <v>1.0</v>
      </c>
      <c r="K997" s="2">
        <v>7.0</v>
      </c>
      <c r="O997" s="2" t="s">
        <v>990</v>
      </c>
      <c r="P997" s="2" t="s">
        <v>166</v>
      </c>
      <c r="R997" s="2" t="s">
        <v>933</v>
      </c>
      <c r="S997" s="11">
        <v>42220.593935185185</v>
      </c>
    </row>
    <row r="998" ht="12.75" hidden="1" customHeight="1">
      <c r="A998" s="2" t="str">
        <f>IF(VLOOKUP(E998,Sheet4!$A$585:$B$786,2,0)=0,1, )</f>
        <v>1</v>
      </c>
      <c r="B998" s="2" t="str">
        <f t="shared" si="1"/>
        <v>1</v>
      </c>
      <c r="C998" s="2" t="str">
        <f t="shared" si="2"/>
        <v>2900003146-2641</v>
      </c>
      <c r="D998" s="2">
        <v>3.20081819E8</v>
      </c>
      <c r="E998" s="2">
        <v>2.900003146E9</v>
      </c>
      <c r="F998" s="2">
        <v>2641.0</v>
      </c>
      <c r="G998" s="2">
        <v>1.0</v>
      </c>
      <c r="H998" s="2">
        <v>0.0</v>
      </c>
      <c r="I998" s="2">
        <v>341000.0</v>
      </c>
      <c r="J998" s="2">
        <v>1.0</v>
      </c>
      <c r="K998" s="2">
        <v>7.0</v>
      </c>
      <c r="O998" s="2" t="s">
        <v>992</v>
      </c>
      <c r="P998" s="2" t="s">
        <v>166</v>
      </c>
      <c r="R998" s="2" t="s">
        <v>933</v>
      </c>
      <c r="S998" s="11">
        <v>42220.593935185185</v>
      </c>
    </row>
    <row r="999" ht="12.75" hidden="1" customHeight="1">
      <c r="A999" s="2" t="str">
        <f>IF(VLOOKUP(E999,Sheet4!$A$585:$B$786,2,0)=0,1, )</f>
        <v>1</v>
      </c>
      <c r="B999" s="2" t="str">
        <f t="shared" si="1"/>
        <v/>
      </c>
      <c r="C999" s="2" t="str">
        <f t="shared" si="2"/>
        <v>2900003146-2641</v>
      </c>
      <c r="D999" s="2">
        <v>3.20075888E8</v>
      </c>
      <c r="E999" s="2">
        <v>2.900003146E9</v>
      </c>
      <c r="F999" s="2">
        <v>2641.0</v>
      </c>
      <c r="G999" s="2">
        <v>1.0</v>
      </c>
      <c r="H999" s="2">
        <v>0.0</v>
      </c>
      <c r="I999" s="2">
        <v>341000.0</v>
      </c>
      <c r="J999" s="2">
        <v>1.0</v>
      </c>
      <c r="K999" s="2">
        <v>7.0</v>
      </c>
      <c r="O999" s="2" t="s">
        <v>992</v>
      </c>
      <c r="P999" s="2" t="s">
        <v>166</v>
      </c>
      <c r="R999" s="2" t="s">
        <v>933</v>
      </c>
      <c r="S999" s="11">
        <v>42212.7440162037</v>
      </c>
    </row>
    <row r="1000" ht="12.75" hidden="1" customHeight="1">
      <c r="A1000" s="2" t="str">
        <f>IF(VLOOKUP(E1000,Sheet4!$A$585:$B$786,2,0)=0,1, )</f>
        <v>1</v>
      </c>
      <c r="B1000" s="2" t="str">
        <f t="shared" si="1"/>
        <v>1</v>
      </c>
      <c r="C1000" s="2" t="str">
        <f t="shared" si="2"/>
        <v>2900003146-6209</v>
      </c>
      <c r="D1000" s="2">
        <v>3.20081818E8</v>
      </c>
      <c r="E1000" s="2">
        <v>2.900003146E9</v>
      </c>
      <c r="F1000" s="2">
        <v>6209.0</v>
      </c>
      <c r="G1000" s="2">
        <v>1.0</v>
      </c>
      <c r="H1000" s="2">
        <v>0.0</v>
      </c>
      <c r="I1000" s="2">
        <v>55000.0</v>
      </c>
      <c r="J1000" s="2">
        <v>1.0</v>
      </c>
      <c r="K1000" s="2">
        <v>7.0</v>
      </c>
      <c r="O1000" s="2" t="s">
        <v>994</v>
      </c>
      <c r="P1000" s="2" t="s">
        <v>166</v>
      </c>
      <c r="R1000" s="2" t="s">
        <v>933</v>
      </c>
      <c r="S1000" s="11">
        <v>42220.593935185185</v>
      </c>
    </row>
    <row r="1001" ht="12.75" hidden="1" customHeight="1">
      <c r="A1001" s="2" t="str">
        <f>IF(VLOOKUP(E1001,Sheet4!$A$585:$B$786,2,0)=0,1, )</f>
        <v>1</v>
      </c>
      <c r="B1001" s="2" t="str">
        <f t="shared" si="1"/>
        <v/>
      </c>
      <c r="C1001" s="2" t="str">
        <f t="shared" si="2"/>
        <v>2900003146-6209</v>
      </c>
      <c r="D1001" s="2">
        <v>3.20075887E8</v>
      </c>
      <c r="E1001" s="2">
        <v>2.900003146E9</v>
      </c>
      <c r="F1001" s="2">
        <v>6209.0</v>
      </c>
      <c r="G1001" s="2">
        <v>1.0</v>
      </c>
      <c r="H1001" s="2">
        <v>0.0</v>
      </c>
      <c r="I1001" s="2">
        <v>55000.0</v>
      </c>
      <c r="J1001" s="2">
        <v>1.0</v>
      </c>
      <c r="K1001" s="2">
        <v>7.0</v>
      </c>
      <c r="O1001" s="2" t="s">
        <v>994</v>
      </c>
      <c r="P1001" s="2" t="s">
        <v>166</v>
      </c>
      <c r="R1001" s="2" t="s">
        <v>933</v>
      </c>
      <c r="S1001" s="11">
        <v>42212.7440162037</v>
      </c>
    </row>
    <row r="1002" ht="12.75" hidden="1" customHeight="1">
      <c r="A1002" s="2" t="str">
        <f>IF(VLOOKUP(E1002,Sheet4!$A$585:$B$786,2,0)=0,1, )</f>
        <v>1</v>
      </c>
      <c r="B1002" s="2" t="str">
        <f t="shared" si="1"/>
        <v>1</v>
      </c>
      <c r="C1002" s="2" t="str">
        <f t="shared" si="2"/>
        <v>2900003147-4806</v>
      </c>
      <c r="D1002" s="2">
        <v>3.20075911E8</v>
      </c>
      <c r="E1002" s="2">
        <v>2.900003147E9</v>
      </c>
      <c r="F1002" s="2">
        <v>4806.0</v>
      </c>
      <c r="G1002" s="2">
        <v>1.0</v>
      </c>
      <c r="H1002" s="2">
        <v>0.0</v>
      </c>
      <c r="I1002" s="2">
        <v>86000.0</v>
      </c>
      <c r="J1002" s="2">
        <v>1.0</v>
      </c>
      <c r="K1002" s="2">
        <v>7.0</v>
      </c>
      <c r="O1002" s="2" t="s">
        <v>864</v>
      </c>
      <c r="P1002" s="2" t="s">
        <v>166</v>
      </c>
      <c r="R1002" s="2" t="s">
        <v>933</v>
      </c>
      <c r="S1002" s="11">
        <v>42212.75679398148</v>
      </c>
    </row>
    <row r="1003" ht="12.75" hidden="1" customHeight="1">
      <c r="A1003" s="2" t="str">
        <f>IF(VLOOKUP(E1003,Sheet4!$A$585:$B$786,2,0)=0,1, )</f>
        <v>1</v>
      </c>
      <c r="B1003" s="2" t="str">
        <f t="shared" si="1"/>
        <v/>
      </c>
      <c r="C1003" s="2" t="str">
        <f t="shared" si="2"/>
        <v>2900003147-4806</v>
      </c>
      <c r="D1003" s="2">
        <v>3.20081824E8</v>
      </c>
      <c r="E1003" s="2">
        <v>2.900003147E9</v>
      </c>
      <c r="F1003" s="2">
        <v>4806.0</v>
      </c>
      <c r="G1003" s="2">
        <v>1.0</v>
      </c>
      <c r="H1003" s="2">
        <v>0.0</v>
      </c>
      <c r="I1003" s="2">
        <v>86000.0</v>
      </c>
      <c r="J1003" s="2">
        <v>1.0</v>
      </c>
      <c r="K1003" s="2">
        <v>7.0</v>
      </c>
      <c r="O1003" s="2" t="s">
        <v>864</v>
      </c>
      <c r="P1003" s="2" t="s">
        <v>166</v>
      </c>
      <c r="R1003" s="2" t="s">
        <v>933</v>
      </c>
      <c r="S1003" s="11">
        <v>42220.593935185185</v>
      </c>
    </row>
    <row r="1004" ht="12.75" hidden="1" customHeight="1">
      <c r="A1004" s="2" t="str">
        <f>IF(VLOOKUP(E1004,Sheet4!$A$585:$B$786,2,0)=0,1, )</f>
        <v>1</v>
      </c>
      <c r="B1004" s="2" t="str">
        <f t="shared" si="1"/>
        <v>1</v>
      </c>
      <c r="C1004" s="2" t="str">
        <f t="shared" si="2"/>
        <v>2900003148-7735</v>
      </c>
      <c r="D1004" s="2">
        <v>3.20081825E8</v>
      </c>
      <c r="E1004" s="2">
        <v>2.900003148E9</v>
      </c>
      <c r="F1004" s="2">
        <v>7735.0</v>
      </c>
      <c r="G1004" s="2">
        <v>1.0</v>
      </c>
      <c r="H1004" s="2">
        <v>0.0</v>
      </c>
      <c r="I1004" s="2">
        <v>455000.0</v>
      </c>
      <c r="J1004" s="2">
        <v>1.0</v>
      </c>
      <c r="K1004" s="2">
        <v>7.0</v>
      </c>
      <c r="O1004" s="2" t="s">
        <v>997</v>
      </c>
      <c r="P1004" s="2" t="s">
        <v>166</v>
      </c>
      <c r="R1004" s="2" t="s">
        <v>933</v>
      </c>
      <c r="S1004" s="11">
        <v>42220.593935185185</v>
      </c>
    </row>
    <row r="1005" ht="12.75" hidden="1" customHeight="1">
      <c r="A1005" s="2" t="str">
        <f>IF(VLOOKUP(E1005,Sheet4!$A$585:$B$786,2,0)=0,1, )</f>
        <v>1</v>
      </c>
      <c r="B1005" s="2" t="str">
        <f t="shared" si="1"/>
        <v/>
      </c>
      <c r="C1005" s="2" t="str">
        <f t="shared" si="2"/>
        <v>2900003148-7735</v>
      </c>
      <c r="D1005" s="2">
        <v>3.20075947E8</v>
      </c>
      <c r="E1005" s="2">
        <v>2.900003148E9</v>
      </c>
      <c r="F1005" s="2">
        <v>7735.0</v>
      </c>
      <c r="G1005" s="2">
        <v>1.0</v>
      </c>
      <c r="H1005" s="2">
        <v>0.0</v>
      </c>
      <c r="I1005" s="2">
        <v>455000.0</v>
      </c>
      <c r="J1005" s="2">
        <v>1.0</v>
      </c>
      <c r="K1005" s="2">
        <v>7.0</v>
      </c>
      <c r="O1005" s="2" t="s">
        <v>997</v>
      </c>
      <c r="P1005" s="2" t="s">
        <v>166</v>
      </c>
      <c r="R1005" s="2" t="s">
        <v>933</v>
      </c>
      <c r="S1005" s="11">
        <v>42212.81914351852</v>
      </c>
    </row>
    <row r="1006" ht="12.75" hidden="1" customHeight="1">
      <c r="A1006" s="2" t="str">
        <f>IF(VLOOKUP(E1006,Sheet4!$A$585:$B$786,2,0)=0,1, )</f>
        <v>1</v>
      </c>
      <c r="B1006" s="2" t="str">
        <f t="shared" si="1"/>
        <v>1</v>
      </c>
      <c r="C1006" s="2" t="str">
        <f t="shared" si="2"/>
        <v>2900003149-4410</v>
      </c>
      <c r="D1006" s="2">
        <v>3.20081826E8</v>
      </c>
      <c r="E1006" s="2">
        <v>2.900003149E9</v>
      </c>
      <c r="F1006" s="2">
        <v>4410.0</v>
      </c>
      <c r="G1006" s="2">
        <v>1.0</v>
      </c>
      <c r="H1006" s="2">
        <v>0.0</v>
      </c>
      <c r="I1006" s="2">
        <v>99000.0</v>
      </c>
      <c r="J1006" s="2">
        <v>1.0</v>
      </c>
      <c r="K1006" s="2">
        <v>7.0</v>
      </c>
      <c r="O1006" s="2" t="s">
        <v>999</v>
      </c>
      <c r="P1006" s="2" t="s">
        <v>166</v>
      </c>
      <c r="R1006" s="2" t="s">
        <v>933</v>
      </c>
      <c r="S1006" s="11">
        <v>42220.593935185185</v>
      </c>
    </row>
    <row r="1007" ht="12.75" hidden="1" customHeight="1">
      <c r="A1007" s="2" t="str">
        <f>IF(VLOOKUP(E1007,Sheet4!$A$585:$B$786,2,0)=0,1, )</f>
        <v>1</v>
      </c>
      <c r="B1007" s="2" t="str">
        <f t="shared" si="1"/>
        <v/>
      </c>
      <c r="C1007" s="2" t="str">
        <f t="shared" si="2"/>
        <v>2900003149-4410</v>
      </c>
      <c r="D1007" s="2">
        <v>3.20075962E8</v>
      </c>
      <c r="E1007" s="2">
        <v>2.900003149E9</v>
      </c>
      <c r="F1007" s="2">
        <v>4410.0</v>
      </c>
      <c r="G1007" s="2">
        <v>1.0</v>
      </c>
      <c r="H1007" s="2">
        <v>0.0</v>
      </c>
      <c r="I1007" s="2">
        <v>99000.0</v>
      </c>
      <c r="J1007" s="2">
        <v>1.0</v>
      </c>
      <c r="K1007" s="2">
        <v>7.0</v>
      </c>
      <c r="O1007" s="2" t="s">
        <v>999</v>
      </c>
      <c r="P1007" s="2" t="s">
        <v>166</v>
      </c>
      <c r="R1007" s="2" t="s">
        <v>933</v>
      </c>
      <c r="S1007" s="11">
        <v>42212.84684027778</v>
      </c>
    </row>
    <row r="1008" ht="12.75" hidden="1" customHeight="1">
      <c r="A1008" s="2" t="str">
        <f>IF(VLOOKUP(E1008,Sheet4!$A$585:$B$786,2,0)=0,1, )</f>
        <v>1</v>
      </c>
      <c r="B1008" s="2" t="str">
        <f t="shared" si="1"/>
        <v>1</v>
      </c>
      <c r="C1008" s="2" t="str">
        <f t="shared" si="2"/>
        <v>2900003150-1941</v>
      </c>
      <c r="D1008" s="2">
        <v>3.2007597E8</v>
      </c>
      <c r="E1008" s="2">
        <v>2.90000315E9</v>
      </c>
      <c r="F1008" s="2">
        <v>1941.0</v>
      </c>
      <c r="G1008" s="2">
        <v>1.0</v>
      </c>
      <c r="H1008" s="2">
        <v>0.0</v>
      </c>
      <c r="I1008" s="2">
        <v>118000.0</v>
      </c>
      <c r="J1008" s="2">
        <v>1.0</v>
      </c>
      <c r="K1008" s="2">
        <v>7.0</v>
      </c>
      <c r="O1008" s="2" t="s">
        <v>1001</v>
      </c>
      <c r="P1008" s="2" t="s">
        <v>166</v>
      </c>
      <c r="R1008" s="2" t="s">
        <v>933</v>
      </c>
      <c r="S1008" s="11">
        <v>42212.861666666664</v>
      </c>
    </row>
    <row r="1009" ht="12.75" hidden="1" customHeight="1">
      <c r="A1009" s="2" t="str">
        <f>IF(VLOOKUP(E1009,Sheet4!$A$585:$B$786,2,0)=0,1, )</f>
        <v>1</v>
      </c>
      <c r="B1009" s="2" t="str">
        <f t="shared" si="1"/>
        <v/>
      </c>
      <c r="C1009" s="2" t="str">
        <f t="shared" si="2"/>
        <v>2900003150-1941</v>
      </c>
      <c r="D1009" s="2">
        <v>3.20081827E8</v>
      </c>
      <c r="E1009" s="2">
        <v>2.90000315E9</v>
      </c>
      <c r="F1009" s="2">
        <v>1941.0</v>
      </c>
      <c r="G1009" s="2">
        <v>1.0</v>
      </c>
      <c r="H1009" s="2">
        <v>0.0</v>
      </c>
      <c r="I1009" s="2">
        <v>118000.0</v>
      </c>
      <c r="J1009" s="2">
        <v>1.0</v>
      </c>
      <c r="K1009" s="2">
        <v>7.0</v>
      </c>
      <c r="O1009" s="2" t="s">
        <v>1001</v>
      </c>
      <c r="P1009" s="2" t="s">
        <v>166</v>
      </c>
      <c r="R1009" s="2" t="s">
        <v>933</v>
      </c>
      <c r="S1009" s="11">
        <v>42220.593935185185</v>
      </c>
    </row>
    <row r="1010" ht="12.75" hidden="1" customHeight="1">
      <c r="A1010" s="2" t="str">
        <f>IF(VLOOKUP(E1010,Sheet4!$A$585:$B$786,2,0)=0,1, )</f>
        <v>1</v>
      </c>
      <c r="B1010" s="2" t="str">
        <f t="shared" si="1"/>
        <v>1</v>
      </c>
      <c r="C1010" s="2" t="str">
        <f t="shared" si="2"/>
        <v>2900003150-13787</v>
      </c>
      <c r="D1010" s="2">
        <v>3.20081828E8</v>
      </c>
      <c r="E1010" s="2">
        <v>2.90000315E9</v>
      </c>
      <c r="F1010" s="2">
        <v>13787.0</v>
      </c>
      <c r="G1010" s="2">
        <v>1.0</v>
      </c>
      <c r="H1010" s="2">
        <v>0.0</v>
      </c>
      <c r="I1010" s="2">
        <v>127000.0</v>
      </c>
      <c r="J1010" s="2">
        <v>1.0</v>
      </c>
      <c r="K1010" s="2">
        <v>7.0</v>
      </c>
      <c r="O1010" s="2" t="s">
        <v>1003</v>
      </c>
      <c r="P1010" s="2" t="s">
        <v>166</v>
      </c>
      <c r="R1010" s="2" t="s">
        <v>933</v>
      </c>
      <c r="S1010" s="11">
        <v>42220.593935185185</v>
      </c>
    </row>
    <row r="1011" ht="12.75" hidden="1" customHeight="1">
      <c r="A1011" s="2" t="str">
        <f>IF(VLOOKUP(E1011,Sheet4!$A$585:$B$786,2,0)=0,1, )</f>
        <v>1</v>
      </c>
      <c r="B1011" s="2" t="str">
        <f t="shared" si="1"/>
        <v/>
      </c>
      <c r="C1011" s="2" t="str">
        <f t="shared" si="2"/>
        <v>2900003150-13787</v>
      </c>
      <c r="D1011" s="2">
        <v>3.20075971E8</v>
      </c>
      <c r="E1011" s="2">
        <v>2.90000315E9</v>
      </c>
      <c r="F1011" s="2">
        <v>13787.0</v>
      </c>
      <c r="G1011" s="2">
        <v>1.0</v>
      </c>
      <c r="H1011" s="2">
        <v>0.0</v>
      </c>
      <c r="I1011" s="2">
        <v>127000.0</v>
      </c>
      <c r="J1011" s="2">
        <v>1.0</v>
      </c>
      <c r="K1011" s="2">
        <v>7.0</v>
      </c>
      <c r="O1011" s="2" t="s">
        <v>1003</v>
      </c>
      <c r="P1011" s="2" t="s">
        <v>166</v>
      </c>
      <c r="R1011" s="2" t="s">
        <v>933</v>
      </c>
      <c r="S1011" s="11">
        <v>42212.86167824074</v>
      </c>
    </row>
    <row r="1012" ht="12.75" hidden="1" customHeight="1">
      <c r="A1012" s="2" t="str">
        <f>IF(VLOOKUP(E1012,Sheet4!$A$585:$B$786,2,0)=0,1, )</f>
        <v>1</v>
      </c>
      <c r="B1012" s="2" t="str">
        <f t="shared" si="1"/>
        <v>1</v>
      </c>
      <c r="C1012" s="2" t="str">
        <f t="shared" si="2"/>
        <v>2900003151-13049</v>
      </c>
      <c r="D1012" s="2">
        <v>3.20076499E8</v>
      </c>
      <c r="E1012" s="2">
        <v>2.900003151E9</v>
      </c>
      <c r="F1012" s="2">
        <v>13049.0</v>
      </c>
      <c r="G1012" s="2">
        <v>1.0</v>
      </c>
      <c r="H1012" s="2">
        <v>0.0</v>
      </c>
      <c r="I1012" s="2">
        <v>99000.0</v>
      </c>
      <c r="J1012" s="2">
        <v>1.0</v>
      </c>
      <c r="K1012" s="2">
        <v>7.0</v>
      </c>
      <c r="O1012" s="2" t="s">
        <v>589</v>
      </c>
      <c r="P1012" s="2" t="s">
        <v>166</v>
      </c>
      <c r="R1012" s="2" t="s">
        <v>933</v>
      </c>
      <c r="S1012" s="11">
        <v>42213.33898148148</v>
      </c>
    </row>
    <row r="1013" ht="12.75" hidden="1" customHeight="1">
      <c r="A1013" s="2" t="str">
        <f>IF(VLOOKUP(E1013,Sheet4!$A$585:$B$786,2,0)=0,1, )</f>
        <v>1</v>
      </c>
      <c r="B1013" s="2" t="str">
        <f t="shared" si="1"/>
        <v/>
      </c>
      <c r="C1013" s="2" t="str">
        <f t="shared" si="2"/>
        <v>2900003151-13049</v>
      </c>
      <c r="D1013" s="2">
        <v>3.20081829E8</v>
      </c>
      <c r="E1013" s="2">
        <v>2.900003151E9</v>
      </c>
      <c r="F1013" s="2">
        <v>13049.0</v>
      </c>
      <c r="G1013" s="2">
        <v>1.0</v>
      </c>
      <c r="H1013" s="2">
        <v>0.0</v>
      </c>
      <c r="I1013" s="2">
        <v>99000.0</v>
      </c>
      <c r="J1013" s="2">
        <v>1.0</v>
      </c>
      <c r="K1013" s="2">
        <v>7.0</v>
      </c>
      <c r="O1013" s="2" t="s">
        <v>589</v>
      </c>
      <c r="P1013" s="2" t="s">
        <v>166</v>
      </c>
      <c r="R1013" s="2" t="s">
        <v>933</v>
      </c>
      <c r="S1013" s="11">
        <v>42220.593935185185</v>
      </c>
    </row>
    <row r="1014" ht="12.75" hidden="1" customHeight="1">
      <c r="A1014" s="2" t="str">
        <f>IF(VLOOKUP(E1014,Sheet4!$A$585:$B$786,2,0)=0,1, )</f>
        <v>1</v>
      </c>
      <c r="B1014" s="2" t="str">
        <f t="shared" si="1"/>
        <v>1</v>
      </c>
      <c r="C1014" s="2" t="str">
        <f t="shared" si="2"/>
        <v>2900003152-15237</v>
      </c>
      <c r="D1014" s="2">
        <v>3.2007652E8</v>
      </c>
      <c r="E1014" s="2">
        <v>2.900003152E9</v>
      </c>
      <c r="F1014" s="2">
        <v>15237.0</v>
      </c>
      <c r="G1014" s="2">
        <v>1.0</v>
      </c>
      <c r="H1014" s="2">
        <v>0.0</v>
      </c>
      <c r="I1014" s="2">
        <v>285000.0</v>
      </c>
      <c r="J1014" s="2">
        <v>1.0</v>
      </c>
      <c r="K1014" s="2">
        <v>7.0</v>
      </c>
      <c r="O1014" s="2" t="s">
        <v>1006</v>
      </c>
      <c r="P1014" s="2" t="s">
        <v>166</v>
      </c>
      <c r="R1014" s="2" t="s">
        <v>933</v>
      </c>
      <c r="S1014" s="11">
        <v>42213.35984953704</v>
      </c>
    </row>
    <row r="1015" ht="12.75" hidden="1" customHeight="1">
      <c r="A1015" s="2" t="str">
        <f>IF(VLOOKUP(E1015,Sheet4!$A$585:$B$786,2,0)=0,1, )</f>
        <v>1</v>
      </c>
      <c r="B1015" s="2" t="str">
        <f t="shared" si="1"/>
        <v/>
      </c>
      <c r="C1015" s="2" t="str">
        <f t="shared" si="2"/>
        <v>2900003152-15237</v>
      </c>
      <c r="D1015" s="2">
        <v>3.2008183E8</v>
      </c>
      <c r="E1015" s="2">
        <v>2.900003152E9</v>
      </c>
      <c r="F1015" s="2">
        <v>15237.0</v>
      </c>
      <c r="G1015" s="2">
        <v>1.0</v>
      </c>
      <c r="H1015" s="2">
        <v>0.0</v>
      </c>
      <c r="I1015" s="2">
        <v>285000.0</v>
      </c>
      <c r="J1015" s="2">
        <v>1.0</v>
      </c>
      <c r="K1015" s="2">
        <v>7.0</v>
      </c>
      <c r="O1015" s="2" t="s">
        <v>1006</v>
      </c>
      <c r="P1015" s="2" t="s">
        <v>166</v>
      </c>
      <c r="R1015" s="2" t="s">
        <v>933</v>
      </c>
      <c r="S1015" s="11">
        <v>42220.593935185185</v>
      </c>
    </row>
    <row r="1016" ht="12.75" hidden="1" customHeight="1">
      <c r="A1016" s="2" t="str">
        <f>IF(VLOOKUP(E1016,Sheet4!$A$585:$B$786,2,0)=0,1, )</f>
        <v>1</v>
      </c>
      <c r="B1016" s="2" t="str">
        <f t="shared" si="1"/>
        <v>1</v>
      </c>
      <c r="C1016" s="2" t="str">
        <f t="shared" si="2"/>
        <v>2900003153-63</v>
      </c>
      <c r="D1016" s="2">
        <v>3.20076521E8</v>
      </c>
      <c r="E1016" s="2">
        <v>2.900003153E9</v>
      </c>
      <c r="F1016" s="2">
        <v>63.0</v>
      </c>
      <c r="G1016" s="2">
        <v>1.0</v>
      </c>
      <c r="H1016" s="2">
        <v>0.0</v>
      </c>
      <c r="I1016" s="2">
        <v>225000.0</v>
      </c>
      <c r="J1016" s="2">
        <v>1.0</v>
      </c>
      <c r="K1016" s="2">
        <v>7.0</v>
      </c>
      <c r="O1016" s="2" t="s">
        <v>1008</v>
      </c>
      <c r="P1016" s="2" t="s">
        <v>166</v>
      </c>
      <c r="R1016" s="2" t="s">
        <v>933</v>
      </c>
      <c r="S1016" s="11">
        <v>42213.36574074074</v>
      </c>
    </row>
    <row r="1017" ht="12.75" hidden="1" customHeight="1">
      <c r="A1017" s="2" t="str">
        <f>IF(VLOOKUP(E1017,Sheet4!$A$585:$B$786,2,0)=0,1, )</f>
        <v>1</v>
      </c>
      <c r="B1017" s="2" t="str">
        <f t="shared" si="1"/>
        <v/>
      </c>
      <c r="C1017" s="2" t="str">
        <f t="shared" si="2"/>
        <v>2900003153-63</v>
      </c>
      <c r="D1017" s="2">
        <v>3.20081831E8</v>
      </c>
      <c r="E1017" s="2">
        <v>2.900003153E9</v>
      </c>
      <c r="F1017" s="2">
        <v>63.0</v>
      </c>
      <c r="G1017" s="2">
        <v>1.0</v>
      </c>
      <c r="H1017" s="2">
        <v>0.0</v>
      </c>
      <c r="I1017" s="2">
        <v>225000.0</v>
      </c>
      <c r="J1017" s="2">
        <v>1.0</v>
      </c>
      <c r="K1017" s="2">
        <v>7.0</v>
      </c>
      <c r="O1017" s="2" t="s">
        <v>1008</v>
      </c>
      <c r="P1017" s="2" t="s">
        <v>166</v>
      </c>
      <c r="R1017" s="2" t="s">
        <v>933</v>
      </c>
      <c r="S1017" s="11">
        <v>42220.593935185185</v>
      </c>
    </row>
    <row r="1018" ht="12.75" hidden="1" customHeight="1">
      <c r="A1018" s="2" t="str">
        <f>IF(VLOOKUP(E1018,Sheet4!$A$585:$B$786,2,0)=0,1, )</f>
        <v>1</v>
      </c>
      <c r="B1018" s="2" t="str">
        <f t="shared" si="1"/>
        <v>1</v>
      </c>
      <c r="C1018" s="2" t="str">
        <f t="shared" si="2"/>
        <v>2900003154-1810</v>
      </c>
      <c r="D1018" s="2">
        <v>3.20076579E8</v>
      </c>
      <c r="E1018" s="2">
        <v>2.900003154E9</v>
      </c>
      <c r="F1018" s="2">
        <v>1810.0</v>
      </c>
      <c r="G1018" s="2">
        <v>1.0</v>
      </c>
      <c r="H1018" s="2">
        <v>0.0</v>
      </c>
      <c r="I1018" s="2">
        <v>98000.0</v>
      </c>
      <c r="J1018" s="2">
        <v>1.0</v>
      </c>
      <c r="K1018" s="2">
        <v>7.0</v>
      </c>
      <c r="O1018" s="2" t="s">
        <v>1010</v>
      </c>
      <c r="P1018" s="2" t="s">
        <v>166</v>
      </c>
      <c r="R1018" s="2" t="s">
        <v>933</v>
      </c>
      <c r="S1018" s="11">
        <v>42213.384618055556</v>
      </c>
    </row>
    <row r="1019" ht="12.75" hidden="1" customHeight="1">
      <c r="A1019" s="2" t="str">
        <f>IF(VLOOKUP(E1019,Sheet4!$A$585:$B$786,2,0)=0,1, )</f>
        <v>1</v>
      </c>
      <c r="B1019" s="2" t="str">
        <f t="shared" si="1"/>
        <v/>
      </c>
      <c r="C1019" s="2" t="str">
        <f t="shared" si="2"/>
        <v>2900003154-1810</v>
      </c>
      <c r="D1019" s="2">
        <v>3.20081832E8</v>
      </c>
      <c r="E1019" s="2">
        <v>2.900003154E9</v>
      </c>
      <c r="F1019" s="2">
        <v>1810.0</v>
      </c>
      <c r="G1019" s="2">
        <v>1.0</v>
      </c>
      <c r="H1019" s="2">
        <v>0.0</v>
      </c>
      <c r="I1019" s="2">
        <v>98000.0</v>
      </c>
      <c r="J1019" s="2">
        <v>1.0</v>
      </c>
      <c r="K1019" s="2">
        <v>7.0</v>
      </c>
      <c r="O1019" s="2" t="s">
        <v>1010</v>
      </c>
      <c r="P1019" s="2" t="s">
        <v>166</v>
      </c>
      <c r="R1019" s="2" t="s">
        <v>933</v>
      </c>
      <c r="S1019" s="11">
        <v>42220.593935185185</v>
      </c>
    </row>
    <row r="1020" ht="12.75" hidden="1" customHeight="1">
      <c r="A1020" s="2" t="str">
        <f>IF(VLOOKUP(E1020,Sheet4!$A$585:$B$786,2,0)=0,1, )</f>
        <v>1</v>
      </c>
      <c r="B1020" s="2" t="str">
        <f t="shared" si="1"/>
        <v>1</v>
      </c>
      <c r="C1020" s="2" t="str">
        <f t="shared" si="2"/>
        <v>2900003154-4409</v>
      </c>
      <c r="D1020" s="2">
        <v>3.20081833E8</v>
      </c>
      <c r="E1020" s="2">
        <v>2.900003154E9</v>
      </c>
      <c r="F1020" s="2">
        <v>4409.0</v>
      </c>
      <c r="G1020" s="2">
        <v>1.0</v>
      </c>
      <c r="H1020" s="2">
        <v>0.0</v>
      </c>
      <c r="I1020" s="2">
        <v>83000.0</v>
      </c>
      <c r="J1020" s="2">
        <v>1.0</v>
      </c>
      <c r="K1020" s="2">
        <v>7.0</v>
      </c>
      <c r="O1020" s="2" t="s">
        <v>1012</v>
      </c>
      <c r="P1020" s="2" t="s">
        <v>166</v>
      </c>
      <c r="R1020" s="2" t="s">
        <v>933</v>
      </c>
      <c r="S1020" s="11">
        <v>42220.59394675926</v>
      </c>
    </row>
    <row r="1021" ht="12.75" hidden="1" customHeight="1">
      <c r="A1021" s="2" t="str">
        <f>IF(VLOOKUP(E1021,Sheet4!$A$585:$B$786,2,0)=0,1, )</f>
        <v>1</v>
      </c>
      <c r="B1021" s="2" t="str">
        <f t="shared" si="1"/>
        <v/>
      </c>
      <c r="C1021" s="2" t="str">
        <f t="shared" si="2"/>
        <v>2900003154-4409</v>
      </c>
      <c r="D1021" s="2">
        <v>3.2007658E8</v>
      </c>
      <c r="E1021" s="2">
        <v>2.900003154E9</v>
      </c>
      <c r="F1021" s="2">
        <v>4409.0</v>
      </c>
      <c r="G1021" s="2">
        <v>1.0</v>
      </c>
      <c r="H1021" s="2">
        <v>0.0</v>
      </c>
      <c r="I1021" s="2">
        <v>83000.0</v>
      </c>
      <c r="J1021" s="2">
        <v>1.0</v>
      </c>
      <c r="K1021" s="2">
        <v>7.0</v>
      </c>
      <c r="O1021" s="2" t="s">
        <v>1012</v>
      </c>
      <c r="P1021" s="2" t="s">
        <v>166</v>
      </c>
      <c r="R1021" s="2" t="s">
        <v>933</v>
      </c>
      <c r="S1021" s="11">
        <v>42213.384618055556</v>
      </c>
    </row>
    <row r="1022" ht="12.75" hidden="1" customHeight="1">
      <c r="A1022" s="2" t="str">
        <f>IF(VLOOKUP(E1022,Sheet4!$A$585:$B$786,2,0)=0,1, )</f>
        <v>1</v>
      </c>
      <c r="B1022" s="2" t="str">
        <f t="shared" si="1"/>
        <v>1</v>
      </c>
      <c r="C1022" s="2" t="str">
        <f t="shared" si="2"/>
        <v>2900003155-8049</v>
      </c>
      <c r="D1022" s="2">
        <v>3.2007661E8</v>
      </c>
      <c r="E1022" s="2">
        <v>2.900003155E9</v>
      </c>
      <c r="F1022" s="2">
        <v>8049.0</v>
      </c>
      <c r="G1022" s="2">
        <v>1.0</v>
      </c>
      <c r="H1022" s="2">
        <v>0.0</v>
      </c>
      <c r="I1022" s="2">
        <v>530000.0</v>
      </c>
      <c r="J1022" s="2">
        <v>1.0</v>
      </c>
      <c r="K1022" s="2">
        <v>7.0</v>
      </c>
      <c r="O1022" s="2" t="s">
        <v>1014</v>
      </c>
      <c r="P1022" s="2" t="s">
        <v>166</v>
      </c>
      <c r="R1022" s="2" t="s">
        <v>933</v>
      </c>
      <c r="S1022" s="11">
        <v>42213.40603009259</v>
      </c>
    </row>
    <row r="1023" ht="12.75" hidden="1" customHeight="1">
      <c r="A1023" s="2" t="str">
        <f>IF(VLOOKUP(E1023,Sheet4!$A$585:$B$786,2,0)=0,1, )</f>
        <v>1</v>
      </c>
      <c r="B1023" s="2" t="str">
        <f t="shared" si="1"/>
        <v/>
      </c>
      <c r="C1023" s="2" t="str">
        <f t="shared" si="2"/>
        <v>2900003155-8049</v>
      </c>
      <c r="D1023" s="2">
        <v>3.20081834E8</v>
      </c>
      <c r="E1023" s="2">
        <v>2.900003155E9</v>
      </c>
      <c r="F1023" s="2">
        <v>8049.0</v>
      </c>
      <c r="G1023" s="2">
        <v>1.0</v>
      </c>
      <c r="H1023" s="2">
        <v>0.0</v>
      </c>
      <c r="I1023" s="2">
        <v>530000.0</v>
      </c>
      <c r="J1023" s="2">
        <v>1.0</v>
      </c>
      <c r="K1023" s="2">
        <v>7.0</v>
      </c>
      <c r="O1023" s="2" t="s">
        <v>1014</v>
      </c>
      <c r="P1023" s="2" t="s">
        <v>166</v>
      </c>
      <c r="R1023" s="2" t="s">
        <v>933</v>
      </c>
      <c r="S1023" s="11">
        <v>42220.59394675926</v>
      </c>
    </row>
    <row r="1024" ht="12.75" hidden="1" customHeight="1">
      <c r="A1024" s="2" t="str">
        <f>IF(VLOOKUP(E1024,Sheet4!$A$585:$B$786,2,0)=0,1, )</f>
        <v>1</v>
      </c>
      <c r="B1024" s="2" t="str">
        <f t="shared" si="1"/>
        <v>1</v>
      </c>
      <c r="C1024" s="2" t="str">
        <f t="shared" si="2"/>
        <v>2900003156-8160</v>
      </c>
      <c r="D1024" s="2">
        <v>3.20076691E8</v>
      </c>
      <c r="E1024" s="2">
        <v>2.900003156E9</v>
      </c>
      <c r="F1024" s="2">
        <v>8160.0</v>
      </c>
      <c r="G1024" s="2">
        <v>-1.0</v>
      </c>
      <c r="H1024" s="2">
        <v>0.0</v>
      </c>
      <c r="I1024" s="2">
        <v>-239000.0</v>
      </c>
      <c r="J1024" s="2">
        <v>1.0</v>
      </c>
      <c r="K1024" s="2">
        <v>7.0</v>
      </c>
      <c r="O1024" s="2" t="s">
        <v>904</v>
      </c>
      <c r="P1024" s="2" t="s">
        <v>166</v>
      </c>
      <c r="R1024" s="2" t="s">
        <v>933</v>
      </c>
      <c r="S1024" s="11">
        <v>42213.45670138889</v>
      </c>
    </row>
    <row r="1025" ht="12.75" hidden="1" customHeight="1">
      <c r="A1025" s="2" t="str">
        <f>IF(VLOOKUP(E1025,Sheet4!$A$585:$B$786,2,0)=0,1, )</f>
        <v>1</v>
      </c>
      <c r="B1025" s="2" t="str">
        <f t="shared" si="1"/>
        <v/>
      </c>
      <c r="C1025" s="2" t="str">
        <f t="shared" si="2"/>
        <v>2900003156-8160</v>
      </c>
      <c r="D1025" s="2">
        <v>3.20081835E8</v>
      </c>
      <c r="E1025" s="2">
        <v>2.900003156E9</v>
      </c>
      <c r="F1025" s="2">
        <v>8160.0</v>
      </c>
      <c r="G1025" s="2">
        <v>-1.0</v>
      </c>
      <c r="H1025" s="2">
        <v>0.0</v>
      </c>
      <c r="I1025" s="2">
        <v>-239000.0</v>
      </c>
      <c r="J1025" s="2">
        <v>1.0</v>
      </c>
      <c r="K1025" s="2">
        <v>7.0</v>
      </c>
      <c r="O1025" s="2" t="s">
        <v>904</v>
      </c>
      <c r="P1025" s="2" t="s">
        <v>166</v>
      </c>
      <c r="R1025" s="2" t="s">
        <v>933</v>
      </c>
      <c r="S1025" s="11">
        <v>42220.59394675926</v>
      </c>
    </row>
    <row r="1026" ht="12.75" hidden="1" customHeight="1">
      <c r="A1026" s="2" t="str">
        <f>IF(VLOOKUP(E1026,Sheet4!$A$585:$B$786,2,0)=0,1, )</f>
        <v>1</v>
      </c>
      <c r="B1026" s="2" t="str">
        <f t="shared" si="1"/>
        <v>1</v>
      </c>
      <c r="C1026" s="2" t="str">
        <f t="shared" si="2"/>
        <v>2900003157-7066</v>
      </c>
      <c r="D1026" s="2">
        <v>3.20076713E8</v>
      </c>
      <c r="E1026" s="2">
        <v>2.900003157E9</v>
      </c>
      <c r="F1026" s="2">
        <v>7066.0</v>
      </c>
      <c r="G1026" s="2">
        <v>1.0</v>
      </c>
      <c r="H1026" s="2">
        <v>0.0</v>
      </c>
      <c r="I1026" s="2">
        <v>398000.0</v>
      </c>
      <c r="J1026" s="2">
        <v>1.0</v>
      </c>
      <c r="K1026" s="2">
        <v>7.0</v>
      </c>
      <c r="O1026" s="2" t="s">
        <v>1017</v>
      </c>
      <c r="P1026" s="2" t="s">
        <v>166</v>
      </c>
      <c r="R1026" s="2" t="s">
        <v>933</v>
      </c>
      <c r="S1026" s="11">
        <v>42213.4756712963</v>
      </c>
    </row>
    <row r="1027" ht="12.75" hidden="1" customHeight="1">
      <c r="A1027" s="2" t="str">
        <f>IF(VLOOKUP(E1027,Sheet4!$A$585:$B$786,2,0)=0,1, )</f>
        <v>1</v>
      </c>
      <c r="B1027" s="2" t="str">
        <f t="shared" si="1"/>
        <v/>
      </c>
      <c r="C1027" s="2" t="str">
        <f t="shared" si="2"/>
        <v>2900003157-7066</v>
      </c>
      <c r="D1027" s="2">
        <v>3.20081836E8</v>
      </c>
      <c r="E1027" s="2">
        <v>2.900003157E9</v>
      </c>
      <c r="F1027" s="2">
        <v>7066.0</v>
      </c>
      <c r="G1027" s="2">
        <v>1.0</v>
      </c>
      <c r="H1027" s="2">
        <v>0.0</v>
      </c>
      <c r="I1027" s="2">
        <v>398000.0</v>
      </c>
      <c r="J1027" s="2">
        <v>1.0</v>
      </c>
      <c r="K1027" s="2">
        <v>7.0</v>
      </c>
      <c r="O1027" s="2" t="s">
        <v>1017</v>
      </c>
      <c r="P1027" s="2" t="s">
        <v>166</v>
      </c>
      <c r="R1027" s="2" t="s">
        <v>933</v>
      </c>
      <c r="S1027" s="11">
        <v>42220.59394675926</v>
      </c>
    </row>
    <row r="1028" ht="12.75" hidden="1" customHeight="1">
      <c r="A1028" s="2" t="str">
        <f>IF(VLOOKUP(E1028,Sheet4!$A$585:$B$786,2,0)=0,1, )</f>
        <v>1</v>
      </c>
      <c r="B1028" s="2" t="str">
        <f t="shared" si="1"/>
        <v>1</v>
      </c>
      <c r="C1028" s="2" t="str">
        <f t="shared" si="2"/>
        <v>2900003157-11897</v>
      </c>
      <c r="D1028" s="2">
        <v>3.20076714E8</v>
      </c>
      <c r="E1028" s="2">
        <v>2.900003157E9</v>
      </c>
      <c r="F1028" s="2">
        <v>11897.0</v>
      </c>
      <c r="G1028" s="2">
        <v>1.0</v>
      </c>
      <c r="H1028" s="2">
        <v>0.0</v>
      </c>
      <c r="I1028" s="2">
        <v>385000.0</v>
      </c>
      <c r="J1028" s="2">
        <v>1.0</v>
      </c>
      <c r="K1028" s="2">
        <v>7.0</v>
      </c>
      <c r="O1028" s="2" t="s">
        <v>1019</v>
      </c>
      <c r="P1028" s="2" t="s">
        <v>166</v>
      </c>
      <c r="R1028" s="2" t="s">
        <v>933</v>
      </c>
      <c r="S1028" s="11">
        <v>42213.47568287037</v>
      </c>
    </row>
    <row r="1029" ht="12.75" hidden="1" customHeight="1">
      <c r="A1029" s="2" t="str">
        <f>IF(VLOOKUP(E1029,Sheet4!$A$585:$B$786,2,0)=0,1, )</f>
        <v>1</v>
      </c>
      <c r="B1029" s="2" t="str">
        <f t="shared" si="1"/>
        <v/>
      </c>
      <c r="C1029" s="2" t="str">
        <f t="shared" si="2"/>
        <v>2900003157-11897</v>
      </c>
      <c r="D1029" s="2">
        <v>3.20081837E8</v>
      </c>
      <c r="E1029" s="2">
        <v>2.900003157E9</v>
      </c>
      <c r="F1029" s="2">
        <v>11897.0</v>
      </c>
      <c r="G1029" s="2">
        <v>1.0</v>
      </c>
      <c r="H1029" s="2">
        <v>0.0</v>
      </c>
      <c r="I1029" s="2">
        <v>385000.0</v>
      </c>
      <c r="J1029" s="2">
        <v>1.0</v>
      </c>
      <c r="K1029" s="2">
        <v>7.0</v>
      </c>
      <c r="O1029" s="2" t="s">
        <v>1019</v>
      </c>
      <c r="P1029" s="2" t="s">
        <v>166</v>
      </c>
      <c r="R1029" s="2" t="s">
        <v>933</v>
      </c>
      <c r="S1029" s="11">
        <v>42220.59394675926</v>
      </c>
    </row>
    <row r="1030" ht="12.75" hidden="1" customHeight="1">
      <c r="A1030" s="2" t="str">
        <f>IF(VLOOKUP(E1030,Sheet4!$A$585:$B$786,2,0)=0,1, )</f>
        <v>1</v>
      </c>
      <c r="B1030" s="2" t="str">
        <f t="shared" si="1"/>
        <v>1</v>
      </c>
      <c r="C1030" s="2" t="str">
        <f t="shared" si="2"/>
        <v>2900003158-13133</v>
      </c>
      <c r="D1030" s="2">
        <v>3.20081839E8</v>
      </c>
      <c r="E1030" s="2">
        <v>2.900003158E9</v>
      </c>
      <c r="F1030" s="2">
        <v>13133.0</v>
      </c>
      <c r="G1030" s="2">
        <v>1.0</v>
      </c>
      <c r="H1030" s="2">
        <v>0.0</v>
      </c>
      <c r="I1030" s="2">
        <v>290000.0</v>
      </c>
      <c r="J1030" s="2">
        <v>1.0</v>
      </c>
      <c r="K1030" s="2">
        <v>7.0</v>
      </c>
      <c r="O1030" s="2" t="s">
        <v>1021</v>
      </c>
      <c r="P1030" s="2" t="s">
        <v>166</v>
      </c>
      <c r="R1030" s="2" t="s">
        <v>933</v>
      </c>
      <c r="S1030" s="11">
        <v>42220.59394675926</v>
      </c>
    </row>
    <row r="1031" ht="12.75" hidden="1" customHeight="1">
      <c r="A1031" s="2" t="str">
        <f>IF(VLOOKUP(E1031,Sheet4!$A$585:$B$786,2,0)=0,1, )</f>
        <v>1</v>
      </c>
      <c r="B1031" s="2" t="str">
        <f t="shared" si="1"/>
        <v/>
      </c>
      <c r="C1031" s="2" t="str">
        <f t="shared" si="2"/>
        <v>2900003158-13133</v>
      </c>
      <c r="D1031" s="2">
        <v>3.2007679E8</v>
      </c>
      <c r="E1031" s="2">
        <v>2.900003158E9</v>
      </c>
      <c r="F1031" s="2">
        <v>13133.0</v>
      </c>
      <c r="G1031" s="2">
        <v>1.0</v>
      </c>
      <c r="H1031" s="2">
        <v>0.0</v>
      </c>
      <c r="I1031" s="2">
        <v>290000.0</v>
      </c>
      <c r="J1031" s="2">
        <v>1.0</v>
      </c>
      <c r="K1031" s="2">
        <v>7.0</v>
      </c>
      <c r="O1031" s="2" t="s">
        <v>1021</v>
      </c>
      <c r="P1031" s="2" t="s">
        <v>166</v>
      </c>
      <c r="R1031" s="2" t="s">
        <v>933</v>
      </c>
      <c r="S1031" s="11">
        <v>42213.533009259256</v>
      </c>
    </row>
    <row r="1032" ht="12.75" hidden="1" customHeight="1">
      <c r="A1032" s="2" t="str">
        <f>IF(VLOOKUP(E1032,Sheet4!$A$585:$B$786,2,0)=0,1, )</f>
        <v>1</v>
      </c>
      <c r="B1032" s="2" t="str">
        <f t="shared" si="1"/>
        <v>1</v>
      </c>
      <c r="C1032" s="2" t="str">
        <f t="shared" si="2"/>
        <v>2900003158-14000062</v>
      </c>
      <c r="D1032" s="2">
        <v>3.20081838E8</v>
      </c>
      <c r="E1032" s="2">
        <v>2.900003158E9</v>
      </c>
      <c r="F1032" s="2">
        <v>1.4000062E7</v>
      </c>
      <c r="G1032" s="2">
        <v>1.0</v>
      </c>
      <c r="H1032" s="2">
        <v>0.0</v>
      </c>
      <c r="I1032" s="2">
        <v>365000.0</v>
      </c>
      <c r="J1032" s="2">
        <v>1.0</v>
      </c>
      <c r="K1032" s="2">
        <v>7.0</v>
      </c>
      <c r="O1032" s="2" t="s">
        <v>422</v>
      </c>
      <c r="P1032" s="2" t="s">
        <v>166</v>
      </c>
      <c r="R1032" s="2" t="s">
        <v>933</v>
      </c>
      <c r="S1032" s="11">
        <v>42220.59394675926</v>
      </c>
    </row>
    <row r="1033" ht="12.75" hidden="1" customHeight="1">
      <c r="A1033" s="2" t="str">
        <f>IF(VLOOKUP(E1033,Sheet4!$A$585:$B$786,2,0)=0,1, )</f>
        <v>1</v>
      </c>
      <c r="B1033" s="2" t="str">
        <f t="shared" si="1"/>
        <v/>
      </c>
      <c r="C1033" s="2" t="str">
        <f t="shared" si="2"/>
        <v>2900003158-14000062</v>
      </c>
      <c r="D1033" s="2">
        <v>3.20076789E8</v>
      </c>
      <c r="E1033" s="2">
        <v>2.900003158E9</v>
      </c>
      <c r="F1033" s="2">
        <v>1.4000062E7</v>
      </c>
      <c r="G1033" s="2">
        <v>1.0</v>
      </c>
      <c r="H1033" s="2">
        <v>0.0</v>
      </c>
      <c r="I1033" s="2">
        <v>365000.0</v>
      </c>
      <c r="J1033" s="2">
        <v>1.0</v>
      </c>
      <c r="K1033" s="2">
        <v>7.0</v>
      </c>
      <c r="O1033" s="2" t="s">
        <v>422</v>
      </c>
      <c r="P1033" s="2" t="s">
        <v>166</v>
      </c>
      <c r="R1033" s="2" t="s">
        <v>933</v>
      </c>
      <c r="S1033" s="11">
        <v>42213.533009259256</v>
      </c>
    </row>
    <row r="1034" ht="12.75" hidden="1" customHeight="1">
      <c r="A1034" s="2" t="str">
        <f>IF(VLOOKUP(E1034,Sheet4!$A$585:$B$786,2,0)=0,1, )</f>
        <v>1</v>
      </c>
      <c r="B1034" s="2" t="str">
        <f t="shared" si="1"/>
        <v>1</v>
      </c>
      <c r="C1034" s="2" t="str">
        <f t="shared" si="2"/>
        <v>2900003159-7547</v>
      </c>
      <c r="D1034" s="2">
        <v>3.20076847E8</v>
      </c>
      <c r="E1034" s="2">
        <v>2.900003159E9</v>
      </c>
      <c r="F1034" s="2">
        <v>7547.0</v>
      </c>
      <c r="G1034" s="2">
        <v>1.0</v>
      </c>
      <c r="H1034" s="2">
        <v>0.0</v>
      </c>
      <c r="I1034" s="2">
        <v>330000.0</v>
      </c>
      <c r="J1034" s="2">
        <v>1.0</v>
      </c>
      <c r="K1034" s="2">
        <v>7.0</v>
      </c>
      <c r="O1034" s="2" t="s">
        <v>221</v>
      </c>
      <c r="P1034" s="2" t="s">
        <v>166</v>
      </c>
      <c r="R1034" s="2" t="s">
        <v>933</v>
      </c>
      <c r="S1034" s="11">
        <v>42213.585381944446</v>
      </c>
    </row>
    <row r="1035" ht="12.75" hidden="1" customHeight="1">
      <c r="A1035" s="2" t="str">
        <f>IF(VLOOKUP(E1035,Sheet4!$A$585:$B$786,2,0)=0,1, )</f>
        <v>1</v>
      </c>
      <c r="B1035" s="2" t="str">
        <f t="shared" si="1"/>
        <v/>
      </c>
      <c r="C1035" s="2" t="str">
        <f t="shared" si="2"/>
        <v>2900003159-7547</v>
      </c>
      <c r="D1035" s="2">
        <v>3.2008184E8</v>
      </c>
      <c r="E1035" s="2">
        <v>2.900003159E9</v>
      </c>
      <c r="F1035" s="2">
        <v>7547.0</v>
      </c>
      <c r="G1035" s="2">
        <v>1.0</v>
      </c>
      <c r="H1035" s="2">
        <v>0.0</v>
      </c>
      <c r="I1035" s="2">
        <v>330000.0</v>
      </c>
      <c r="J1035" s="2">
        <v>1.0</v>
      </c>
      <c r="K1035" s="2">
        <v>7.0</v>
      </c>
      <c r="O1035" s="2" t="s">
        <v>221</v>
      </c>
      <c r="P1035" s="2" t="s">
        <v>166</v>
      </c>
      <c r="R1035" s="2" t="s">
        <v>933</v>
      </c>
      <c r="S1035" s="11">
        <v>42220.59394675926</v>
      </c>
    </row>
    <row r="1036" ht="12.75" hidden="1" customHeight="1">
      <c r="A1036" s="2" t="str">
        <f>IF(VLOOKUP(E1036,Sheet4!$A$585:$B$786,2,0)=0,1, )</f>
        <v>1</v>
      </c>
      <c r="B1036" s="2" t="str">
        <f t="shared" si="1"/>
        <v>1</v>
      </c>
      <c r="C1036" s="2" t="str">
        <f t="shared" si="2"/>
        <v>2900003160-3243</v>
      </c>
      <c r="D1036" s="2">
        <v>3.20076871E8</v>
      </c>
      <c r="E1036" s="2">
        <v>2.90000316E9</v>
      </c>
      <c r="F1036" s="2">
        <v>3243.0</v>
      </c>
      <c r="G1036" s="2">
        <v>1.0</v>
      </c>
      <c r="H1036" s="2">
        <v>0.0</v>
      </c>
      <c r="I1036" s="2">
        <v>295000.0</v>
      </c>
      <c r="J1036" s="2">
        <v>1.0</v>
      </c>
      <c r="K1036" s="2">
        <v>7.0</v>
      </c>
      <c r="O1036" s="2" t="s">
        <v>519</v>
      </c>
      <c r="P1036" s="2" t="s">
        <v>166</v>
      </c>
      <c r="R1036" s="2" t="s">
        <v>933</v>
      </c>
      <c r="S1036" s="11">
        <v>42213.61709490741</v>
      </c>
    </row>
    <row r="1037" ht="12.75" hidden="1" customHeight="1">
      <c r="A1037" s="2" t="str">
        <f>IF(VLOOKUP(E1037,Sheet4!$A$585:$B$786,2,0)=0,1, )</f>
        <v>1</v>
      </c>
      <c r="B1037" s="2" t="str">
        <f t="shared" si="1"/>
        <v/>
      </c>
      <c r="C1037" s="2" t="str">
        <f t="shared" si="2"/>
        <v>2900003160-3243</v>
      </c>
      <c r="D1037" s="2">
        <v>3.20081841E8</v>
      </c>
      <c r="E1037" s="2">
        <v>2.90000316E9</v>
      </c>
      <c r="F1037" s="2">
        <v>3243.0</v>
      </c>
      <c r="G1037" s="2">
        <v>1.0</v>
      </c>
      <c r="H1037" s="2">
        <v>0.0</v>
      </c>
      <c r="I1037" s="2">
        <v>295000.0</v>
      </c>
      <c r="J1037" s="2">
        <v>1.0</v>
      </c>
      <c r="K1037" s="2">
        <v>7.0</v>
      </c>
      <c r="O1037" s="2" t="s">
        <v>519</v>
      </c>
      <c r="P1037" s="2" t="s">
        <v>166</v>
      </c>
      <c r="R1037" s="2" t="s">
        <v>933</v>
      </c>
      <c r="S1037" s="11">
        <v>42220.59394675926</v>
      </c>
    </row>
    <row r="1038" ht="12.75" hidden="1" customHeight="1">
      <c r="A1038" s="2" t="str">
        <f>IF(VLOOKUP(E1038,Sheet4!$A$585:$B$786,2,0)=0,1, )</f>
        <v>1</v>
      </c>
      <c r="B1038" s="2" t="str">
        <f t="shared" si="1"/>
        <v>1</v>
      </c>
      <c r="C1038" s="2" t="str">
        <f t="shared" si="2"/>
        <v>2900003161-13784</v>
      </c>
      <c r="D1038" s="2">
        <v>3.20076891E8</v>
      </c>
      <c r="E1038" s="2">
        <v>2.900003161E9</v>
      </c>
      <c r="F1038" s="2">
        <v>13784.0</v>
      </c>
      <c r="G1038" s="2">
        <v>1.0</v>
      </c>
      <c r="H1038" s="2">
        <v>0.0</v>
      </c>
      <c r="I1038" s="2">
        <v>127000.0</v>
      </c>
      <c r="J1038" s="2">
        <v>1.0</v>
      </c>
      <c r="K1038" s="2">
        <v>7.0</v>
      </c>
      <c r="O1038" s="2" t="s">
        <v>1026</v>
      </c>
      <c r="P1038" s="2" t="s">
        <v>166</v>
      </c>
      <c r="R1038" s="2" t="s">
        <v>933</v>
      </c>
      <c r="S1038" s="11">
        <v>42213.64685185185</v>
      </c>
    </row>
    <row r="1039" ht="12.75" hidden="1" customHeight="1">
      <c r="A1039" s="2" t="str">
        <f>IF(VLOOKUP(E1039,Sheet4!$A$585:$B$786,2,0)=0,1, )</f>
        <v>1</v>
      </c>
      <c r="B1039" s="2" t="str">
        <f t="shared" si="1"/>
        <v/>
      </c>
      <c r="C1039" s="2" t="str">
        <f t="shared" si="2"/>
        <v>2900003161-13784</v>
      </c>
      <c r="D1039" s="2">
        <v>3.20081842E8</v>
      </c>
      <c r="E1039" s="2">
        <v>2.900003161E9</v>
      </c>
      <c r="F1039" s="2">
        <v>13784.0</v>
      </c>
      <c r="G1039" s="2">
        <v>1.0</v>
      </c>
      <c r="H1039" s="2">
        <v>0.0</v>
      </c>
      <c r="I1039" s="2">
        <v>127000.0</v>
      </c>
      <c r="J1039" s="2">
        <v>1.0</v>
      </c>
      <c r="K1039" s="2">
        <v>7.0</v>
      </c>
      <c r="O1039" s="2" t="s">
        <v>1026</v>
      </c>
      <c r="P1039" s="2" t="s">
        <v>166</v>
      </c>
      <c r="R1039" s="2" t="s">
        <v>933</v>
      </c>
      <c r="S1039" s="11">
        <v>42220.59394675926</v>
      </c>
    </row>
    <row r="1040" ht="12.75" hidden="1" customHeight="1">
      <c r="A1040" s="2" t="str">
        <f>IF(VLOOKUP(E1040,Sheet4!$A$585:$B$786,2,0)=0,1, )</f>
        <v>1</v>
      </c>
      <c r="B1040" s="2" t="str">
        <f t="shared" si="1"/>
        <v>1</v>
      </c>
      <c r="C1040" s="2" t="str">
        <f t="shared" si="2"/>
        <v>2900003161-13814</v>
      </c>
      <c r="D1040" s="2">
        <v>3.20081843E8</v>
      </c>
      <c r="E1040" s="2">
        <v>2.900003161E9</v>
      </c>
      <c r="F1040" s="2">
        <v>13814.0</v>
      </c>
      <c r="G1040" s="2">
        <v>2.0</v>
      </c>
      <c r="H1040" s="2">
        <v>0.0</v>
      </c>
      <c r="I1040" s="2">
        <v>390000.0</v>
      </c>
      <c r="J1040" s="2">
        <v>1.0</v>
      </c>
      <c r="K1040" s="2">
        <v>7.0</v>
      </c>
      <c r="O1040" s="2" t="s">
        <v>486</v>
      </c>
      <c r="P1040" s="2" t="s">
        <v>166</v>
      </c>
      <c r="R1040" s="2" t="s">
        <v>933</v>
      </c>
      <c r="S1040" s="11">
        <v>42220.59394675926</v>
      </c>
    </row>
    <row r="1041" ht="12.75" hidden="1" customHeight="1">
      <c r="A1041" s="2" t="str">
        <f>IF(VLOOKUP(E1041,Sheet4!$A$585:$B$786,2,0)=0,1, )</f>
        <v>1</v>
      </c>
      <c r="B1041" s="2" t="str">
        <f t="shared" si="1"/>
        <v/>
      </c>
      <c r="C1041" s="2" t="str">
        <f t="shared" si="2"/>
        <v>2900003161-13814</v>
      </c>
      <c r="D1041" s="2">
        <v>3.20076892E8</v>
      </c>
      <c r="E1041" s="2">
        <v>2.900003161E9</v>
      </c>
      <c r="F1041" s="2">
        <v>13814.0</v>
      </c>
      <c r="G1041" s="2">
        <v>2.0</v>
      </c>
      <c r="H1041" s="2">
        <v>0.0</v>
      </c>
      <c r="I1041" s="2">
        <v>390000.0</v>
      </c>
      <c r="J1041" s="2">
        <v>1.0</v>
      </c>
      <c r="K1041" s="2">
        <v>7.0</v>
      </c>
      <c r="O1041" s="2" t="s">
        <v>486</v>
      </c>
      <c r="P1041" s="2" t="s">
        <v>166</v>
      </c>
      <c r="R1041" s="2" t="s">
        <v>933</v>
      </c>
      <c r="S1041" s="11">
        <v>42213.64685185185</v>
      </c>
    </row>
    <row r="1042" ht="12.75" hidden="1" customHeight="1">
      <c r="A1042" s="2" t="str">
        <f>IF(VLOOKUP(E1042,Sheet4!$A$585:$B$786,2,0)=0,1, )</f>
        <v>1</v>
      </c>
      <c r="B1042" s="2" t="str">
        <f t="shared" si="1"/>
        <v>1</v>
      </c>
      <c r="C1042" s="2" t="str">
        <f t="shared" si="2"/>
        <v>2900003162-8627</v>
      </c>
      <c r="D1042" s="2">
        <v>3.20076919E8</v>
      </c>
      <c r="E1042" s="2">
        <v>2.900003162E9</v>
      </c>
      <c r="F1042" s="2">
        <v>8627.0</v>
      </c>
      <c r="G1042" s="2">
        <v>1.0</v>
      </c>
      <c r="H1042" s="2">
        <v>0.0</v>
      </c>
      <c r="I1042" s="2">
        <v>435000.0</v>
      </c>
      <c r="J1042" s="2">
        <v>1.0</v>
      </c>
      <c r="K1042" s="2">
        <v>7.0</v>
      </c>
      <c r="O1042" s="2" t="s">
        <v>1029</v>
      </c>
      <c r="P1042" s="2" t="s">
        <v>166</v>
      </c>
      <c r="R1042" s="2" t="s">
        <v>933</v>
      </c>
      <c r="S1042" s="11">
        <v>42213.66824074074</v>
      </c>
    </row>
    <row r="1043" ht="12.75" hidden="1" customHeight="1">
      <c r="A1043" s="2" t="str">
        <f>IF(VLOOKUP(E1043,Sheet4!$A$585:$B$786,2,0)=0,1, )</f>
        <v>1</v>
      </c>
      <c r="B1043" s="2" t="str">
        <f t="shared" si="1"/>
        <v/>
      </c>
      <c r="C1043" s="2" t="str">
        <f t="shared" si="2"/>
        <v>2900003162-8627</v>
      </c>
      <c r="D1043" s="2">
        <v>3.20081844E8</v>
      </c>
      <c r="E1043" s="2">
        <v>2.900003162E9</v>
      </c>
      <c r="F1043" s="2">
        <v>8627.0</v>
      </c>
      <c r="G1043" s="2">
        <v>1.0</v>
      </c>
      <c r="H1043" s="2">
        <v>0.0</v>
      </c>
      <c r="I1043" s="2">
        <v>435000.0</v>
      </c>
      <c r="J1043" s="2">
        <v>1.0</v>
      </c>
      <c r="K1043" s="2">
        <v>7.0</v>
      </c>
      <c r="O1043" s="2" t="s">
        <v>1029</v>
      </c>
      <c r="P1043" s="2" t="s">
        <v>166</v>
      </c>
      <c r="R1043" s="2" t="s">
        <v>933</v>
      </c>
      <c r="S1043" s="11">
        <v>42220.59394675926</v>
      </c>
    </row>
    <row r="1044" ht="12.75" hidden="1" customHeight="1">
      <c r="A1044" s="2" t="str">
        <f>IF(VLOOKUP(E1044,Sheet4!$A$585:$B$786,2,0)=0,1, )</f>
        <v>1</v>
      </c>
      <c r="B1044" s="2" t="str">
        <f t="shared" si="1"/>
        <v>1</v>
      </c>
      <c r="C1044" s="2" t="str">
        <f t="shared" si="2"/>
        <v>2900003163-14207</v>
      </c>
      <c r="D1044" s="2">
        <v>3.20081845E8</v>
      </c>
      <c r="E1044" s="2">
        <v>2.900003163E9</v>
      </c>
      <c r="F1044" s="2">
        <v>14207.0</v>
      </c>
      <c r="G1044" s="2">
        <v>1.0</v>
      </c>
      <c r="H1044" s="2">
        <v>0.0</v>
      </c>
      <c r="I1044" s="2">
        <v>135000.0</v>
      </c>
      <c r="J1044" s="2">
        <v>1.0</v>
      </c>
      <c r="K1044" s="2">
        <v>7.0</v>
      </c>
      <c r="O1044" s="2" t="s">
        <v>1031</v>
      </c>
      <c r="P1044" s="2" t="s">
        <v>166</v>
      </c>
      <c r="R1044" s="2" t="s">
        <v>933</v>
      </c>
      <c r="S1044" s="11">
        <v>42220.59394675926</v>
      </c>
    </row>
    <row r="1045" ht="12.75" hidden="1" customHeight="1">
      <c r="A1045" s="2" t="str">
        <f>IF(VLOOKUP(E1045,Sheet4!$A$585:$B$786,2,0)=0,1, )</f>
        <v>1</v>
      </c>
      <c r="B1045" s="2" t="str">
        <f t="shared" si="1"/>
        <v/>
      </c>
      <c r="C1045" s="2" t="str">
        <f t="shared" si="2"/>
        <v>2900003163-14207</v>
      </c>
      <c r="D1045" s="2">
        <v>3.2007692E8</v>
      </c>
      <c r="E1045" s="2">
        <v>2.900003163E9</v>
      </c>
      <c r="F1045" s="2">
        <v>14207.0</v>
      </c>
      <c r="G1045" s="2">
        <v>1.0</v>
      </c>
      <c r="H1045" s="2">
        <v>0.0</v>
      </c>
      <c r="I1045" s="2">
        <v>135000.0</v>
      </c>
      <c r="J1045" s="2">
        <v>1.0</v>
      </c>
      <c r="K1045" s="2">
        <v>7.0</v>
      </c>
      <c r="O1045" s="2" t="s">
        <v>1031</v>
      </c>
      <c r="P1045" s="2" t="s">
        <v>166</v>
      </c>
      <c r="R1045" s="2" t="s">
        <v>933</v>
      </c>
      <c r="S1045" s="11">
        <v>42213.66841435185</v>
      </c>
    </row>
    <row r="1046" ht="12.75" hidden="1" customHeight="1">
      <c r="A1046" s="2" t="str">
        <f>IF(VLOOKUP(E1046,Sheet4!$A$585:$B$786,2,0)=0,1, )</f>
        <v>1</v>
      </c>
      <c r="B1046" s="2" t="str">
        <f t="shared" si="1"/>
        <v>1</v>
      </c>
      <c r="C1046" s="2" t="str">
        <f t="shared" si="2"/>
        <v>2900003163-14839</v>
      </c>
      <c r="D1046" s="2">
        <v>3.20076922E8</v>
      </c>
      <c r="E1046" s="2">
        <v>2.900003163E9</v>
      </c>
      <c r="F1046" s="2">
        <v>14839.0</v>
      </c>
      <c r="G1046" s="2">
        <v>1.0</v>
      </c>
      <c r="H1046" s="2">
        <v>0.0</v>
      </c>
      <c r="I1046" s="2">
        <v>181000.0</v>
      </c>
      <c r="J1046" s="2">
        <v>1.0</v>
      </c>
      <c r="K1046" s="2">
        <v>7.0</v>
      </c>
      <c r="O1046" s="2" t="s">
        <v>1033</v>
      </c>
      <c r="P1046" s="2" t="s">
        <v>166</v>
      </c>
      <c r="R1046" s="2" t="s">
        <v>933</v>
      </c>
      <c r="S1046" s="11">
        <v>42213.66841435185</v>
      </c>
    </row>
    <row r="1047" ht="12.75" hidden="1" customHeight="1">
      <c r="A1047" s="2" t="str">
        <f>IF(VLOOKUP(E1047,Sheet4!$A$585:$B$786,2,0)=0,1, )</f>
        <v>1</v>
      </c>
      <c r="B1047" s="2" t="str">
        <f t="shared" si="1"/>
        <v/>
      </c>
      <c r="C1047" s="2" t="str">
        <f t="shared" si="2"/>
        <v>2900003163-14839</v>
      </c>
      <c r="D1047" s="2">
        <v>3.20081847E8</v>
      </c>
      <c r="E1047" s="2">
        <v>2.900003163E9</v>
      </c>
      <c r="F1047" s="2">
        <v>14839.0</v>
      </c>
      <c r="G1047" s="2">
        <v>1.0</v>
      </c>
      <c r="H1047" s="2">
        <v>0.0</v>
      </c>
      <c r="I1047" s="2">
        <v>181000.0</v>
      </c>
      <c r="J1047" s="2">
        <v>1.0</v>
      </c>
      <c r="K1047" s="2">
        <v>7.0</v>
      </c>
      <c r="O1047" s="2" t="s">
        <v>1033</v>
      </c>
      <c r="P1047" s="2" t="s">
        <v>166</v>
      </c>
      <c r="R1047" s="2" t="s">
        <v>933</v>
      </c>
      <c r="S1047" s="11">
        <v>42220.59395833333</v>
      </c>
    </row>
    <row r="1048" ht="12.75" hidden="1" customHeight="1">
      <c r="A1048" s="2" t="str">
        <f>IF(VLOOKUP(E1048,Sheet4!$A$585:$B$786,2,0)=0,1, )</f>
        <v>1</v>
      </c>
      <c r="B1048" s="2" t="str">
        <f t="shared" si="1"/>
        <v>1</v>
      </c>
      <c r="C1048" s="2" t="str">
        <f t="shared" si="2"/>
        <v>2900003163-31000071</v>
      </c>
      <c r="D1048" s="2">
        <v>3.20081846E8</v>
      </c>
      <c r="E1048" s="2">
        <v>2.900003163E9</v>
      </c>
      <c r="F1048" s="2">
        <v>3.1000071E7</v>
      </c>
      <c r="G1048" s="2">
        <v>1.0</v>
      </c>
      <c r="H1048" s="2">
        <v>0.0</v>
      </c>
      <c r="I1048" s="2">
        <v>71000.0</v>
      </c>
      <c r="J1048" s="2">
        <v>1.0</v>
      </c>
      <c r="K1048" s="2">
        <v>7.0</v>
      </c>
      <c r="O1048" s="2" t="s">
        <v>1035</v>
      </c>
      <c r="P1048" s="2" t="s">
        <v>166</v>
      </c>
      <c r="R1048" s="2" t="s">
        <v>933</v>
      </c>
      <c r="S1048" s="11">
        <v>42220.59395833333</v>
      </c>
    </row>
    <row r="1049" ht="12.75" hidden="1" customHeight="1">
      <c r="A1049" s="2" t="str">
        <f>IF(VLOOKUP(E1049,Sheet4!$A$585:$B$786,2,0)=0,1, )</f>
        <v>1</v>
      </c>
      <c r="B1049" s="2" t="str">
        <f t="shared" si="1"/>
        <v/>
      </c>
      <c r="C1049" s="2" t="str">
        <f t="shared" si="2"/>
        <v>2900003163-31000071</v>
      </c>
      <c r="D1049" s="2">
        <v>3.20076921E8</v>
      </c>
      <c r="E1049" s="2">
        <v>2.900003163E9</v>
      </c>
      <c r="F1049" s="2">
        <v>3.1000071E7</v>
      </c>
      <c r="G1049" s="2">
        <v>1.0</v>
      </c>
      <c r="H1049" s="2">
        <v>0.0</v>
      </c>
      <c r="I1049" s="2">
        <v>71000.0</v>
      </c>
      <c r="J1049" s="2">
        <v>1.0</v>
      </c>
      <c r="K1049" s="2">
        <v>7.0</v>
      </c>
      <c r="O1049" s="2" t="s">
        <v>1035</v>
      </c>
      <c r="P1049" s="2" t="s">
        <v>166</v>
      </c>
      <c r="R1049" s="2" t="s">
        <v>933</v>
      </c>
      <c r="S1049" s="11">
        <v>42213.66841435185</v>
      </c>
    </row>
    <row r="1050" ht="12.75" hidden="1" customHeight="1">
      <c r="A1050" s="2" t="str">
        <f>IF(VLOOKUP(E1050,Sheet4!$A$585:$B$786,2,0)=0,1, )</f>
        <v>1</v>
      </c>
      <c r="B1050" s="2" t="str">
        <f t="shared" si="1"/>
        <v>1</v>
      </c>
      <c r="C1050" s="2" t="str">
        <f t="shared" si="2"/>
        <v>2900003164-4806</v>
      </c>
      <c r="D1050" s="2">
        <v>3.20077084E8</v>
      </c>
      <c r="E1050" s="2">
        <v>2.900003164E9</v>
      </c>
      <c r="F1050" s="2">
        <v>4806.0</v>
      </c>
      <c r="G1050" s="2">
        <v>1.0</v>
      </c>
      <c r="H1050" s="2">
        <v>0.0</v>
      </c>
      <c r="I1050" s="2">
        <v>86000.0</v>
      </c>
      <c r="J1050" s="2">
        <v>1.0</v>
      </c>
      <c r="K1050" s="2">
        <v>7.0</v>
      </c>
      <c r="O1050" s="2" t="s">
        <v>864</v>
      </c>
      <c r="P1050" s="2" t="s">
        <v>166</v>
      </c>
      <c r="R1050" s="2" t="s">
        <v>933</v>
      </c>
      <c r="S1050" s="11">
        <v>42213.86398148148</v>
      </c>
    </row>
    <row r="1051" ht="12.75" hidden="1" customHeight="1">
      <c r="A1051" s="2" t="str">
        <f>IF(VLOOKUP(E1051,Sheet4!$A$585:$B$786,2,0)=0,1, )</f>
        <v>1</v>
      </c>
      <c r="B1051" s="2" t="str">
        <f t="shared" si="1"/>
        <v/>
      </c>
      <c r="C1051" s="2" t="str">
        <f t="shared" si="2"/>
        <v>2900003164-4806</v>
      </c>
      <c r="D1051" s="2">
        <v>3.20081848E8</v>
      </c>
      <c r="E1051" s="2">
        <v>2.900003164E9</v>
      </c>
      <c r="F1051" s="2">
        <v>4806.0</v>
      </c>
      <c r="G1051" s="2">
        <v>1.0</v>
      </c>
      <c r="H1051" s="2">
        <v>0.0</v>
      </c>
      <c r="I1051" s="2">
        <v>86000.0</v>
      </c>
      <c r="J1051" s="2">
        <v>1.0</v>
      </c>
      <c r="K1051" s="2">
        <v>7.0</v>
      </c>
      <c r="O1051" s="2" t="s">
        <v>864</v>
      </c>
      <c r="P1051" s="2" t="s">
        <v>166</v>
      </c>
      <c r="R1051" s="2" t="s">
        <v>933</v>
      </c>
      <c r="S1051" s="11">
        <v>42220.59395833333</v>
      </c>
    </row>
    <row r="1052" ht="12.75" hidden="1" customHeight="1">
      <c r="A1052" s="2" t="str">
        <f>IF(VLOOKUP(E1052,Sheet4!$A$585:$B$786,2,0)=0,1, )</f>
        <v>1</v>
      </c>
      <c r="B1052" s="2" t="str">
        <f t="shared" si="1"/>
        <v>1</v>
      </c>
      <c r="C1052" s="2" t="str">
        <f t="shared" si="2"/>
        <v>2900003164-8121</v>
      </c>
      <c r="D1052" s="2">
        <v>3.20081851E8</v>
      </c>
      <c r="E1052" s="2">
        <v>2.900003164E9</v>
      </c>
      <c r="F1052" s="2">
        <v>8121.0</v>
      </c>
      <c r="G1052" s="2">
        <v>1.0</v>
      </c>
      <c r="H1052" s="2">
        <v>0.0</v>
      </c>
      <c r="I1052" s="2">
        <v>330000.0</v>
      </c>
      <c r="J1052" s="2">
        <v>1.0</v>
      </c>
      <c r="K1052" s="2">
        <v>7.0</v>
      </c>
      <c r="O1052" s="2" t="s">
        <v>1038</v>
      </c>
      <c r="P1052" s="2" t="s">
        <v>166</v>
      </c>
      <c r="R1052" s="2" t="s">
        <v>933</v>
      </c>
      <c r="S1052" s="11">
        <v>42220.59395833333</v>
      </c>
    </row>
    <row r="1053" ht="12.75" hidden="1" customHeight="1">
      <c r="A1053" s="2" t="str">
        <f>IF(VLOOKUP(E1053,Sheet4!$A$585:$B$786,2,0)=0,1, )</f>
        <v>1</v>
      </c>
      <c r="B1053" s="2" t="str">
        <f t="shared" si="1"/>
        <v/>
      </c>
      <c r="C1053" s="2" t="str">
        <f t="shared" si="2"/>
        <v>2900003164-8121</v>
      </c>
      <c r="D1053" s="2">
        <v>3.20077087E8</v>
      </c>
      <c r="E1053" s="2">
        <v>2.900003164E9</v>
      </c>
      <c r="F1053" s="2">
        <v>8121.0</v>
      </c>
      <c r="G1053" s="2">
        <v>1.0</v>
      </c>
      <c r="H1053" s="2">
        <v>0.0</v>
      </c>
      <c r="I1053" s="2">
        <v>330000.0</v>
      </c>
      <c r="J1053" s="2">
        <v>1.0</v>
      </c>
      <c r="K1053" s="2">
        <v>7.0</v>
      </c>
      <c r="O1053" s="2" t="s">
        <v>1038</v>
      </c>
      <c r="P1053" s="2" t="s">
        <v>166</v>
      </c>
      <c r="R1053" s="2" t="s">
        <v>933</v>
      </c>
      <c r="S1053" s="11">
        <v>42213.86398148148</v>
      </c>
    </row>
    <row r="1054" ht="12.75" hidden="1" customHeight="1">
      <c r="A1054" s="2" t="str">
        <f>IF(VLOOKUP(E1054,Sheet4!$A$585:$B$786,2,0)=0,1, )</f>
        <v>1</v>
      </c>
      <c r="B1054" s="2" t="str">
        <f t="shared" si="1"/>
        <v>1</v>
      </c>
      <c r="C1054" s="2" t="str">
        <f t="shared" si="2"/>
        <v>2900003164-13811</v>
      </c>
      <c r="D1054" s="2">
        <v>3.20077085E8</v>
      </c>
      <c r="E1054" s="2">
        <v>2.900003164E9</v>
      </c>
      <c r="F1054" s="2">
        <v>13811.0</v>
      </c>
      <c r="G1054" s="2">
        <v>1.0</v>
      </c>
      <c r="H1054" s="2">
        <v>0.0</v>
      </c>
      <c r="I1054" s="2">
        <v>96000.0</v>
      </c>
      <c r="J1054" s="2">
        <v>1.0</v>
      </c>
      <c r="K1054" s="2">
        <v>7.0</v>
      </c>
      <c r="O1054" s="2" t="s">
        <v>1040</v>
      </c>
      <c r="P1054" s="2" t="s">
        <v>166</v>
      </c>
      <c r="R1054" s="2" t="s">
        <v>933</v>
      </c>
      <c r="S1054" s="11">
        <v>42213.86398148148</v>
      </c>
    </row>
    <row r="1055" ht="12.75" hidden="1" customHeight="1">
      <c r="A1055" s="2" t="str">
        <f>IF(VLOOKUP(E1055,Sheet4!$A$585:$B$786,2,0)=0,1, )</f>
        <v>1</v>
      </c>
      <c r="B1055" s="2" t="str">
        <f t="shared" si="1"/>
        <v/>
      </c>
      <c r="C1055" s="2" t="str">
        <f t="shared" si="2"/>
        <v>2900003164-13811</v>
      </c>
      <c r="D1055" s="2">
        <v>3.20081849E8</v>
      </c>
      <c r="E1055" s="2">
        <v>2.900003164E9</v>
      </c>
      <c r="F1055" s="2">
        <v>13811.0</v>
      </c>
      <c r="G1055" s="2">
        <v>1.0</v>
      </c>
      <c r="H1055" s="2">
        <v>0.0</v>
      </c>
      <c r="I1055" s="2">
        <v>96000.0</v>
      </c>
      <c r="J1055" s="2">
        <v>1.0</v>
      </c>
      <c r="K1055" s="2">
        <v>7.0</v>
      </c>
      <c r="O1055" s="2" t="s">
        <v>1040</v>
      </c>
      <c r="P1055" s="2" t="s">
        <v>166</v>
      </c>
      <c r="R1055" s="2" t="s">
        <v>933</v>
      </c>
      <c r="S1055" s="11">
        <v>42220.59395833333</v>
      </c>
    </row>
    <row r="1056" ht="12.75" hidden="1" customHeight="1">
      <c r="A1056" s="2" t="str">
        <f>IF(VLOOKUP(E1056,Sheet4!$A$585:$B$786,2,0)=0,1, )</f>
        <v>1</v>
      </c>
      <c r="B1056" s="2" t="str">
        <f t="shared" si="1"/>
        <v>1</v>
      </c>
      <c r="C1056" s="2" t="str">
        <f t="shared" si="2"/>
        <v>2900003164-15387</v>
      </c>
      <c r="D1056" s="2">
        <v>3.2008185E8</v>
      </c>
      <c r="E1056" s="2">
        <v>2.900003164E9</v>
      </c>
      <c r="F1056" s="2">
        <v>15387.0</v>
      </c>
      <c r="G1056" s="2">
        <v>2.0</v>
      </c>
      <c r="H1056" s="2">
        <v>0.0</v>
      </c>
      <c r="I1056" s="2">
        <v>254000.0</v>
      </c>
      <c r="J1056" s="2">
        <v>1.0</v>
      </c>
      <c r="K1056" s="2">
        <v>7.0</v>
      </c>
      <c r="O1056" s="2" t="s">
        <v>1042</v>
      </c>
      <c r="P1056" s="2" t="s">
        <v>166</v>
      </c>
      <c r="R1056" s="2" t="s">
        <v>933</v>
      </c>
      <c r="S1056" s="11">
        <v>42220.59395833333</v>
      </c>
    </row>
    <row r="1057" ht="12.75" hidden="1" customHeight="1">
      <c r="A1057" s="2" t="str">
        <f>IF(VLOOKUP(E1057,Sheet4!$A$585:$B$786,2,0)=0,1, )</f>
        <v>1</v>
      </c>
      <c r="B1057" s="2" t="str">
        <f t="shared" si="1"/>
        <v/>
      </c>
      <c r="C1057" s="2" t="str">
        <f t="shared" si="2"/>
        <v>2900003164-15387</v>
      </c>
      <c r="D1057" s="2">
        <v>3.20077086E8</v>
      </c>
      <c r="E1057" s="2">
        <v>2.900003164E9</v>
      </c>
      <c r="F1057" s="2">
        <v>15387.0</v>
      </c>
      <c r="G1057" s="2">
        <v>2.0</v>
      </c>
      <c r="H1057" s="2">
        <v>0.0</v>
      </c>
      <c r="I1057" s="2">
        <v>254000.0</v>
      </c>
      <c r="J1057" s="2">
        <v>1.0</v>
      </c>
      <c r="K1057" s="2">
        <v>7.0</v>
      </c>
      <c r="O1057" s="2" t="s">
        <v>1042</v>
      </c>
      <c r="P1057" s="2" t="s">
        <v>166</v>
      </c>
      <c r="R1057" s="2" t="s">
        <v>933</v>
      </c>
      <c r="S1057" s="11">
        <v>42213.86398148148</v>
      </c>
    </row>
    <row r="1058" ht="12.75" hidden="1" customHeight="1">
      <c r="A1058" s="2" t="str">
        <f>IF(VLOOKUP(E1058,Sheet4!$A$585:$B$786,2,0)=0,1, )</f>
        <v>1</v>
      </c>
      <c r="B1058" s="2" t="str">
        <f t="shared" si="1"/>
        <v>1</v>
      </c>
      <c r="C1058" s="2" t="str">
        <f t="shared" si="2"/>
        <v>2900003165-6376</v>
      </c>
      <c r="D1058" s="2">
        <v>3.20077088E8</v>
      </c>
      <c r="E1058" s="2">
        <v>2.900003165E9</v>
      </c>
      <c r="F1058" s="2">
        <v>6376.0</v>
      </c>
      <c r="G1058" s="2">
        <v>1.0</v>
      </c>
      <c r="H1058" s="2">
        <v>0.0</v>
      </c>
      <c r="I1058" s="2">
        <v>154000.0</v>
      </c>
      <c r="J1058" s="2">
        <v>1.0</v>
      </c>
      <c r="K1058" s="2">
        <v>7.0</v>
      </c>
      <c r="O1058" s="2" t="s">
        <v>1044</v>
      </c>
      <c r="P1058" s="2" t="s">
        <v>166</v>
      </c>
      <c r="R1058" s="2" t="s">
        <v>933</v>
      </c>
      <c r="S1058" s="11">
        <v>42213.86798611111</v>
      </c>
    </row>
    <row r="1059" ht="12.75" hidden="1" customHeight="1">
      <c r="A1059" s="2" t="str">
        <f>IF(VLOOKUP(E1059,Sheet4!$A$585:$B$786,2,0)=0,1, )</f>
        <v>1</v>
      </c>
      <c r="B1059" s="2" t="str">
        <f t="shared" si="1"/>
        <v/>
      </c>
      <c r="C1059" s="2" t="str">
        <f t="shared" si="2"/>
        <v>2900003165-6376</v>
      </c>
      <c r="D1059" s="2">
        <v>3.20081852E8</v>
      </c>
      <c r="E1059" s="2">
        <v>2.900003165E9</v>
      </c>
      <c r="F1059" s="2">
        <v>6376.0</v>
      </c>
      <c r="G1059" s="2">
        <v>1.0</v>
      </c>
      <c r="H1059" s="2">
        <v>0.0</v>
      </c>
      <c r="I1059" s="2">
        <v>154000.0</v>
      </c>
      <c r="J1059" s="2">
        <v>1.0</v>
      </c>
      <c r="K1059" s="2">
        <v>7.0</v>
      </c>
      <c r="O1059" s="2" t="s">
        <v>1044</v>
      </c>
      <c r="P1059" s="2" t="s">
        <v>166</v>
      </c>
      <c r="R1059" s="2" t="s">
        <v>933</v>
      </c>
      <c r="S1059" s="11">
        <v>42220.59395833333</v>
      </c>
    </row>
    <row r="1060" ht="12.75" hidden="1" customHeight="1">
      <c r="A1060" s="2" t="str">
        <f>IF(VLOOKUP(E1060,Sheet4!$A$585:$B$786,2,0)=0,1, )</f>
        <v>1</v>
      </c>
      <c r="B1060" s="2" t="str">
        <f t="shared" si="1"/>
        <v>1</v>
      </c>
      <c r="C1060" s="2" t="str">
        <f t="shared" si="2"/>
        <v>2900003165-13814</v>
      </c>
      <c r="D1060" s="2">
        <v>3.20081853E8</v>
      </c>
      <c r="E1060" s="2">
        <v>2.900003165E9</v>
      </c>
      <c r="F1060" s="2">
        <v>13814.0</v>
      </c>
      <c r="G1060" s="2">
        <v>1.0</v>
      </c>
      <c r="H1060" s="2">
        <v>0.0</v>
      </c>
      <c r="I1060" s="2">
        <v>195000.0</v>
      </c>
      <c r="J1060" s="2">
        <v>1.0</v>
      </c>
      <c r="K1060" s="2">
        <v>7.0</v>
      </c>
      <c r="O1060" s="2" t="s">
        <v>486</v>
      </c>
      <c r="P1060" s="2" t="s">
        <v>166</v>
      </c>
      <c r="R1060" s="2" t="s">
        <v>933</v>
      </c>
      <c r="S1060" s="11">
        <v>42220.59395833333</v>
      </c>
    </row>
    <row r="1061" ht="12.75" hidden="1" customHeight="1">
      <c r="A1061" s="2" t="str">
        <f>IF(VLOOKUP(E1061,Sheet4!$A$585:$B$786,2,0)=0,1, )</f>
        <v>1</v>
      </c>
      <c r="B1061" s="2" t="str">
        <f t="shared" si="1"/>
        <v/>
      </c>
      <c r="C1061" s="2" t="str">
        <f t="shared" si="2"/>
        <v>2900003165-13814</v>
      </c>
      <c r="D1061" s="2">
        <v>3.20077089E8</v>
      </c>
      <c r="E1061" s="2">
        <v>2.900003165E9</v>
      </c>
      <c r="F1061" s="2">
        <v>13814.0</v>
      </c>
      <c r="G1061" s="2">
        <v>1.0</v>
      </c>
      <c r="H1061" s="2">
        <v>0.0</v>
      </c>
      <c r="I1061" s="2">
        <v>195000.0</v>
      </c>
      <c r="J1061" s="2">
        <v>1.0</v>
      </c>
      <c r="K1061" s="2">
        <v>7.0</v>
      </c>
      <c r="O1061" s="2" t="s">
        <v>486</v>
      </c>
      <c r="P1061" s="2" t="s">
        <v>166</v>
      </c>
      <c r="R1061" s="2" t="s">
        <v>933</v>
      </c>
      <c r="S1061" s="11">
        <v>42213.86798611111</v>
      </c>
    </row>
    <row r="1062" ht="12.75" hidden="1" customHeight="1">
      <c r="A1062" s="2" t="str">
        <f>IF(VLOOKUP(E1062,Sheet4!$A$585:$B$786,2,0)=0,1, )</f>
        <v>1</v>
      </c>
      <c r="B1062" s="2" t="str">
        <f t="shared" si="1"/>
        <v>1</v>
      </c>
      <c r="C1062" s="2" t="str">
        <f t="shared" si="2"/>
        <v>2900003165-14542</v>
      </c>
      <c r="D1062" s="2">
        <v>3.2007709E8</v>
      </c>
      <c r="E1062" s="2">
        <v>2.900003165E9</v>
      </c>
      <c r="F1062" s="2">
        <v>14542.0</v>
      </c>
      <c r="G1062" s="2">
        <v>1.0</v>
      </c>
      <c r="H1062" s="2">
        <v>0.0</v>
      </c>
      <c r="I1062" s="2">
        <v>87000.0</v>
      </c>
      <c r="J1062" s="2">
        <v>1.0</v>
      </c>
      <c r="K1062" s="2">
        <v>7.0</v>
      </c>
      <c r="O1062" s="2" t="s">
        <v>1047</v>
      </c>
      <c r="P1062" s="2" t="s">
        <v>166</v>
      </c>
      <c r="R1062" s="2" t="s">
        <v>933</v>
      </c>
      <c r="S1062" s="11">
        <v>42213.86798611111</v>
      </c>
    </row>
    <row r="1063" ht="12.75" hidden="1" customHeight="1">
      <c r="A1063" s="2" t="str">
        <f>IF(VLOOKUP(E1063,Sheet4!$A$585:$B$786,2,0)=0,1, )</f>
        <v>1</v>
      </c>
      <c r="B1063" s="2" t="str">
        <f t="shared" si="1"/>
        <v/>
      </c>
      <c r="C1063" s="2" t="str">
        <f t="shared" si="2"/>
        <v>2900003165-14542</v>
      </c>
      <c r="D1063" s="2">
        <v>3.20081854E8</v>
      </c>
      <c r="E1063" s="2">
        <v>2.900003165E9</v>
      </c>
      <c r="F1063" s="2">
        <v>14542.0</v>
      </c>
      <c r="G1063" s="2">
        <v>1.0</v>
      </c>
      <c r="H1063" s="2">
        <v>0.0</v>
      </c>
      <c r="I1063" s="2">
        <v>87000.0</v>
      </c>
      <c r="J1063" s="2">
        <v>1.0</v>
      </c>
      <c r="K1063" s="2">
        <v>7.0</v>
      </c>
      <c r="O1063" s="2" t="s">
        <v>1047</v>
      </c>
      <c r="P1063" s="2" t="s">
        <v>166</v>
      </c>
      <c r="R1063" s="2" t="s">
        <v>933</v>
      </c>
      <c r="S1063" s="11">
        <v>42220.59395833333</v>
      </c>
    </row>
    <row r="1064" ht="12.75" hidden="1" customHeight="1">
      <c r="A1064" s="2" t="str">
        <f>IF(VLOOKUP(E1064,Sheet4!$A$585:$B$786,2,0)=0,1, )</f>
        <v>1</v>
      </c>
      <c r="B1064" s="2" t="str">
        <f t="shared" si="1"/>
        <v>1</v>
      </c>
      <c r="C1064" s="2" t="str">
        <f t="shared" si="2"/>
        <v>2900003166-718</v>
      </c>
      <c r="D1064" s="2">
        <v>3.20081856E8</v>
      </c>
      <c r="E1064" s="2">
        <v>2.900003166E9</v>
      </c>
      <c r="F1064" s="2">
        <v>718.0</v>
      </c>
      <c r="G1064" s="2">
        <v>1.0</v>
      </c>
      <c r="H1064" s="2">
        <v>0.0</v>
      </c>
      <c r="I1064" s="2">
        <v>298000.0</v>
      </c>
      <c r="J1064" s="2">
        <v>1.0</v>
      </c>
      <c r="K1064" s="2">
        <v>7.0</v>
      </c>
      <c r="O1064" s="2" t="s">
        <v>1049</v>
      </c>
      <c r="P1064" s="2" t="s">
        <v>166</v>
      </c>
      <c r="R1064" s="2" t="s">
        <v>933</v>
      </c>
      <c r="S1064" s="11">
        <v>42220.59395833333</v>
      </c>
    </row>
    <row r="1065" ht="12.75" hidden="1" customHeight="1">
      <c r="A1065" s="2" t="str">
        <f>IF(VLOOKUP(E1065,Sheet4!$A$585:$B$786,2,0)=0,1, )</f>
        <v>1</v>
      </c>
      <c r="B1065" s="2" t="str">
        <f t="shared" si="1"/>
        <v/>
      </c>
      <c r="C1065" s="2" t="str">
        <f t="shared" si="2"/>
        <v>2900003166-718</v>
      </c>
      <c r="D1065" s="2">
        <v>3.20077092E8</v>
      </c>
      <c r="E1065" s="2">
        <v>2.900003166E9</v>
      </c>
      <c r="F1065" s="2">
        <v>718.0</v>
      </c>
      <c r="G1065" s="2">
        <v>1.0</v>
      </c>
      <c r="H1065" s="2">
        <v>0.0</v>
      </c>
      <c r="I1065" s="2">
        <v>298000.0</v>
      </c>
      <c r="J1065" s="2">
        <v>1.0</v>
      </c>
      <c r="K1065" s="2">
        <v>7.0</v>
      </c>
      <c r="O1065" s="2" t="s">
        <v>1049</v>
      </c>
      <c r="P1065" s="2" t="s">
        <v>166</v>
      </c>
      <c r="R1065" s="2" t="s">
        <v>933</v>
      </c>
      <c r="S1065" s="11">
        <v>42213.86886574074</v>
      </c>
    </row>
    <row r="1066" ht="12.75" hidden="1" customHeight="1">
      <c r="A1066" s="2" t="str">
        <f>IF(VLOOKUP(E1066,Sheet4!$A$585:$B$786,2,0)=0,1, )</f>
        <v>1</v>
      </c>
      <c r="B1066" s="2" t="str">
        <f t="shared" si="1"/>
        <v>1</v>
      </c>
      <c r="C1066" s="2" t="str">
        <f t="shared" si="2"/>
        <v>2900003166-13990</v>
      </c>
      <c r="D1066" s="2">
        <v>3.20077091E8</v>
      </c>
      <c r="E1066" s="2">
        <v>2.900003166E9</v>
      </c>
      <c r="F1066" s="2">
        <v>13990.0</v>
      </c>
      <c r="G1066" s="2">
        <v>1.0</v>
      </c>
      <c r="H1066" s="2">
        <v>0.0</v>
      </c>
      <c r="I1066" s="2">
        <v>530000.0</v>
      </c>
      <c r="J1066" s="2">
        <v>1.0</v>
      </c>
      <c r="K1066" s="2">
        <v>7.0</v>
      </c>
      <c r="O1066" s="2" t="s">
        <v>707</v>
      </c>
      <c r="P1066" s="2" t="s">
        <v>166</v>
      </c>
      <c r="R1066" s="2" t="s">
        <v>933</v>
      </c>
      <c r="S1066" s="11">
        <v>42213.86886574074</v>
      </c>
    </row>
    <row r="1067" ht="12.75" hidden="1" customHeight="1">
      <c r="A1067" s="2" t="str">
        <f>IF(VLOOKUP(E1067,Sheet4!$A$585:$B$786,2,0)=0,1, )</f>
        <v>1</v>
      </c>
      <c r="B1067" s="2" t="str">
        <f t="shared" si="1"/>
        <v/>
      </c>
      <c r="C1067" s="2" t="str">
        <f t="shared" si="2"/>
        <v>2900003166-13990</v>
      </c>
      <c r="D1067" s="2">
        <v>3.20081855E8</v>
      </c>
      <c r="E1067" s="2">
        <v>2.900003166E9</v>
      </c>
      <c r="F1067" s="2">
        <v>13990.0</v>
      </c>
      <c r="G1067" s="2">
        <v>1.0</v>
      </c>
      <c r="H1067" s="2">
        <v>0.0</v>
      </c>
      <c r="I1067" s="2">
        <v>530000.0</v>
      </c>
      <c r="J1067" s="2">
        <v>1.0</v>
      </c>
      <c r="K1067" s="2">
        <v>7.0</v>
      </c>
      <c r="O1067" s="2" t="s">
        <v>707</v>
      </c>
      <c r="P1067" s="2" t="s">
        <v>166</v>
      </c>
      <c r="R1067" s="2" t="s">
        <v>933</v>
      </c>
      <c r="S1067" s="11">
        <v>42220.59395833333</v>
      </c>
    </row>
    <row r="1068" ht="12.75" hidden="1" customHeight="1">
      <c r="A1068" s="2" t="str">
        <f>IF(VLOOKUP(E1068,Sheet4!$A$585:$B$786,2,0)=0,1, )</f>
        <v>1</v>
      </c>
      <c r="B1068" s="2" t="str">
        <f t="shared" si="1"/>
        <v>1</v>
      </c>
      <c r="C1068" s="2" t="str">
        <f t="shared" si="2"/>
        <v>2900003167-5382</v>
      </c>
      <c r="D1068" s="2">
        <v>3.20081858E8</v>
      </c>
      <c r="E1068" s="2">
        <v>2.900003167E9</v>
      </c>
      <c r="F1068" s="2">
        <v>5382.0</v>
      </c>
      <c r="G1068" s="2">
        <v>1.0</v>
      </c>
      <c r="H1068" s="2">
        <v>0.0</v>
      </c>
      <c r="I1068" s="2">
        <v>365000.0</v>
      </c>
      <c r="J1068" s="2">
        <v>1.0</v>
      </c>
      <c r="K1068" s="2">
        <v>7.0</v>
      </c>
      <c r="O1068" s="2" t="s">
        <v>1052</v>
      </c>
      <c r="P1068" s="2" t="s">
        <v>166</v>
      </c>
      <c r="R1068" s="2" t="s">
        <v>933</v>
      </c>
      <c r="S1068" s="11">
        <v>42220.59396990741</v>
      </c>
    </row>
    <row r="1069" ht="12.75" hidden="1" customHeight="1">
      <c r="A1069" s="2" t="str">
        <f>IF(VLOOKUP(E1069,Sheet4!$A$585:$B$786,2,0)=0,1, )</f>
        <v>1</v>
      </c>
      <c r="B1069" s="2" t="str">
        <f t="shared" si="1"/>
        <v/>
      </c>
      <c r="C1069" s="2" t="str">
        <f t="shared" si="2"/>
        <v>2900003167-5382</v>
      </c>
      <c r="D1069" s="2">
        <v>3.20077094E8</v>
      </c>
      <c r="E1069" s="2">
        <v>2.900003167E9</v>
      </c>
      <c r="F1069" s="2">
        <v>5382.0</v>
      </c>
      <c r="G1069" s="2">
        <v>1.0</v>
      </c>
      <c r="H1069" s="2">
        <v>0.0</v>
      </c>
      <c r="I1069" s="2">
        <v>365000.0</v>
      </c>
      <c r="J1069" s="2">
        <v>1.0</v>
      </c>
      <c r="K1069" s="2">
        <v>7.0</v>
      </c>
      <c r="O1069" s="2" t="s">
        <v>1052</v>
      </c>
      <c r="P1069" s="2" t="s">
        <v>166</v>
      </c>
      <c r="R1069" s="2" t="s">
        <v>933</v>
      </c>
      <c r="S1069" s="11">
        <v>42213.86974537037</v>
      </c>
    </row>
    <row r="1070" ht="12.75" hidden="1" customHeight="1">
      <c r="A1070" s="2" t="str">
        <f>IF(VLOOKUP(E1070,Sheet4!$A$585:$B$786,2,0)=0,1, )</f>
        <v>1</v>
      </c>
      <c r="B1070" s="2" t="str">
        <f t="shared" si="1"/>
        <v>1</v>
      </c>
      <c r="C1070" s="2" t="str">
        <f t="shared" si="2"/>
        <v>2900003167-11439</v>
      </c>
      <c r="D1070" s="2">
        <v>3.20077093E8</v>
      </c>
      <c r="E1070" s="2">
        <v>2.900003167E9</v>
      </c>
      <c r="F1070" s="2">
        <v>11439.0</v>
      </c>
      <c r="G1070" s="2">
        <v>1.0</v>
      </c>
      <c r="H1070" s="2">
        <v>0.0</v>
      </c>
      <c r="I1070" s="2">
        <v>293000.0</v>
      </c>
      <c r="J1070" s="2">
        <v>1.0</v>
      </c>
      <c r="K1070" s="2">
        <v>7.0</v>
      </c>
      <c r="O1070" s="2" t="s">
        <v>1054</v>
      </c>
      <c r="P1070" s="2" t="s">
        <v>166</v>
      </c>
      <c r="R1070" s="2" t="s">
        <v>933</v>
      </c>
      <c r="S1070" s="11">
        <v>42213.86974537037</v>
      </c>
    </row>
    <row r="1071" ht="12.75" hidden="1" customHeight="1">
      <c r="A1071" s="2" t="str">
        <f>IF(VLOOKUP(E1071,Sheet4!$A$585:$B$786,2,0)=0,1, )</f>
        <v>1</v>
      </c>
      <c r="B1071" s="2" t="str">
        <f t="shared" si="1"/>
        <v/>
      </c>
      <c r="C1071" s="2" t="str">
        <f t="shared" si="2"/>
        <v>2900003167-11439</v>
      </c>
      <c r="D1071" s="2">
        <v>3.20081857E8</v>
      </c>
      <c r="E1071" s="2">
        <v>2.900003167E9</v>
      </c>
      <c r="F1071" s="2">
        <v>11439.0</v>
      </c>
      <c r="G1071" s="2">
        <v>1.0</v>
      </c>
      <c r="H1071" s="2">
        <v>0.0</v>
      </c>
      <c r="I1071" s="2">
        <v>293000.0</v>
      </c>
      <c r="J1071" s="2">
        <v>1.0</v>
      </c>
      <c r="K1071" s="2">
        <v>7.0</v>
      </c>
      <c r="O1071" s="2" t="s">
        <v>1054</v>
      </c>
      <c r="P1071" s="2" t="s">
        <v>166</v>
      </c>
      <c r="R1071" s="2" t="s">
        <v>933</v>
      </c>
      <c r="S1071" s="11">
        <v>42220.59395833333</v>
      </c>
    </row>
    <row r="1072" ht="12.75" hidden="1" customHeight="1">
      <c r="A1072" s="2" t="str">
        <f>IF(VLOOKUP(E1072,Sheet4!$A$585:$B$786,2,0)=0,1, )</f>
        <v>1</v>
      </c>
      <c r="B1072" s="2" t="str">
        <f t="shared" si="1"/>
        <v>1</v>
      </c>
      <c r="C1072" s="2" t="str">
        <f t="shared" si="2"/>
        <v>2900003168-4985</v>
      </c>
      <c r="D1072" s="2">
        <v>3.20081859E8</v>
      </c>
      <c r="E1072" s="2">
        <v>2.900003168E9</v>
      </c>
      <c r="F1072" s="2">
        <v>4985.0</v>
      </c>
      <c r="G1072" s="2">
        <v>1.0</v>
      </c>
      <c r="H1072" s="2">
        <v>0.0</v>
      </c>
      <c r="I1072" s="2">
        <v>125000.0</v>
      </c>
      <c r="J1072" s="2">
        <v>1.0</v>
      </c>
      <c r="K1072" s="2">
        <v>7.0</v>
      </c>
      <c r="O1072" s="2" t="s">
        <v>775</v>
      </c>
      <c r="P1072" s="2" t="s">
        <v>166</v>
      </c>
      <c r="R1072" s="2" t="s">
        <v>933</v>
      </c>
      <c r="S1072" s="11">
        <v>42220.59396990741</v>
      </c>
    </row>
    <row r="1073" ht="12.75" hidden="1" customHeight="1">
      <c r="A1073" s="2" t="str">
        <f>IF(VLOOKUP(E1073,Sheet4!$A$585:$B$786,2,0)=0,1, )</f>
        <v>1</v>
      </c>
      <c r="B1073" s="2" t="str">
        <f t="shared" si="1"/>
        <v/>
      </c>
      <c r="C1073" s="2" t="str">
        <f t="shared" si="2"/>
        <v>2900003168-4985</v>
      </c>
      <c r="D1073" s="2">
        <v>3.20077096E8</v>
      </c>
      <c r="E1073" s="2">
        <v>2.900003168E9</v>
      </c>
      <c r="F1073" s="2">
        <v>4985.0</v>
      </c>
      <c r="G1073" s="2">
        <v>1.0</v>
      </c>
      <c r="H1073" s="2">
        <v>0.0</v>
      </c>
      <c r="I1073" s="2">
        <v>125000.0</v>
      </c>
      <c r="J1073" s="2">
        <v>1.0</v>
      </c>
      <c r="K1073" s="2">
        <v>7.0</v>
      </c>
      <c r="O1073" s="2" t="s">
        <v>775</v>
      </c>
      <c r="P1073" s="2" t="s">
        <v>166</v>
      </c>
      <c r="R1073" s="2" t="s">
        <v>933</v>
      </c>
      <c r="S1073" s="11">
        <v>42213.8715625</v>
      </c>
    </row>
    <row r="1074" ht="12.75" hidden="1" customHeight="1">
      <c r="A1074" s="2" t="str">
        <f>IF(VLOOKUP(E1074,Sheet4!$A$585:$B$786,2,0)=0,1, )</f>
        <v>1</v>
      </c>
      <c r="B1074" s="2" t="str">
        <f t="shared" si="1"/>
        <v>1</v>
      </c>
      <c r="C1074" s="2" t="str">
        <f t="shared" si="2"/>
        <v>2900003168-13707</v>
      </c>
      <c r="D1074" s="2">
        <v>3.20077097E8</v>
      </c>
      <c r="E1074" s="2">
        <v>2.900003168E9</v>
      </c>
      <c r="F1074" s="2">
        <v>13707.0</v>
      </c>
      <c r="G1074" s="2">
        <v>1.0</v>
      </c>
      <c r="H1074" s="2">
        <v>0.0</v>
      </c>
      <c r="I1074" s="2">
        <v>435000.0</v>
      </c>
      <c r="J1074" s="2">
        <v>1.0</v>
      </c>
      <c r="K1074" s="2">
        <v>7.0</v>
      </c>
      <c r="O1074" s="2" t="s">
        <v>1057</v>
      </c>
      <c r="P1074" s="2" t="s">
        <v>166</v>
      </c>
      <c r="R1074" s="2" t="s">
        <v>933</v>
      </c>
      <c r="S1074" s="11">
        <v>42213.8715625</v>
      </c>
    </row>
    <row r="1075" ht="12.75" hidden="1" customHeight="1">
      <c r="A1075" s="2" t="str">
        <f>IF(VLOOKUP(E1075,Sheet4!$A$585:$B$786,2,0)=0,1, )</f>
        <v>1</v>
      </c>
      <c r="B1075" s="2" t="str">
        <f t="shared" si="1"/>
        <v/>
      </c>
      <c r="C1075" s="2" t="str">
        <f t="shared" si="2"/>
        <v>2900003168-13707</v>
      </c>
      <c r="D1075" s="2">
        <v>3.2008186E8</v>
      </c>
      <c r="E1075" s="2">
        <v>2.900003168E9</v>
      </c>
      <c r="F1075" s="2">
        <v>13707.0</v>
      </c>
      <c r="G1075" s="2">
        <v>1.0</v>
      </c>
      <c r="H1075" s="2">
        <v>0.0</v>
      </c>
      <c r="I1075" s="2">
        <v>435000.0</v>
      </c>
      <c r="J1075" s="2">
        <v>1.0</v>
      </c>
      <c r="K1075" s="2">
        <v>7.0</v>
      </c>
      <c r="O1075" s="2" t="s">
        <v>1057</v>
      </c>
      <c r="P1075" s="2" t="s">
        <v>166</v>
      </c>
      <c r="R1075" s="2" t="s">
        <v>933</v>
      </c>
      <c r="S1075" s="11">
        <v>42220.59396990741</v>
      </c>
    </row>
    <row r="1076" ht="12.75" hidden="1" customHeight="1">
      <c r="A1076" s="2" t="str">
        <f>IF(VLOOKUP(E1076,Sheet4!$A$585:$B$786,2,0)=0,1, )</f>
        <v>1</v>
      </c>
      <c r="B1076" s="2" t="str">
        <f t="shared" si="1"/>
        <v>1</v>
      </c>
      <c r="C1076" s="2" t="str">
        <f t="shared" si="2"/>
        <v>2900003168-16462</v>
      </c>
      <c r="D1076" s="2">
        <v>3.20081861E8</v>
      </c>
      <c r="E1076" s="2">
        <v>2.900003168E9</v>
      </c>
      <c r="F1076" s="2">
        <v>16462.0</v>
      </c>
      <c r="G1076" s="2">
        <v>1.0</v>
      </c>
      <c r="H1076" s="2">
        <v>0.0</v>
      </c>
      <c r="I1076" s="2">
        <v>495000.0</v>
      </c>
      <c r="J1076" s="2">
        <v>1.0</v>
      </c>
      <c r="K1076" s="2">
        <v>7.0</v>
      </c>
      <c r="O1076" s="2" t="s">
        <v>1059</v>
      </c>
      <c r="P1076" s="2" t="s">
        <v>166</v>
      </c>
      <c r="R1076" s="2" t="s">
        <v>933</v>
      </c>
      <c r="S1076" s="11">
        <v>42220.59396990741</v>
      </c>
    </row>
    <row r="1077" ht="12.75" hidden="1" customHeight="1">
      <c r="A1077" s="2" t="str">
        <f>IF(VLOOKUP(E1077,Sheet4!$A$585:$B$786,2,0)=0,1, )</f>
        <v>1</v>
      </c>
      <c r="B1077" s="2" t="str">
        <f t="shared" si="1"/>
        <v/>
      </c>
      <c r="C1077" s="2" t="str">
        <f t="shared" si="2"/>
        <v>2900003168-16462</v>
      </c>
      <c r="D1077" s="2">
        <v>3.20077098E8</v>
      </c>
      <c r="E1077" s="2">
        <v>2.900003168E9</v>
      </c>
      <c r="F1077" s="2">
        <v>16462.0</v>
      </c>
      <c r="G1077" s="2">
        <v>1.0</v>
      </c>
      <c r="H1077" s="2">
        <v>0.0</v>
      </c>
      <c r="I1077" s="2">
        <v>495000.0</v>
      </c>
      <c r="J1077" s="2">
        <v>1.0</v>
      </c>
      <c r="K1077" s="2">
        <v>7.0</v>
      </c>
      <c r="O1077" s="2" t="s">
        <v>1059</v>
      </c>
      <c r="P1077" s="2" t="s">
        <v>166</v>
      </c>
      <c r="R1077" s="2" t="s">
        <v>933</v>
      </c>
      <c r="S1077" s="11">
        <v>42213.8715625</v>
      </c>
    </row>
    <row r="1078" ht="12.75" hidden="1" customHeight="1">
      <c r="A1078" s="2" t="str">
        <f>IF(VLOOKUP(E1078,Sheet4!$A$585:$B$786,2,0)=0,1, )</f>
        <v>1</v>
      </c>
      <c r="B1078" s="2" t="str">
        <f t="shared" si="1"/>
        <v>1</v>
      </c>
      <c r="C1078" s="2" t="str">
        <f t="shared" si="2"/>
        <v>2900003169-7074</v>
      </c>
      <c r="D1078" s="2">
        <v>3.20077099E8</v>
      </c>
      <c r="E1078" s="2">
        <v>2.900003169E9</v>
      </c>
      <c r="F1078" s="2">
        <v>7074.0</v>
      </c>
      <c r="G1078" s="2">
        <v>1.0</v>
      </c>
      <c r="H1078" s="2">
        <v>0.0</v>
      </c>
      <c r="I1078" s="2">
        <v>1090000.0</v>
      </c>
      <c r="J1078" s="2">
        <v>1.0</v>
      </c>
      <c r="K1078" s="2">
        <v>7.0</v>
      </c>
      <c r="O1078" s="2" t="s">
        <v>1061</v>
      </c>
      <c r="P1078" s="2" t="s">
        <v>166</v>
      </c>
      <c r="R1078" s="2" t="s">
        <v>933</v>
      </c>
      <c r="S1078" s="11">
        <v>42213.87284722222</v>
      </c>
    </row>
    <row r="1079" ht="12.75" hidden="1" customHeight="1">
      <c r="A1079" s="2" t="str">
        <f>IF(VLOOKUP(E1079,Sheet4!$A$585:$B$786,2,0)=0,1, )</f>
        <v>1</v>
      </c>
      <c r="B1079" s="2" t="str">
        <f t="shared" si="1"/>
        <v/>
      </c>
      <c r="C1079" s="2" t="str">
        <f t="shared" si="2"/>
        <v>2900003169-7074</v>
      </c>
      <c r="D1079" s="2">
        <v>3.20081862E8</v>
      </c>
      <c r="E1079" s="2">
        <v>2.900003169E9</v>
      </c>
      <c r="F1079" s="2">
        <v>7074.0</v>
      </c>
      <c r="G1079" s="2">
        <v>1.0</v>
      </c>
      <c r="H1079" s="2">
        <v>0.0</v>
      </c>
      <c r="I1079" s="2">
        <v>1090000.0</v>
      </c>
      <c r="J1079" s="2">
        <v>1.0</v>
      </c>
      <c r="K1079" s="2">
        <v>7.0</v>
      </c>
      <c r="O1079" s="2" t="s">
        <v>1061</v>
      </c>
      <c r="P1079" s="2" t="s">
        <v>166</v>
      </c>
      <c r="R1079" s="2" t="s">
        <v>933</v>
      </c>
      <c r="S1079" s="11">
        <v>42220.59396990741</v>
      </c>
    </row>
    <row r="1080" ht="12.75" hidden="1" customHeight="1">
      <c r="A1080" s="2" t="str">
        <f>IF(VLOOKUP(E1080,Sheet4!$A$585:$B$786,2,0)=0,1, )</f>
        <v>1</v>
      </c>
      <c r="B1080" s="2" t="str">
        <f t="shared" si="1"/>
        <v>1</v>
      </c>
      <c r="C1080" s="2" t="str">
        <f t="shared" si="2"/>
        <v>2900003169-16460</v>
      </c>
      <c r="D1080" s="2">
        <v>3.20081863E8</v>
      </c>
      <c r="E1080" s="2">
        <v>2.900003169E9</v>
      </c>
      <c r="F1080" s="2">
        <v>16460.0</v>
      </c>
      <c r="G1080" s="2">
        <v>1.0</v>
      </c>
      <c r="H1080" s="2">
        <v>0.0</v>
      </c>
      <c r="I1080" s="2">
        <v>425000.0</v>
      </c>
      <c r="J1080" s="2">
        <v>1.0</v>
      </c>
      <c r="K1080" s="2">
        <v>7.0</v>
      </c>
      <c r="O1080" s="2" t="s">
        <v>213</v>
      </c>
      <c r="P1080" s="2" t="s">
        <v>166</v>
      </c>
      <c r="R1080" s="2" t="s">
        <v>933</v>
      </c>
      <c r="S1080" s="11">
        <v>42220.59396990741</v>
      </c>
    </row>
    <row r="1081" ht="12.75" hidden="1" customHeight="1">
      <c r="A1081" s="2" t="str">
        <f>IF(VLOOKUP(E1081,Sheet4!$A$585:$B$786,2,0)=0,1, )</f>
        <v>1</v>
      </c>
      <c r="B1081" s="2" t="str">
        <f t="shared" si="1"/>
        <v/>
      </c>
      <c r="C1081" s="2" t="str">
        <f t="shared" si="2"/>
        <v>2900003169-16460</v>
      </c>
      <c r="D1081" s="2">
        <v>3.200771E8</v>
      </c>
      <c r="E1081" s="2">
        <v>2.900003169E9</v>
      </c>
      <c r="F1081" s="2">
        <v>16460.0</v>
      </c>
      <c r="G1081" s="2">
        <v>1.0</v>
      </c>
      <c r="H1081" s="2">
        <v>0.0</v>
      </c>
      <c r="I1081" s="2">
        <v>425000.0</v>
      </c>
      <c r="J1081" s="2">
        <v>1.0</v>
      </c>
      <c r="K1081" s="2">
        <v>7.0</v>
      </c>
      <c r="O1081" s="2" t="s">
        <v>213</v>
      </c>
      <c r="P1081" s="2" t="s">
        <v>166</v>
      </c>
      <c r="R1081" s="2" t="s">
        <v>933</v>
      </c>
      <c r="S1081" s="11">
        <v>42213.87284722222</v>
      </c>
    </row>
    <row r="1082" ht="12.75" hidden="1" customHeight="1">
      <c r="A1082" s="2" t="str">
        <f>IF(VLOOKUP(E1082,Sheet4!$A$585:$B$786,2,0)=0,1, )</f>
        <v>1</v>
      </c>
      <c r="B1082" s="2" t="str">
        <f t="shared" si="1"/>
        <v>1</v>
      </c>
      <c r="C1082" s="2" t="str">
        <f t="shared" si="2"/>
        <v>2900003170-9995</v>
      </c>
      <c r="D1082" s="2">
        <v>3.20077101E8</v>
      </c>
      <c r="E1082" s="2">
        <v>2.90000317E9</v>
      </c>
      <c r="F1082" s="2">
        <v>9995.0</v>
      </c>
      <c r="G1082" s="2">
        <v>1.0</v>
      </c>
      <c r="H1082" s="2">
        <v>0.0</v>
      </c>
      <c r="I1082" s="2">
        <v>136000.0</v>
      </c>
      <c r="J1082" s="2">
        <v>1.0</v>
      </c>
      <c r="K1082" s="2">
        <v>7.0</v>
      </c>
      <c r="O1082" s="2" t="s">
        <v>1064</v>
      </c>
      <c r="P1082" s="2" t="s">
        <v>1065</v>
      </c>
      <c r="R1082" s="2" t="s">
        <v>933</v>
      </c>
      <c r="S1082" s="11">
        <v>42213.87582175926</v>
      </c>
    </row>
    <row r="1083" ht="12.75" hidden="1" customHeight="1">
      <c r="A1083" s="2" t="str">
        <f>IF(VLOOKUP(E1083,Sheet4!$A$585:$B$786,2,0)=0,1, )</f>
        <v>1</v>
      </c>
      <c r="B1083" s="2" t="str">
        <f t="shared" si="1"/>
        <v/>
      </c>
      <c r="C1083" s="2" t="str">
        <f t="shared" si="2"/>
        <v>2900003170-9995</v>
      </c>
      <c r="D1083" s="2">
        <v>3.20081864E8</v>
      </c>
      <c r="E1083" s="2">
        <v>2.90000317E9</v>
      </c>
      <c r="F1083" s="2">
        <v>9995.0</v>
      </c>
      <c r="G1083" s="2">
        <v>1.0</v>
      </c>
      <c r="H1083" s="2">
        <v>0.0</v>
      </c>
      <c r="I1083" s="2">
        <v>136000.0</v>
      </c>
      <c r="J1083" s="2">
        <v>1.0</v>
      </c>
      <c r="K1083" s="2">
        <v>7.0</v>
      </c>
      <c r="O1083" s="2" t="s">
        <v>1064</v>
      </c>
      <c r="P1083" s="2" t="s">
        <v>1065</v>
      </c>
      <c r="R1083" s="2" t="s">
        <v>933</v>
      </c>
      <c r="S1083" s="11">
        <v>42220.59396990741</v>
      </c>
    </row>
    <row r="1084" ht="12.75" hidden="1" customHeight="1">
      <c r="A1084" s="2" t="str">
        <f>IF(VLOOKUP(E1084,Sheet4!$A$585:$B$786,2,0)=0,1, )</f>
        <v>1</v>
      </c>
      <c r="B1084" s="2" t="str">
        <f t="shared" si="1"/>
        <v>1</v>
      </c>
      <c r="C1084" s="2" t="str">
        <f t="shared" si="2"/>
        <v>2900003172-6496</v>
      </c>
      <c r="D1084" s="2">
        <v>3.20081867E8</v>
      </c>
      <c r="E1084" s="2">
        <v>2.900003172E9</v>
      </c>
      <c r="F1084" s="2">
        <v>6496.0</v>
      </c>
      <c r="G1084" s="2">
        <v>1.0</v>
      </c>
      <c r="H1084" s="2">
        <v>0.0</v>
      </c>
      <c r="I1084" s="2">
        <v>355000.0</v>
      </c>
      <c r="J1084" s="2">
        <v>1.0</v>
      </c>
      <c r="K1084" s="2">
        <v>7.0</v>
      </c>
      <c r="O1084" s="2" t="s">
        <v>1067</v>
      </c>
      <c r="P1084" s="2" t="s">
        <v>166</v>
      </c>
      <c r="R1084" s="2" t="s">
        <v>933</v>
      </c>
      <c r="S1084" s="11">
        <v>42220.59396990741</v>
      </c>
    </row>
    <row r="1085" ht="12.75" hidden="1" customHeight="1">
      <c r="A1085" s="2" t="str">
        <f>IF(VLOOKUP(E1085,Sheet4!$A$585:$B$786,2,0)=0,1, )</f>
        <v>1</v>
      </c>
      <c r="B1085" s="2" t="str">
        <f t="shared" si="1"/>
        <v/>
      </c>
      <c r="C1085" s="2" t="str">
        <f t="shared" si="2"/>
        <v>2900003172-6496</v>
      </c>
      <c r="D1085" s="2">
        <v>3.20077566E8</v>
      </c>
      <c r="E1085" s="2">
        <v>2.900003172E9</v>
      </c>
      <c r="F1085" s="2">
        <v>6496.0</v>
      </c>
      <c r="G1085" s="2">
        <v>1.0</v>
      </c>
      <c r="H1085" s="2">
        <v>0.0</v>
      </c>
      <c r="I1085" s="2">
        <v>355000.0</v>
      </c>
      <c r="J1085" s="2">
        <v>1.0</v>
      </c>
      <c r="K1085" s="2">
        <v>7.0</v>
      </c>
      <c r="O1085" s="2" t="s">
        <v>1067</v>
      </c>
      <c r="P1085" s="2" t="s">
        <v>166</v>
      </c>
      <c r="R1085" s="2" t="s">
        <v>933</v>
      </c>
      <c r="S1085" s="11">
        <v>42214.4955787037</v>
      </c>
    </row>
    <row r="1086" ht="12.75" hidden="1" customHeight="1">
      <c r="A1086" s="2" t="str">
        <f>IF(VLOOKUP(E1086,Sheet4!$A$585:$B$786,2,0)=0,1, )</f>
        <v>1</v>
      </c>
      <c r="B1086" s="2" t="str">
        <f t="shared" si="1"/>
        <v>1</v>
      </c>
      <c r="C1086" s="2" t="str">
        <f t="shared" si="2"/>
        <v>2900003172-13225</v>
      </c>
      <c r="D1086" s="2">
        <v>3.20077564E8</v>
      </c>
      <c r="E1086" s="2">
        <v>2.900003172E9</v>
      </c>
      <c r="F1086" s="2">
        <v>13225.0</v>
      </c>
      <c r="G1086" s="2">
        <v>1.0</v>
      </c>
      <c r="H1086" s="2">
        <v>0.0</v>
      </c>
      <c r="I1086" s="2">
        <v>220000.0</v>
      </c>
      <c r="J1086" s="2">
        <v>1.0</v>
      </c>
      <c r="K1086" s="2">
        <v>7.0</v>
      </c>
      <c r="O1086" s="2" t="s">
        <v>1069</v>
      </c>
      <c r="P1086" s="2" t="s">
        <v>166</v>
      </c>
      <c r="R1086" s="2" t="s">
        <v>933</v>
      </c>
      <c r="S1086" s="11">
        <v>42214.4955787037</v>
      </c>
    </row>
    <row r="1087" ht="12.75" hidden="1" customHeight="1">
      <c r="A1087" s="2" t="str">
        <f>IF(VLOOKUP(E1087,Sheet4!$A$585:$B$786,2,0)=0,1, )</f>
        <v>1</v>
      </c>
      <c r="B1087" s="2" t="str">
        <f t="shared" si="1"/>
        <v/>
      </c>
      <c r="C1087" s="2" t="str">
        <f t="shared" si="2"/>
        <v>2900003172-13225</v>
      </c>
      <c r="D1087" s="2">
        <v>3.20081865E8</v>
      </c>
      <c r="E1087" s="2">
        <v>2.900003172E9</v>
      </c>
      <c r="F1087" s="2">
        <v>13225.0</v>
      </c>
      <c r="G1087" s="2">
        <v>1.0</v>
      </c>
      <c r="H1087" s="2">
        <v>0.0</v>
      </c>
      <c r="I1087" s="2">
        <v>220000.0</v>
      </c>
      <c r="J1087" s="2">
        <v>1.0</v>
      </c>
      <c r="K1087" s="2">
        <v>7.0</v>
      </c>
      <c r="O1087" s="2" t="s">
        <v>1069</v>
      </c>
      <c r="P1087" s="2" t="s">
        <v>166</v>
      </c>
      <c r="R1087" s="2" t="s">
        <v>933</v>
      </c>
      <c r="S1087" s="11">
        <v>42220.59396990741</v>
      </c>
    </row>
    <row r="1088" ht="12.75" hidden="1" customHeight="1">
      <c r="A1088" s="2" t="str">
        <f>IF(VLOOKUP(E1088,Sheet4!$A$585:$B$786,2,0)=0,1, )</f>
        <v>1</v>
      </c>
      <c r="B1088" s="2" t="str">
        <f t="shared" si="1"/>
        <v>1</v>
      </c>
      <c r="C1088" s="2" t="str">
        <f t="shared" si="2"/>
        <v>2900003172-15225</v>
      </c>
      <c r="D1088" s="2">
        <v>3.20081866E8</v>
      </c>
      <c r="E1088" s="2">
        <v>2.900003172E9</v>
      </c>
      <c r="F1088" s="2">
        <v>15225.0</v>
      </c>
      <c r="G1088" s="2">
        <v>2.0</v>
      </c>
      <c r="H1088" s="2">
        <v>0.0</v>
      </c>
      <c r="I1088" s="2">
        <v>300000.0</v>
      </c>
      <c r="J1088" s="2">
        <v>1.0</v>
      </c>
      <c r="K1088" s="2">
        <v>7.0</v>
      </c>
      <c r="O1088" s="2" t="s">
        <v>1071</v>
      </c>
      <c r="P1088" s="2" t="s">
        <v>166</v>
      </c>
      <c r="R1088" s="2" t="s">
        <v>933</v>
      </c>
      <c r="S1088" s="11">
        <v>42220.59396990741</v>
      </c>
    </row>
    <row r="1089" ht="12.75" hidden="1" customHeight="1">
      <c r="A1089" s="2" t="str">
        <f>IF(VLOOKUP(E1089,Sheet4!$A$585:$B$786,2,0)=0,1, )</f>
        <v>1</v>
      </c>
      <c r="B1089" s="2" t="str">
        <f t="shared" si="1"/>
        <v/>
      </c>
      <c r="C1089" s="2" t="str">
        <f t="shared" si="2"/>
        <v>2900003172-15225</v>
      </c>
      <c r="D1089" s="2">
        <v>3.20077565E8</v>
      </c>
      <c r="E1089" s="2">
        <v>2.900003172E9</v>
      </c>
      <c r="F1089" s="2">
        <v>15225.0</v>
      </c>
      <c r="G1089" s="2">
        <v>2.0</v>
      </c>
      <c r="H1089" s="2">
        <v>0.0</v>
      </c>
      <c r="I1089" s="2">
        <v>300000.0</v>
      </c>
      <c r="J1089" s="2">
        <v>1.0</v>
      </c>
      <c r="K1089" s="2">
        <v>7.0</v>
      </c>
      <c r="O1089" s="2" t="s">
        <v>1071</v>
      </c>
      <c r="P1089" s="2" t="s">
        <v>166</v>
      </c>
      <c r="R1089" s="2" t="s">
        <v>933</v>
      </c>
      <c r="S1089" s="11">
        <v>42214.4955787037</v>
      </c>
    </row>
    <row r="1090" ht="12.75" hidden="1" customHeight="1">
      <c r="A1090" s="2" t="str">
        <f>IF(VLOOKUP(E1090,Sheet4!$A$585:$B$786,2,0)=0,1, )</f>
        <v>1</v>
      </c>
      <c r="B1090" s="2" t="str">
        <f t="shared" si="1"/>
        <v>1</v>
      </c>
      <c r="C1090" s="2" t="str">
        <f t="shared" si="2"/>
        <v>2900003174-6710</v>
      </c>
      <c r="D1090" s="2">
        <v>3.20077585E8</v>
      </c>
      <c r="E1090" s="2">
        <v>2.900003174E9</v>
      </c>
      <c r="F1090" s="2">
        <v>6710.0</v>
      </c>
      <c r="G1090" s="2">
        <v>1.0</v>
      </c>
      <c r="H1090" s="2">
        <v>0.0</v>
      </c>
      <c r="I1090" s="2">
        <v>295000.0</v>
      </c>
      <c r="J1090" s="2">
        <v>1.0</v>
      </c>
      <c r="K1090" s="2">
        <v>7.0</v>
      </c>
      <c r="O1090" s="2" t="s">
        <v>1073</v>
      </c>
      <c r="P1090" s="2" t="s">
        <v>166</v>
      </c>
      <c r="R1090" s="2" t="s">
        <v>933</v>
      </c>
      <c r="S1090" s="11">
        <v>42214.50685185185</v>
      </c>
    </row>
    <row r="1091" ht="12.75" hidden="1" customHeight="1">
      <c r="A1091" s="2" t="str">
        <f>IF(VLOOKUP(E1091,Sheet4!$A$585:$B$786,2,0)=0,1, )</f>
        <v>1</v>
      </c>
      <c r="B1091" s="2" t="str">
        <f t="shared" si="1"/>
        <v/>
      </c>
      <c r="C1091" s="2" t="str">
        <f t="shared" si="2"/>
        <v>2900003174-6710</v>
      </c>
      <c r="D1091" s="2">
        <v>3.20081872E8</v>
      </c>
      <c r="E1091" s="2">
        <v>2.900003174E9</v>
      </c>
      <c r="F1091" s="2">
        <v>6710.0</v>
      </c>
      <c r="G1091" s="2">
        <v>1.0</v>
      </c>
      <c r="H1091" s="2">
        <v>0.0</v>
      </c>
      <c r="I1091" s="2">
        <v>295000.0</v>
      </c>
      <c r="J1091" s="2">
        <v>1.0</v>
      </c>
      <c r="K1091" s="2">
        <v>7.0</v>
      </c>
      <c r="O1091" s="2" t="s">
        <v>1073</v>
      </c>
      <c r="P1091" s="2" t="s">
        <v>166</v>
      </c>
      <c r="R1091" s="2" t="s">
        <v>933</v>
      </c>
      <c r="S1091" s="11">
        <v>42220.593981481485</v>
      </c>
    </row>
    <row r="1092" ht="12.75" hidden="1" customHeight="1">
      <c r="A1092" s="2" t="str">
        <f>IF(VLOOKUP(E1092,Sheet4!$A$585:$B$786,2,0)=0,1, )</f>
        <v>1</v>
      </c>
      <c r="B1092" s="2" t="str">
        <f t="shared" si="1"/>
        <v>1</v>
      </c>
      <c r="C1092" s="2" t="str">
        <f t="shared" si="2"/>
        <v>2900003174-8166</v>
      </c>
      <c r="D1092" s="2">
        <v>3.20081871E8</v>
      </c>
      <c r="E1092" s="2">
        <v>2.900003174E9</v>
      </c>
      <c r="F1092" s="2">
        <v>8166.0</v>
      </c>
      <c r="G1092" s="2">
        <v>1.0</v>
      </c>
      <c r="H1092" s="2">
        <v>0.0</v>
      </c>
      <c r="I1092" s="2">
        <v>219000.0</v>
      </c>
      <c r="J1092" s="2">
        <v>1.0</v>
      </c>
      <c r="K1092" s="2">
        <v>7.0</v>
      </c>
      <c r="O1092" s="2" t="s">
        <v>1075</v>
      </c>
      <c r="P1092" s="2" t="s">
        <v>166</v>
      </c>
      <c r="R1092" s="2" t="s">
        <v>933</v>
      </c>
      <c r="S1092" s="11">
        <v>42220.59396990741</v>
      </c>
    </row>
    <row r="1093" ht="12.75" hidden="1" customHeight="1">
      <c r="A1093" s="2" t="str">
        <f>IF(VLOOKUP(E1093,Sheet4!$A$585:$B$786,2,0)=0,1, )</f>
        <v>1</v>
      </c>
      <c r="B1093" s="2" t="str">
        <f t="shared" si="1"/>
        <v/>
      </c>
      <c r="C1093" s="2" t="str">
        <f t="shared" si="2"/>
        <v>2900003174-8166</v>
      </c>
      <c r="D1093" s="2">
        <v>3.20077584E8</v>
      </c>
      <c r="E1093" s="2">
        <v>2.900003174E9</v>
      </c>
      <c r="F1093" s="2">
        <v>8166.0</v>
      </c>
      <c r="G1093" s="2">
        <v>1.0</v>
      </c>
      <c r="H1093" s="2">
        <v>0.0</v>
      </c>
      <c r="I1093" s="2">
        <v>219000.0</v>
      </c>
      <c r="J1093" s="2">
        <v>1.0</v>
      </c>
      <c r="K1093" s="2">
        <v>7.0</v>
      </c>
      <c r="O1093" s="2" t="s">
        <v>1075</v>
      </c>
      <c r="P1093" s="2" t="s">
        <v>166</v>
      </c>
      <c r="R1093" s="2" t="s">
        <v>933</v>
      </c>
      <c r="S1093" s="11">
        <v>42214.50685185185</v>
      </c>
    </row>
    <row r="1094" ht="12.75" hidden="1" customHeight="1">
      <c r="A1094" s="2" t="str">
        <f>IF(VLOOKUP(E1094,Sheet4!$A$585:$B$786,2,0)=0,1, )</f>
        <v>1</v>
      </c>
      <c r="B1094" s="2" t="str">
        <f t="shared" si="1"/>
        <v>1</v>
      </c>
      <c r="C1094" s="2" t="str">
        <f t="shared" si="2"/>
        <v>2900003174-13795</v>
      </c>
      <c r="D1094" s="2">
        <v>3.20077583E8</v>
      </c>
      <c r="E1094" s="2">
        <v>2.900003174E9</v>
      </c>
      <c r="F1094" s="2">
        <v>13795.0</v>
      </c>
      <c r="G1094" s="2">
        <v>2.0</v>
      </c>
      <c r="H1094" s="2">
        <v>0.0</v>
      </c>
      <c r="I1094" s="2">
        <v>196000.0</v>
      </c>
      <c r="J1094" s="2">
        <v>1.0</v>
      </c>
      <c r="K1094" s="2">
        <v>7.0</v>
      </c>
      <c r="O1094" s="2" t="s">
        <v>1077</v>
      </c>
      <c r="P1094" s="2" t="s">
        <v>166</v>
      </c>
      <c r="R1094" s="2" t="s">
        <v>933</v>
      </c>
      <c r="S1094" s="11">
        <v>42214.50685185185</v>
      </c>
    </row>
    <row r="1095" ht="12.75" hidden="1" customHeight="1">
      <c r="A1095" s="2" t="str">
        <f>IF(VLOOKUP(E1095,Sheet4!$A$585:$B$786,2,0)=0,1, )</f>
        <v>1</v>
      </c>
      <c r="B1095" s="2" t="str">
        <f t="shared" si="1"/>
        <v/>
      </c>
      <c r="C1095" s="2" t="str">
        <f t="shared" si="2"/>
        <v>2900003174-13795</v>
      </c>
      <c r="D1095" s="2">
        <v>3.2008187E8</v>
      </c>
      <c r="E1095" s="2">
        <v>2.900003174E9</v>
      </c>
      <c r="F1095" s="2">
        <v>13795.0</v>
      </c>
      <c r="G1095" s="2">
        <v>2.0</v>
      </c>
      <c r="H1095" s="2">
        <v>0.0</v>
      </c>
      <c r="I1095" s="2">
        <v>196000.0</v>
      </c>
      <c r="J1095" s="2">
        <v>1.0</v>
      </c>
      <c r="K1095" s="2">
        <v>7.0</v>
      </c>
      <c r="O1095" s="2" t="s">
        <v>1077</v>
      </c>
      <c r="P1095" s="2" t="s">
        <v>166</v>
      </c>
      <c r="R1095" s="2" t="s">
        <v>933</v>
      </c>
      <c r="S1095" s="11">
        <v>42220.59396990741</v>
      </c>
    </row>
    <row r="1096" ht="12.75" hidden="1" customHeight="1">
      <c r="A1096" s="2" t="str">
        <f>IF(VLOOKUP(E1096,Sheet4!$A$585:$B$786,2,0)=0,1, )</f>
        <v>1</v>
      </c>
      <c r="B1096" s="2" t="str">
        <f t="shared" si="1"/>
        <v>1</v>
      </c>
      <c r="C1096" s="2" t="str">
        <f t="shared" si="2"/>
        <v>2900003175-6265</v>
      </c>
      <c r="D1096" s="2">
        <v>3.20081873E8</v>
      </c>
      <c r="E1096" s="2">
        <v>2.900003175E9</v>
      </c>
      <c r="F1096" s="2">
        <v>6265.0</v>
      </c>
      <c r="G1096" s="2">
        <v>1.0</v>
      </c>
      <c r="H1096" s="2">
        <v>0.0</v>
      </c>
      <c r="I1096" s="2">
        <v>59000.0</v>
      </c>
      <c r="J1096" s="2">
        <v>1.0</v>
      </c>
      <c r="K1096" s="2">
        <v>7.0</v>
      </c>
      <c r="O1096" s="2" t="s">
        <v>1079</v>
      </c>
      <c r="P1096" s="2" t="s">
        <v>166</v>
      </c>
      <c r="R1096" s="2" t="s">
        <v>933</v>
      </c>
      <c r="S1096" s="11">
        <v>42220.593981481485</v>
      </c>
    </row>
    <row r="1097" ht="12.75" hidden="1" customHeight="1">
      <c r="A1097" s="2" t="str">
        <f>IF(VLOOKUP(E1097,Sheet4!$A$585:$B$786,2,0)=0,1, )</f>
        <v>1</v>
      </c>
      <c r="B1097" s="2" t="str">
        <f t="shared" si="1"/>
        <v/>
      </c>
      <c r="C1097" s="2" t="str">
        <f t="shared" si="2"/>
        <v>2900003175-6265</v>
      </c>
      <c r="D1097" s="2">
        <v>3.20077628E8</v>
      </c>
      <c r="E1097" s="2">
        <v>2.900003175E9</v>
      </c>
      <c r="F1097" s="2">
        <v>6265.0</v>
      </c>
      <c r="G1097" s="2">
        <v>1.0</v>
      </c>
      <c r="H1097" s="2">
        <v>0.0</v>
      </c>
      <c r="I1097" s="2">
        <v>59000.0</v>
      </c>
      <c r="J1097" s="2">
        <v>1.0</v>
      </c>
      <c r="K1097" s="2">
        <v>7.0</v>
      </c>
      <c r="O1097" s="2" t="s">
        <v>1079</v>
      </c>
      <c r="P1097" s="2" t="s">
        <v>166</v>
      </c>
      <c r="R1097" s="2" t="s">
        <v>933</v>
      </c>
      <c r="S1097" s="11">
        <v>42214.544074074074</v>
      </c>
    </row>
    <row r="1098" ht="12.75" hidden="1" customHeight="1">
      <c r="A1098" s="2" t="str">
        <f>IF(VLOOKUP(E1098,Sheet4!$A$585:$B$786,2,0)=0,1, )</f>
        <v>1</v>
      </c>
      <c r="B1098" s="2" t="str">
        <f t="shared" si="1"/>
        <v>1</v>
      </c>
      <c r="C1098" s="2" t="str">
        <f t="shared" si="2"/>
        <v>2900003175-15237</v>
      </c>
      <c r="D1098" s="2">
        <v>3.2007763E8</v>
      </c>
      <c r="E1098" s="2">
        <v>2.900003175E9</v>
      </c>
      <c r="F1098" s="2">
        <v>15237.0</v>
      </c>
      <c r="G1098" s="2">
        <v>1.0</v>
      </c>
      <c r="H1098" s="2">
        <v>0.0</v>
      </c>
      <c r="I1098" s="2">
        <v>285000.0</v>
      </c>
      <c r="J1098" s="2">
        <v>1.0</v>
      </c>
      <c r="K1098" s="2">
        <v>7.0</v>
      </c>
      <c r="O1098" s="2" t="s">
        <v>1006</v>
      </c>
      <c r="P1098" s="2" t="s">
        <v>166</v>
      </c>
      <c r="R1098" s="2" t="s">
        <v>933</v>
      </c>
      <c r="S1098" s="11">
        <v>42214.544074074074</v>
      </c>
    </row>
    <row r="1099" ht="12.75" hidden="1" customHeight="1">
      <c r="A1099" s="2" t="str">
        <f>IF(VLOOKUP(E1099,Sheet4!$A$585:$B$786,2,0)=0,1, )</f>
        <v>1</v>
      </c>
      <c r="B1099" s="2" t="str">
        <f t="shared" si="1"/>
        <v/>
      </c>
      <c r="C1099" s="2" t="str">
        <f t="shared" si="2"/>
        <v>2900003175-15237</v>
      </c>
      <c r="D1099" s="2">
        <v>3.20081875E8</v>
      </c>
      <c r="E1099" s="2">
        <v>2.900003175E9</v>
      </c>
      <c r="F1099" s="2">
        <v>15237.0</v>
      </c>
      <c r="G1099" s="2">
        <v>1.0</v>
      </c>
      <c r="H1099" s="2">
        <v>0.0</v>
      </c>
      <c r="I1099" s="2">
        <v>285000.0</v>
      </c>
      <c r="J1099" s="2">
        <v>1.0</v>
      </c>
      <c r="K1099" s="2">
        <v>7.0</v>
      </c>
      <c r="O1099" s="2" t="s">
        <v>1006</v>
      </c>
      <c r="P1099" s="2" t="s">
        <v>166</v>
      </c>
      <c r="R1099" s="2" t="s">
        <v>933</v>
      </c>
      <c r="S1099" s="11">
        <v>42220.593981481485</v>
      </c>
    </row>
    <row r="1100" ht="12.75" hidden="1" customHeight="1">
      <c r="A1100" s="2" t="str">
        <f>IF(VLOOKUP(E1100,Sheet4!$A$585:$B$786,2,0)=0,1, )</f>
        <v>1</v>
      </c>
      <c r="B1100" s="2" t="str">
        <f t="shared" si="1"/>
        <v>1</v>
      </c>
      <c r="C1100" s="2" t="str">
        <f t="shared" si="2"/>
        <v>2900003175-16536</v>
      </c>
      <c r="D1100" s="2">
        <v>3.20081874E8</v>
      </c>
      <c r="E1100" s="2">
        <v>2.900003175E9</v>
      </c>
      <c r="F1100" s="2">
        <v>16536.0</v>
      </c>
      <c r="G1100" s="2">
        <v>1.0</v>
      </c>
      <c r="H1100" s="2">
        <v>0.0</v>
      </c>
      <c r="I1100" s="2">
        <v>339000.0</v>
      </c>
      <c r="J1100" s="2">
        <v>1.0</v>
      </c>
      <c r="K1100" s="2">
        <v>7.0</v>
      </c>
      <c r="O1100" s="2" t="s">
        <v>1082</v>
      </c>
      <c r="P1100" s="2" t="s">
        <v>166</v>
      </c>
      <c r="R1100" s="2" t="s">
        <v>933</v>
      </c>
      <c r="S1100" s="11">
        <v>42220.593981481485</v>
      </c>
    </row>
    <row r="1101" ht="12.75" hidden="1" customHeight="1">
      <c r="A1101" s="2" t="str">
        <f>IF(VLOOKUP(E1101,Sheet4!$A$585:$B$786,2,0)=0,1, )</f>
        <v>1</v>
      </c>
      <c r="B1101" s="2" t="str">
        <f t="shared" si="1"/>
        <v/>
      </c>
      <c r="C1101" s="2" t="str">
        <f t="shared" si="2"/>
        <v>2900003175-16536</v>
      </c>
      <c r="D1101" s="2">
        <v>3.20077629E8</v>
      </c>
      <c r="E1101" s="2">
        <v>2.900003175E9</v>
      </c>
      <c r="F1101" s="2">
        <v>16536.0</v>
      </c>
      <c r="G1101" s="2">
        <v>1.0</v>
      </c>
      <c r="H1101" s="2">
        <v>0.0</v>
      </c>
      <c r="I1101" s="2">
        <v>339000.0</v>
      </c>
      <c r="J1101" s="2">
        <v>1.0</v>
      </c>
      <c r="K1101" s="2">
        <v>7.0</v>
      </c>
      <c r="O1101" s="2" t="s">
        <v>1082</v>
      </c>
      <c r="P1101" s="2" t="s">
        <v>166</v>
      </c>
      <c r="R1101" s="2" t="s">
        <v>933</v>
      </c>
      <c r="S1101" s="11">
        <v>42214.544074074074</v>
      </c>
    </row>
    <row r="1102" ht="12.75" hidden="1" customHeight="1">
      <c r="A1102" s="2" t="str">
        <f>IF(VLOOKUP(E1102,Sheet4!$A$585:$B$786,2,0)=0,1, )</f>
        <v>1</v>
      </c>
      <c r="B1102" s="2" t="str">
        <f t="shared" si="1"/>
        <v>1</v>
      </c>
      <c r="C1102" s="2" t="str">
        <f t="shared" si="2"/>
        <v>2900003176-3148</v>
      </c>
      <c r="D1102" s="2">
        <v>3.20077728E8</v>
      </c>
      <c r="E1102" s="2">
        <v>2.900003176E9</v>
      </c>
      <c r="F1102" s="2">
        <v>3148.0</v>
      </c>
      <c r="G1102" s="2">
        <v>1.0</v>
      </c>
      <c r="H1102" s="2">
        <v>0.0</v>
      </c>
      <c r="I1102" s="2">
        <v>40000.0</v>
      </c>
      <c r="J1102" s="2">
        <v>1.0</v>
      </c>
      <c r="K1102" s="2">
        <v>7.0</v>
      </c>
      <c r="O1102" s="2" t="s">
        <v>560</v>
      </c>
      <c r="P1102" s="2" t="s">
        <v>166</v>
      </c>
      <c r="R1102" s="2" t="s">
        <v>933</v>
      </c>
      <c r="S1102" s="11">
        <v>42214.696226851855</v>
      </c>
    </row>
    <row r="1103" ht="12.75" hidden="1" customHeight="1">
      <c r="A1103" s="2" t="str">
        <f>IF(VLOOKUP(E1103,Sheet4!$A$585:$B$786,2,0)=0,1, )</f>
        <v>1</v>
      </c>
      <c r="B1103" s="2" t="str">
        <f t="shared" si="1"/>
        <v/>
      </c>
      <c r="C1103" s="2" t="str">
        <f t="shared" si="2"/>
        <v>2900003176-3148</v>
      </c>
      <c r="D1103" s="2">
        <v>3.20081878E8</v>
      </c>
      <c r="E1103" s="2">
        <v>2.900003176E9</v>
      </c>
      <c r="F1103" s="2">
        <v>3148.0</v>
      </c>
      <c r="G1103" s="2">
        <v>1.0</v>
      </c>
      <c r="H1103" s="2">
        <v>0.0</v>
      </c>
      <c r="I1103" s="2">
        <v>40000.0</v>
      </c>
      <c r="J1103" s="2">
        <v>1.0</v>
      </c>
      <c r="K1103" s="2">
        <v>7.0</v>
      </c>
      <c r="O1103" s="2" t="s">
        <v>560</v>
      </c>
      <c r="P1103" s="2" t="s">
        <v>166</v>
      </c>
      <c r="R1103" s="2" t="s">
        <v>933</v>
      </c>
      <c r="S1103" s="11">
        <v>42220.593981481485</v>
      </c>
    </row>
    <row r="1104" ht="12.75" hidden="1" customHeight="1">
      <c r="A1104" s="2" t="str">
        <f>IF(VLOOKUP(E1104,Sheet4!$A$585:$B$786,2,0)=0,1, )</f>
        <v>1</v>
      </c>
      <c r="B1104" s="2" t="str">
        <f t="shared" si="1"/>
        <v>1</v>
      </c>
      <c r="C1104" s="2" t="str">
        <f t="shared" si="2"/>
        <v>2900003176-3943</v>
      </c>
      <c r="D1104" s="2">
        <v>3.20081876E8</v>
      </c>
      <c r="E1104" s="2">
        <v>2.900003176E9</v>
      </c>
      <c r="F1104" s="2">
        <v>3943.0</v>
      </c>
      <c r="G1104" s="2">
        <v>1.0</v>
      </c>
      <c r="H1104" s="2">
        <v>0.0</v>
      </c>
      <c r="I1104" s="2">
        <v>48000.0</v>
      </c>
      <c r="J1104" s="2">
        <v>1.0</v>
      </c>
      <c r="K1104" s="2">
        <v>7.0</v>
      </c>
      <c r="O1104" s="2" t="s">
        <v>1085</v>
      </c>
      <c r="P1104" s="2" t="s">
        <v>166</v>
      </c>
      <c r="R1104" s="2" t="s">
        <v>933</v>
      </c>
      <c r="S1104" s="11">
        <v>42220.593981481485</v>
      </c>
    </row>
    <row r="1105" ht="12.75" hidden="1" customHeight="1">
      <c r="A1105" s="2" t="str">
        <f>IF(VLOOKUP(E1105,Sheet4!$A$585:$B$786,2,0)=0,1, )</f>
        <v>1</v>
      </c>
      <c r="B1105" s="2" t="str">
        <f t="shared" si="1"/>
        <v/>
      </c>
      <c r="C1105" s="2" t="str">
        <f t="shared" si="2"/>
        <v>2900003176-3943</v>
      </c>
      <c r="D1105" s="2">
        <v>3.20077726E8</v>
      </c>
      <c r="E1105" s="2">
        <v>2.900003176E9</v>
      </c>
      <c r="F1105" s="2">
        <v>3943.0</v>
      </c>
      <c r="G1105" s="2">
        <v>1.0</v>
      </c>
      <c r="H1105" s="2">
        <v>0.0</v>
      </c>
      <c r="I1105" s="2">
        <v>48000.0</v>
      </c>
      <c r="J1105" s="2">
        <v>1.0</v>
      </c>
      <c r="K1105" s="2">
        <v>7.0</v>
      </c>
      <c r="O1105" s="2" t="s">
        <v>1085</v>
      </c>
      <c r="P1105" s="2" t="s">
        <v>166</v>
      </c>
      <c r="R1105" s="2" t="s">
        <v>933</v>
      </c>
      <c r="S1105" s="11">
        <v>42214.696226851855</v>
      </c>
    </row>
    <row r="1106" ht="12.75" hidden="1" customHeight="1">
      <c r="A1106" s="2" t="str">
        <f>IF(VLOOKUP(E1106,Sheet4!$A$585:$B$786,2,0)=0,1, )</f>
        <v>1</v>
      </c>
      <c r="B1106" s="2" t="str">
        <f t="shared" si="1"/>
        <v>1</v>
      </c>
      <c r="C1106" s="2" t="str">
        <f t="shared" si="2"/>
        <v>2900003176-4983</v>
      </c>
      <c r="D1106" s="2">
        <v>3.20077727E8</v>
      </c>
      <c r="E1106" s="2">
        <v>2.900003176E9</v>
      </c>
      <c r="F1106" s="2">
        <v>4983.0</v>
      </c>
      <c r="G1106" s="2">
        <v>1.0</v>
      </c>
      <c r="H1106" s="2">
        <v>0.0</v>
      </c>
      <c r="I1106" s="2">
        <v>55000.0</v>
      </c>
      <c r="J1106" s="2">
        <v>1.0</v>
      </c>
      <c r="K1106" s="2">
        <v>7.0</v>
      </c>
      <c r="O1106" s="2" t="s">
        <v>1087</v>
      </c>
      <c r="P1106" s="2" t="s">
        <v>166</v>
      </c>
      <c r="R1106" s="2" t="s">
        <v>933</v>
      </c>
      <c r="S1106" s="11">
        <v>42214.696226851855</v>
      </c>
    </row>
    <row r="1107" ht="12.75" hidden="1" customHeight="1">
      <c r="A1107" s="2" t="str">
        <f>IF(VLOOKUP(E1107,Sheet4!$A$585:$B$786,2,0)=0,1, )</f>
        <v>1</v>
      </c>
      <c r="B1107" s="2" t="str">
        <f t="shared" si="1"/>
        <v/>
      </c>
      <c r="C1107" s="2" t="str">
        <f t="shared" si="2"/>
        <v>2900003176-4983</v>
      </c>
      <c r="D1107" s="2">
        <v>3.20081877E8</v>
      </c>
      <c r="E1107" s="2">
        <v>2.900003176E9</v>
      </c>
      <c r="F1107" s="2">
        <v>4983.0</v>
      </c>
      <c r="G1107" s="2">
        <v>1.0</v>
      </c>
      <c r="H1107" s="2">
        <v>0.0</v>
      </c>
      <c r="I1107" s="2">
        <v>55000.0</v>
      </c>
      <c r="J1107" s="2">
        <v>1.0</v>
      </c>
      <c r="K1107" s="2">
        <v>7.0</v>
      </c>
      <c r="O1107" s="2" t="s">
        <v>1087</v>
      </c>
      <c r="P1107" s="2" t="s">
        <v>166</v>
      </c>
      <c r="R1107" s="2" t="s">
        <v>933</v>
      </c>
      <c r="S1107" s="11">
        <v>42220.593981481485</v>
      </c>
    </row>
    <row r="1108" ht="12.75" hidden="1" customHeight="1">
      <c r="A1108" s="2" t="str">
        <f>IF(VLOOKUP(E1108,Sheet4!$A$585:$B$786,2,0)=0,1, )</f>
        <v>1</v>
      </c>
      <c r="B1108" s="2" t="str">
        <f t="shared" si="1"/>
        <v>1</v>
      </c>
      <c r="C1108" s="2" t="str">
        <f t="shared" si="2"/>
        <v>2900003176-6329</v>
      </c>
      <c r="D1108" s="2">
        <v>3.20081879E8</v>
      </c>
      <c r="E1108" s="2">
        <v>2.900003176E9</v>
      </c>
      <c r="F1108" s="2">
        <v>6329.0</v>
      </c>
      <c r="G1108" s="2">
        <v>1.0</v>
      </c>
      <c r="H1108" s="2">
        <v>0.0</v>
      </c>
      <c r="I1108" s="2">
        <v>300000.0</v>
      </c>
      <c r="J1108" s="2">
        <v>1.0</v>
      </c>
      <c r="K1108" s="2">
        <v>7.0</v>
      </c>
      <c r="O1108" s="2" t="s">
        <v>521</v>
      </c>
      <c r="P1108" s="2" t="s">
        <v>166</v>
      </c>
      <c r="R1108" s="2" t="s">
        <v>933</v>
      </c>
      <c r="S1108" s="11">
        <v>42220.593981481485</v>
      </c>
    </row>
    <row r="1109" ht="12.75" hidden="1" customHeight="1">
      <c r="A1109" s="2" t="str">
        <f>IF(VLOOKUP(E1109,Sheet4!$A$585:$B$786,2,0)=0,1, )</f>
        <v>1</v>
      </c>
      <c r="B1109" s="2" t="str">
        <f t="shared" si="1"/>
        <v/>
      </c>
      <c r="C1109" s="2" t="str">
        <f t="shared" si="2"/>
        <v>2900003176-6329</v>
      </c>
      <c r="D1109" s="2">
        <v>3.20077729E8</v>
      </c>
      <c r="E1109" s="2">
        <v>2.900003176E9</v>
      </c>
      <c r="F1109" s="2">
        <v>6329.0</v>
      </c>
      <c r="G1109" s="2">
        <v>1.0</v>
      </c>
      <c r="H1109" s="2">
        <v>0.0</v>
      </c>
      <c r="I1109" s="2">
        <v>300000.0</v>
      </c>
      <c r="J1109" s="2">
        <v>1.0</v>
      </c>
      <c r="K1109" s="2">
        <v>7.0</v>
      </c>
      <c r="O1109" s="2" t="s">
        <v>521</v>
      </c>
      <c r="P1109" s="2" t="s">
        <v>166</v>
      </c>
      <c r="R1109" s="2" t="s">
        <v>933</v>
      </c>
      <c r="S1109" s="11">
        <v>42214.696226851855</v>
      </c>
    </row>
    <row r="1110" ht="12.75" hidden="1" customHeight="1">
      <c r="A1110" s="2" t="str">
        <f>IF(VLOOKUP(E1110,Sheet4!$A$585:$B$786,2,0)=0,1, )</f>
        <v>1</v>
      </c>
      <c r="B1110" s="2" t="str">
        <f t="shared" si="1"/>
        <v>1</v>
      </c>
      <c r="C1110" s="2" t="str">
        <f t="shared" si="2"/>
        <v>2900003203-1327</v>
      </c>
      <c r="D1110" s="2">
        <v>3.2008306E8</v>
      </c>
      <c r="E1110" s="2">
        <v>2.900003203E9</v>
      </c>
      <c r="F1110" s="2">
        <v>1327.0</v>
      </c>
      <c r="G1110" s="2">
        <v>1.0</v>
      </c>
      <c r="H1110" s="2">
        <v>0.0</v>
      </c>
      <c r="I1110" s="2">
        <v>41500.0</v>
      </c>
      <c r="J1110" s="2">
        <v>1.0</v>
      </c>
      <c r="K1110" s="2">
        <v>7.0</v>
      </c>
      <c r="O1110" s="2" t="s">
        <v>1090</v>
      </c>
      <c r="P1110" s="2" t="s">
        <v>166</v>
      </c>
      <c r="R1110" s="2" t="s">
        <v>933</v>
      </c>
      <c r="S1110" s="11">
        <v>42221.63854166667</v>
      </c>
    </row>
    <row r="1111" ht="12.75" hidden="1" customHeight="1">
      <c r="A1111" s="2" t="str">
        <f>IF(VLOOKUP(E1111,Sheet4!$A$585:$B$786,2,0)=0,1, )</f>
        <v>1</v>
      </c>
      <c r="B1111" s="2" t="str">
        <f t="shared" si="1"/>
        <v/>
      </c>
      <c r="C1111" s="2" t="str">
        <f t="shared" si="2"/>
        <v>2900003203-1327</v>
      </c>
      <c r="D1111" s="2">
        <v>3.20083061E8</v>
      </c>
      <c r="E1111" s="2">
        <v>2.900003203E9</v>
      </c>
      <c r="F1111" s="2">
        <v>1327.0</v>
      </c>
      <c r="G1111" s="2">
        <v>1.0</v>
      </c>
      <c r="H1111" s="2">
        <v>0.0</v>
      </c>
      <c r="I1111" s="2">
        <v>41500.0</v>
      </c>
      <c r="J1111" s="2">
        <v>1.0</v>
      </c>
      <c r="K1111" s="2">
        <v>7.0</v>
      </c>
      <c r="O1111" s="2" t="s">
        <v>1090</v>
      </c>
      <c r="P1111" s="2" t="s">
        <v>166</v>
      </c>
      <c r="R1111" s="2" t="s">
        <v>933</v>
      </c>
      <c r="S1111" s="11">
        <v>42221.63854166667</v>
      </c>
    </row>
    <row r="1112" ht="12.75" hidden="1" customHeight="1">
      <c r="A1112" s="2" t="str">
        <f>IF(VLOOKUP(E1112,Sheet4!$A$585:$B$786,2,0)=0,1, )</f>
        <v>1</v>
      </c>
      <c r="B1112" s="2" t="str">
        <f t="shared" si="1"/>
        <v>1</v>
      </c>
      <c r="C1112" s="2" t="str">
        <f t="shared" si="2"/>
        <v>2900003203-13033</v>
      </c>
      <c r="D1112" s="2">
        <v>3.20083063E8</v>
      </c>
      <c r="E1112" s="2">
        <v>2.900003203E9</v>
      </c>
      <c r="F1112" s="2">
        <v>13033.0</v>
      </c>
      <c r="G1112" s="2">
        <v>1.0</v>
      </c>
      <c r="H1112" s="2">
        <v>0.0</v>
      </c>
      <c r="I1112" s="2">
        <v>149000.0</v>
      </c>
      <c r="J1112" s="2">
        <v>1.0</v>
      </c>
      <c r="K1112" s="2">
        <v>7.0</v>
      </c>
      <c r="O1112" s="2" t="s">
        <v>1092</v>
      </c>
      <c r="P1112" s="2" t="s">
        <v>166</v>
      </c>
      <c r="R1112" s="2" t="s">
        <v>933</v>
      </c>
      <c r="S1112" s="11">
        <v>42221.63854166667</v>
      </c>
    </row>
    <row r="1113" ht="12.75" hidden="1" customHeight="1">
      <c r="A1113" s="2" t="str">
        <f>IF(VLOOKUP(E1113,Sheet4!$A$585:$B$786,2,0)=0,1, )</f>
        <v>1</v>
      </c>
      <c r="B1113" s="2" t="str">
        <f t="shared" si="1"/>
        <v/>
      </c>
      <c r="C1113" s="2" t="str">
        <f t="shared" si="2"/>
        <v>2900003203-13033</v>
      </c>
      <c r="D1113" s="2">
        <v>3.20083062E8</v>
      </c>
      <c r="E1113" s="2">
        <v>2.900003203E9</v>
      </c>
      <c r="F1113" s="2">
        <v>13033.0</v>
      </c>
      <c r="G1113" s="2">
        <v>1.0</v>
      </c>
      <c r="H1113" s="2">
        <v>0.0</v>
      </c>
      <c r="I1113" s="2">
        <v>149000.0</v>
      </c>
      <c r="J1113" s="2">
        <v>1.0</v>
      </c>
      <c r="K1113" s="2">
        <v>7.0</v>
      </c>
      <c r="O1113" s="2" t="s">
        <v>1092</v>
      </c>
      <c r="P1113" s="2" t="s">
        <v>166</v>
      </c>
      <c r="R1113" s="2" t="s">
        <v>933</v>
      </c>
      <c r="S1113" s="11">
        <v>42221.63854166667</v>
      </c>
    </row>
    <row r="1114" ht="12.75" hidden="1" customHeight="1">
      <c r="A1114" s="2" t="str">
        <f>IF(VLOOKUP(E1114,Sheet4!$A$585:$B$786,2,0)=0,1, )</f>
        <v>1</v>
      </c>
      <c r="B1114" s="2" t="str">
        <f t="shared" si="1"/>
        <v>1</v>
      </c>
      <c r="C1114" s="2" t="str">
        <f t="shared" si="2"/>
        <v>2900003203-16279</v>
      </c>
      <c r="D1114" s="2">
        <v>3.20083059E8</v>
      </c>
      <c r="E1114" s="2">
        <v>2.900003203E9</v>
      </c>
      <c r="F1114" s="2">
        <v>16279.0</v>
      </c>
      <c r="G1114" s="2">
        <v>1.0</v>
      </c>
      <c r="H1114" s="2">
        <v>0.0</v>
      </c>
      <c r="I1114" s="2">
        <v>71000.0</v>
      </c>
      <c r="J1114" s="2">
        <v>1.0</v>
      </c>
      <c r="K1114" s="2">
        <v>7.0</v>
      </c>
      <c r="O1114" s="2" t="s">
        <v>1094</v>
      </c>
      <c r="P1114" s="2" t="s">
        <v>166</v>
      </c>
      <c r="R1114" s="2" t="s">
        <v>933</v>
      </c>
      <c r="S1114" s="11">
        <v>42221.63854166667</v>
      </c>
    </row>
    <row r="1115" ht="12.75" hidden="1" customHeight="1">
      <c r="A1115" s="2" t="str">
        <f>IF(VLOOKUP(E1115,Sheet4!$A$585:$B$786,2,0)=0,1, )</f>
        <v>1</v>
      </c>
      <c r="B1115" s="2" t="str">
        <f t="shared" si="1"/>
        <v/>
      </c>
      <c r="C1115" s="2" t="str">
        <f t="shared" si="2"/>
        <v>2900003203-16279</v>
      </c>
      <c r="D1115" s="2">
        <v>3.20083058E8</v>
      </c>
      <c r="E1115" s="2">
        <v>2.900003203E9</v>
      </c>
      <c r="F1115" s="2">
        <v>16279.0</v>
      </c>
      <c r="G1115" s="2">
        <v>1.0</v>
      </c>
      <c r="H1115" s="2">
        <v>0.0</v>
      </c>
      <c r="I1115" s="2">
        <v>71000.0</v>
      </c>
      <c r="J1115" s="2">
        <v>1.0</v>
      </c>
      <c r="K1115" s="2">
        <v>7.0</v>
      </c>
      <c r="O1115" s="2" t="s">
        <v>1094</v>
      </c>
      <c r="P1115" s="2" t="s">
        <v>166</v>
      </c>
      <c r="R1115" s="2" t="s">
        <v>933</v>
      </c>
      <c r="S1115" s="11">
        <v>42221.63853009259</v>
      </c>
    </row>
    <row r="1116" ht="12.75" hidden="1" customHeight="1">
      <c r="A1116" s="2" t="str">
        <f>IF(VLOOKUP(E1116,Sheet4!$A$585:$B$786,2,0)=0,1, )</f>
        <v>1</v>
      </c>
      <c r="B1116" s="2" t="str">
        <f t="shared" si="1"/>
        <v>1</v>
      </c>
      <c r="C1116" s="2" t="str">
        <f t="shared" si="2"/>
        <v>2900003205-12703</v>
      </c>
      <c r="D1116" s="2">
        <v>3.20083084E8</v>
      </c>
      <c r="E1116" s="2">
        <v>2.900003205E9</v>
      </c>
      <c r="F1116" s="2">
        <v>12703.0</v>
      </c>
      <c r="G1116" s="2">
        <v>1.0</v>
      </c>
      <c r="H1116" s="2">
        <v>0.0</v>
      </c>
      <c r="I1116" s="2">
        <v>525000.0</v>
      </c>
      <c r="J1116" s="2">
        <v>1.0</v>
      </c>
      <c r="K1116" s="2">
        <v>7.0</v>
      </c>
      <c r="O1116" s="2" t="s">
        <v>1096</v>
      </c>
      <c r="P1116" s="2" t="s">
        <v>166</v>
      </c>
      <c r="R1116" s="2" t="s">
        <v>933</v>
      </c>
      <c r="S1116" s="11">
        <v>42221.65394675926</v>
      </c>
    </row>
    <row r="1117" ht="12.75" hidden="1" customHeight="1">
      <c r="A1117" s="2" t="str">
        <f>IF(VLOOKUP(E1117,Sheet4!$A$585:$B$786,2,0)=0,1, )</f>
        <v>1</v>
      </c>
      <c r="B1117" s="2" t="str">
        <f t="shared" si="1"/>
        <v/>
      </c>
      <c r="C1117" s="2" t="str">
        <f t="shared" si="2"/>
        <v>2900003205-12703</v>
      </c>
      <c r="D1117" s="2">
        <v>3.20083085E8</v>
      </c>
      <c r="E1117" s="2">
        <v>2.900003205E9</v>
      </c>
      <c r="F1117" s="2">
        <v>12703.0</v>
      </c>
      <c r="G1117" s="2">
        <v>1.0</v>
      </c>
      <c r="H1117" s="2">
        <v>0.0</v>
      </c>
      <c r="I1117" s="2">
        <v>525000.0</v>
      </c>
      <c r="J1117" s="2">
        <v>1.0</v>
      </c>
      <c r="K1117" s="2">
        <v>7.0</v>
      </c>
      <c r="O1117" s="2" t="s">
        <v>1096</v>
      </c>
      <c r="P1117" s="2" t="s">
        <v>166</v>
      </c>
      <c r="R1117" s="2" t="s">
        <v>933</v>
      </c>
      <c r="S1117" s="11">
        <v>42221.65394675926</v>
      </c>
    </row>
    <row r="1118" ht="12.75" hidden="1" customHeight="1">
      <c r="A1118" s="2" t="str">
        <f>IF(VLOOKUP(E1118,Sheet4!$A$585:$B$786,2,0)=0,1, )</f>
        <v>1</v>
      </c>
      <c r="B1118" s="2" t="str">
        <f t="shared" si="1"/>
        <v>1</v>
      </c>
      <c r="C1118" s="2" t="str">
        <f t="shared" si="2"/>
        <v>2900003206-6271</v>
      </c>
      <c r="D1118" s="2">
        <v>3.20083087E8</v>
      </c>
      <c r="E1118" s="2">
        <v>2.900003206E9</v>
      </c>
      <c r="F1118" s="2">
        <v>6271.0</v>
      </c>
      <c r="G1118" s="2">
        <v>2.0</v>
      </c>
      <c r="H1118" s="2">
        <v>0.0</v>
      </c>
      <c r="I1118" s="2">
        <v>124000.0</v>
      </c>
      <c r="J1118" s="2">
        <v>1.0</v>
      </c>
      <c r="K1118" s="2">
        <v>7.0</v>
      </c>
      <c r="O1118" s="2" t="s">
        <v>897</v>
      </c>
      <c r="P1118" s="2" t="s">
        <v>166</v>
      </c>
      <c r="R1118" s="2" t="s">
        <v>933</v>
      </c>
      <c r="S1118" s="11">
        <v>42221.65429398148</v>
      </c>
    </row>
    <row r="1119" ht="12.75" hidden="1" customHeight="1">
      <c r="A1119" s="2" t="str">
        <f>IF(VLOOKUP(E1119,Sheet4!$A$585:$B$786,2,0)=0,1, )</f>
        <v>1</v>
      </c>
      <c r="B1119" s="2" t="str">
        <f t="shared" si="1"/>
        <v/>
      </c>
      <c r="C1119" s="2" t="str">
        <f t="shared" si="2"/>
        <v>2900003206-6271</v>
      </c>
      <c r="D1119" s="2">
        <v>3.20083088E8</v>
      </c>
      <c r="E1119" s="2">
        <v>2.900003206E9</v>
      </c>
      <c r="F1119" s="2">
        <v>6271.0</v>
      </c>
      <c r="G1119" s="2">
        <v>2.0</v>
      </c>
      <c r="H1119" s="2">
        <v>0.0</v>
      </c>
      <c r="I1119" s="2">
        <v>124000.0</v>
      </c>
      <c r="J1119" s="2">
        <v>1.0</v>
      </c>
      <c r="K1119" s="2">
        <v>7.0</v>
      </c>
      <c r="O1119" s="2" t="s">
        <v>897</v>
      </c>
      <c r="P1119" s="2" t="s">
        <v>166</v>
      </c>
      <c r="R1119" s="2" t="s">
        <v>933</v>
      </c>
      <c r="S1119" s="11">
        <v>42221.65429398148</v>
      </c>
    </row>
    <row r="1120" ht="12.75" hidden="1" customHeight="1">
      <c r="A1120" s="2" t="str">
        <f>IF(VLOOKUP(E1120,Sheet4!$A$585:$B$786,2,0)=0,1, )</f>
        <v>1</v>
      </c>
      <c r="B1120" s="2" t="str">
        <f t="shared" si="1"/>
        <v>1</v>
      </c>
      <c r="C1120" s="2" t="str">
        <f t="shared" si="2"/>
        <v>2900003208-4410</v>
      </c>
      <c r="D1120" s="2">
        <v>3.20083098E8</v>
      </c>
      <c r="E1120" s="2">
        <v>2.900003208E9</v>
      </c>
      <c r="F1120" s="2">
        <v>4410.0</v>
      </c>
      <c r="G1120" s="2">
        <v>1.0</v>
      </c>
      <c r="H1120" s="2">
        <v>0.0</v>
      </c>
      <c r="I1120" s="2">
        <v>99000.0</v>
      </c>
      <c r="J1120" s="2">
        <v>1.0</v>
      </c>
      <c r="K1120" s="2">
        <v>7.0</v>
      </c>
      <c r="O1120" s="2" t="s">
        <v>999</v>
      </c>
      <c r="P1120" s="2" t="s">
        <v>166</v>
      </c>
      <c r="R1120" s="2" t="s">
        <v>933</v>
      </c>
      <c r="S1120" s="11">
        <v>42221.66695601852</v>
      </c>
    </row>
    <row r="1121" ht="12.75" hidden="1" customHeight="1">
      <c r="A1121" s="2" t="str">
        <f>IF(VLOOKUP(E1121,Sheet4!$A$585:$B$786,2,0)=0,1, )</f>
        <v>1</v>
      </c>
      <c r="B1121" s="2" t="str">
        <f t="shared" si="1"/>
        <v/>
      </c>
      <c r="C1121" s="2" t="str">
        <f t="shared" si="2"/>
        <v>2900003208-4410</v>
      </c>
      <c r="D1121" s="2">
        <v>3.20083099E8</v>
      </c>
      <c r="E1121" s="2">
        <v>2.900003208E9</v>
      </c>
      <c r="F1121" s="2">
        <v>4410.0</v>
      </c>
      <c r="G1121" s="2">
        <v>1.0</v>
      </c>
      <c r="H1121" s="2">
        <v>0.0</v>
      </c>
      <c r="I1121" s="2">
        <v>99000.0</v>
      </c>
      <c r="J1121" s="2">
        <v>1.0</v>
      </c>
      <c r="K1121" s="2">
        <v>7.0</v>
      </c>
      <c r="O1121" s="2" t="s">
        <v>999</v>
      </c>
      <c r="P1121" s="2" t="s">
        <v>166</v>
      </c>
      <c r="R1121" s="2" t="s">
        <v>933</v>
      </c>
      <c r="S1121" s="11">
        <v>42221.66695601852</v>
      </c>
    </row>
    <row r="1122" ht="12.75" hidden="1" customHeight="1">
      <c r="A1122" s="2" t="str">
        <f>IF(VLOOKUP(E1122,Sheet4!$A$585:$B$786,2,0)=0,1, )</f>
        <v/>
      </c>
      <c r="B1122" s="2" t="str">
        <f t="shared" si="1"/>
        <v>1</v>
      </c>
      <c r="C1122" s="2" t="str">
        <f t="shared" si="2"/>
        <v>3100000004-276</v>
      </c>
      <c r="D1122" s="2">
        <v>465.0</v>
      </c>
      <c r="E1122" s="2">
        <v>3.100000004E9</v>
      </c>
      <c r="F1122" s="2">
        <v>276.0</v>
      </c>
      <c r="G1122" s="2">
        <v>6.0</v>
      </c>
      <c r="H1122" s="2">
        <v>0.0</v>
      </c>
      <c r="I1122" s="2">
        <v>426000.0</v>
      </c>
      <c r="J1122" s="2">
        <v>1.0</v>
      </c>
      <c r="K1122" s="2">
        <v>7.0</v>
      </c>
      <c r="O1122" s="2" t="s">
        <v>1100</v>
      </c>
      <c r="P1122" s="2" t="s">
        <v>1065</v>
      </c>
      <c r="R1122" s="2" t="s">
        <v>1101</v>
      </c>
      <c r="S1122" s="11">
        <v>42119.567777777775</v>
      </c>
    </row>
    <row r="1123" ht="12.75" hidden="1" customHeight="1">
      <c r="A1123" s="2" t="str">
        <f>IF(VLOOKUP(E1123,Sheet4!$A$585:$B$786,2,0)=0,1, )</f>
        <v/>
      </c>
      <c r="B1123" s="2" t="str">
        <f t="shared" si="1"/>
        <v>1</v>
      </c>
      <c r="C1123" s="2" t="str">
        <f t="shared" si="2"/>
        <v>3100000004-3120</v>
      </c>
      <c r="D1123" s="2">
        <v>466.0</v>
      </c>
      <c r="E1123" s="2">
        <v>3.100000004E9</v>
      </c>
      <c r="F1123" s="2">
        <v>3120.0</v>
      </c>
      <c r="G1123" s="2">
        <v>6.0</v>
      </c>
      <c r="H1123" s="2">
        <v>0.0</v>
      </c>
      <c r="I1123" s="2">
        <v>408000.0</v>
      </c>
      <c r="J1123" s="2">
        <v>1.0</v>
      </c>
      <c r="K1123" s="2">
        <v>7.0</v>
      </c>
      <c r="O1123" s="2" t="s">
        <v>1103</v>
      </c>
      <c r="P1123" s="2" t="s">
        <v>1065</v>
      </c>
      <c r="R1123" s="2" t="s">
        <v>1101</v>
      </c>
      <c r="S1123" s="11">
        <v>42119.567777777775</v>
      </c>
    </row>
    <row r="1124" ht="12.75" hidden="1" customHeight="1">
      <c r="A1124" s="2" t="str">
        <f>IF(VLOOKUP(E1124,Sheet4!$A$585:$B$786,2,0)=0,1, )</f>
        <v/>
      </c>
      <c r="B1124" s="2" t="str">
        <f t="shared" si="1"/>
        <v>1</v>
      </c>
      <c r="C1124" s="2" t="str">
        <f t="shared" si="2"/>
        <v>3100000004-4449</v>
      </c>
      <c r="D1124" s="2">
        <v>470.0</v>
      </c>
      <c r="E1124" s="2">
        <v>3.100000004E9</v>
      </c>
      <c r="F1124" s="2">
        <v>4449.0</v>
      </c>
      <c r="G1124" s="2">
        <v>6.0</v>
      </c>
      <c r="H1124" s="2">
        <v>0.0</v>
      </c>
      <c r="I1124" s="2">
        <v>432000.0</v>
      </c>
      <c r="J1124" s="2">
        <v>1.0</v>
      </c>
      <c r="K1124" s="2">
        <v>7.0</v>
      </c>
      <c r="O1124" s="2" t="s">
        <v>1105</v>
      </c>
      <c r="P1124" s="2" t="s">
        <v>1065</v>
      </c>
      <c r="R1124" s="2" t="s">
        <v>1101</v>
      </c>
      <c r="S1124" s="11">
        <v>42119.567777777775</v>
      </c>
    </row>
    <row r="1125" ht="12.75" hidden="1" customHeight="1">
      <c r="A1125" s="2" t="str">
        <f>IF(VLOOKUP(E1125,Sheet4!$A$585:$B$786,2,0)=0,1, )</f>
        <v/>
      </c>
      <c r="B1125" s="2" t="str">
        <f t="shared" si="1"/>
        <v>1</v>
      </c>
      <c r="C1125" s="2" t="str">
        <f t="shared" si="2"/>
        <v>3100000004-4472</v>
      </c>
      <c r="D1125" s="2">
        <v>467.0</v>
      </c>
      <c r="E1125" s="2">
        <v>3.100000004E9</v>
      </c>
      <c r="F1125" s="2">
        <v>4472.0</v>
      </c>
      <c r="G1125" s="2">
        <v>6.0</v>
      </c>
      <c r="H1125" s="2">
        <v>0.0</v>
      </c>
      <c r="I1125" s="2">
        <v>282000.0</v>
      </c>
      <c r="J1125" s="2">
        <v>1.0</v>
      </c>
      <c r="K1125" s="2">
        <v>7.0</v>
      </c>
      <c r="O1125" s="2" t="s">
        <v>1107</v>
      </c>
      <c r="P1125" s="2" t="s">
        <v>166</v>
      </c>
      <c r="R1125" s="2" t="s">
        <v>1101</v>
      </c>
      <c r="S1125" s="11">
        <v>42119.567777777775</v>
      </c>
    </row>
    <row r="1126" ht="12.75" hidden="1" customHeight="1">
      <c r="A1126" s="2" t="str">
        <f>IF(VLOOKUP(E1126,Sheet4!$A$585:$B$786,2,0)=0,1, )</f>
        <v/>
      </c>
      <c r="B1126" s="2" t="str">
        <f t="shared" si="1"/>
        <v>1</v>
      </c>
      <c r="C1126" s="2" t="str">
        <f t="shared" si="2"/>
        <v>3100000004-9980</v>
      </c>
      <c r="D1126" s="2">
        <v>469.0</v>
      </c>
      <c r="E1126" s="2">
        <v>3.100000004E9</v>
      </c>
      <c r="F1126" s="2">
        <v>9980.0</v>
      </c>
      <c r="G1126" s="2">
        <v>5.0</v>
      </c>
      <c r="H1126" s="2">
        <v>0.0</v>
      </c>
      <c r="I1126" s="2">
        <v>400000.0</v>
      </c>
      <c r="J1126" s="2">
        <v>1.0</v>
      </c>
      <c r="K1126" s="2">
        <v>7.0</v>
      </c>
      <c r="O1126" s="2" t="s">
        <v>1109</v>
      </c>
      <c r="P1126" s="2" t="s">
        <v>1065</v>
      </c>
      <c r="R1126" s="2" t="s">
        <v>1101</v>
      </c>
      <c r="S1126" s="11">
        <v>42119.567777777775</v>
      </c>
    </row>
    <row r="1127" ht="12.75" hidden="1" customHeight="1">
      <c r="A1127" s="2" t="str">
        <f>IF(VLOOKUP(E1127,Sheet4!$A$585:$B$786,2,0)=0,1, )</f>
        <v/>
      </c>
      <c r="B1127" s="2" t="str">
        <f t="shared" si="1"/>
        <v>1</v>
      </c>
      <c r="C1127" s="2" t="str">
        <f t="shared" si="2"/>
        <v>3100000004-13643</v>
      </c>
      <c r="D1127" s="2">
        <v>468.0</v>
      </c>
      <c r="E1127" s="2">
        <v>3.100000004E9</v>
      </c>
      <c r="F1127" s="2">
        <v>13643.0</v>
      </c>
      <c r="G1127" s="2">
        <v>10.0</v>
      </c>
      <c r="H1127" s="2">
        <v>0.0</v>
      </c>
      <c r="I1127" s="2">
        <v>610000.0</v>
      </c>
      <c r="J1127" s="2">
        <v>1.0</v>
      </c>
      <c r="K1127" s="2">
        <v>7.0</v>
      </c>
      <c r="O1127" s="2" t="s">
        <v>1111</v>
      </c>
      <c r="P1127" s="2" t="s">
        <v>166</v>
      </c>
      <c r="R1127" s="2" t="s">
        <v>1101</v>
      </c>
      <c r="S1127" s="11">
        <v>42119.567777777775</v>
      </c>
    </row>
  </sheetData>
  <autoFilter ref="$A$2:$S$1127">
    <filterColumn colId="0">
      <filters blank="1">
        <filter val="1"/>
      </filters>
    </filterColumn>
  </autoFilter>
  <drawing r:id="rId1"/>
</worksheet>
</file>